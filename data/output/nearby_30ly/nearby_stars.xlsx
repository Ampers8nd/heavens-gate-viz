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wsl.localhost\Ubuntu\home\justinerdenebat\heavens-gate\heavens-gate-viz\data\output\nearby_30ly\"/>
    </mc:Choice>
  </mc:AlternateContent>
  <xr:revisionPtr revIDLastSave="0" documentId="13_ncr:1_{F15EC62B-8691-4E4C-9D4F-40EBF0F8BABC}" xr6:coauthVersionLast="47" xr6:coauthVersionMax="47" xr10:uidLastSave="{00000000-0000-0000-0000-000000000000}"/>
  <bookViews>
    <workbookView xWindow="-98" yWindow="-98" windowWidth="21795" windowHeight="12975" xr2:uid="{00000000-000D-0000-FFFF-FFFF00000000}"/>
  </bookViews>
  <sheets>
    <sheet name="Stars" sheetId="1" r:id="rId1"/>
    <sheet name="Planets" sheetId="2" r:id="rId2"/>
    <sheet name="Factions" sheetId="3" r:id="rId3"/>
    <sheet name="Read me" sheetId="4" r:id="rId4"/>
    <sheet name="Review" sheetId="5" r:id="rId5"/>
    <sheet name="Host matches" sheetId="6" r:id="rId6"/>
    <sheet name="Measurements" sheetId="7" r:id="rId7"/>
    <sheet name="NASA field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71" i="1" l="1"/>
  <c r="C271" i="1" s="1"/>
  <c r="B271" i="1" s="1"/>
  <c r="E270" i="1"/>
  <c r="C270" i="1" s="1"/>
  <c r="B270" i="1" s="1"/>
  <c r="E269" i="1"/>
  <c r="C269" i="1" s="1"/>
  <c r="B269" i="1" s="1"/>
  <c r="E268" i="1"/>
  <c r="C268" i="1" s="1"/>
  <c r="B268" i="1" s="1"/>
  <c r="E267" i="1"/>
  <c r="C267" i="1" s="1"/>
  <c r="B267" i="1" s="1"/>
  <c r="E266" i="1"/>
  <c r="C266" i="1" s="1"/>
  <c r="B266" i="1" s="1"/>
  <c r="E265" i="1"/>
  <c r="C265" i="1" s="1"/>
  <c r="B265" i="1" s="1"/>
  <c r="E264" i="1"/>
  <c r="C264" i="1" s="1"/>
  <c r="B264" i="1" s="1"/>
  <c r="E263" i="1"/>
  <c r="C263" i="1" s="1"/>
  <c r="B263" i="1" s="1"/>
  <c r="E262" i="1"/>
  <c r="C262" i="1" s="1"/>
  <c r="B262" i="1" s="1"/>
  <c r="E261" i="1"/>
  <c r="C261" i="1" s="1"/>
  <c r="B261" i="1" s="1"/>
  <c r="E260" i="1"/>
  <c r="C260" i="1" s="1"/>
  <c r="B260" i="1" s="1"/>
  <c r="E259" i="1"/>
  <c r="C259" i="1" s="1"/>
  <c r="B259" i="1" s="1"/>
  <c r="E258" i="1"/>
  <c r="C258" i="1" s="1"/>
  <c r="B258" i="1" s="1"/>
  <c r="E257" i="1"/>
  <c r="C257" i="1" s="1"/>
  <c r="B257" i="1" s="1"/>
  <c r="E256" i="1"/>
  <c r="C256" i="1" s="1"/>
  <c r="B256" i="1" s="1"/>
  <c r="E255" i="1"/>
  <c r="C255" i="1" s="1"/>
  <c r="B255" i="1" s="1"/>
  <c r="E254" i="1"/>
  <c r="C254" i="1" s="1"/>
  <c r="B254" i="1" s="1"/>
  <c r="E253" i="1"/>
  <c r="C253" i="1" s="1"/>
  <c r="B253" i="1" s="1"/>
  <c r="E252" i="1"/>
  <c r="C252" i="1" s="1"/>
  <c r="B252" i="1" s="1"/>
  <c r="E251" i="1"/>
  <c r="C251" i="1" s="1"/>
  <c r="B251" i="1" s="1"/>
  <c r="E250" i="1"/>
  <c r="C250" i="1" s="1"/>
  <c r="B250" i="1" s="1"/>
  <c r="E249" i="1"/>
  <c r="C249" i="1" s="1"/>
  <c r="B249" i="1" s="1"/>
  <c r="E248" i="1"/>
  <c r="C248" i="1" s="1"/>
  <c r="B248" i="1" s="1"/>
  <c r="E247" i="1"/>
  <c r="C247" i="1" s="1"/>
  <c r="B247" i="1" s="1"/>
  <c r="E246" i="1"/>
  <c r="C246" i="1" s="1"/>
  <c r="B246" i="1" s="1"/>
  <c r="E245" i="1"/>
  <c r="C245" i="1" s="1"/>
  <c r="B245" i="1" s="1"/>
  <c r="E244" i="1"/>
  <c r="C244" i="1" s="1"/>
  <c r="B244" i="1" s="1"/>
  <c r="E243" i="1"/>
  <c r="C243" i="1"/>
  <c r="B243" i="1" s="1"/>
  <c r="E242" i="1"/>
  <c r="C242" i="1" s="1"/>
  <c r="B242" i="1" s="1"/>
  <c r="E241" i="1"/>
  <c r="C241" i="1" s="1"/>
  <c r="B241" i="1" s="1"/>
  <c r="E240" i="1"/>
  <c r="C240" i="1" s="1"/>
  <c r="B240" i="1" s="1"/>
  <c r="E239" i="1"/>
  <c r="C239" i="1" s="1"/>
  <c r="B239" i="1" s="1"/>
  <c r="E238" i="1"/>
  <c r="C238" i="1" s="1"/>
  <c r="B238" i="1" s="1"/>
  <c r="E237" i="1"/>
  <c r="C237" i="1" s="1"/>
  <c r="B237" i="1" s="1"/>
  <c r="E236" i="1"/>
  <c r="C236" i="1" s="1"/>
  <c r="B236" i="1" s="1"/>
  <c r="E235" i="1"/>
  <c r="C235" i="1" s="1"/>
  <c r="B235" i="1" s="1"/>
  <c r="E234" i="1"/>
  <c r="C234" i="1" s="1"/>
  <c r="B234" i="1" s="1"/>
  <c r="E233" i="1"/>
  <c r="C233" i="1" s="1"/>
  <c r="B233" i="1" s="1"/>
  <c r="E232" i="1"/>
  <c r="C232" i="1" s="1"/>
  <c r="B232" i="1" s="1"/>
  <c r="E231" i="1"/>
  <c r="C231" i="1" s="1"/>
  <c r="B231" i="1" s="1"/>
  <c r="E230" i="1"/>
  <c r="C230" i="1" s="1"/>
  <c r="B230" i="1" s="1"/>
  <c r="E229" i="1"/>
  <c r="C229" i="1" s="1"/>
  <c r="B229" i="1" s="1"/>
  <c r="E228" i="1"/>
  <c r="C228" i="1" s="1"/>
  <c r="B228" i="1" s="1"/>
  <c r="E227" i="1"/>
  <c r="C227" i="1" s="1"/>
  <c r="B227" i="1" s="1"/>
  <c r="E226" i="1"/>
  <c r="C226" i="1" s="1"/>
  <c r="B226" i="1" s="1"/>
  <c r="E225" i="1"/>
  <c r="C225" i="1" s="1"/>
  <c r="B225" i="1" s="1"/>
  <c r="E224" i="1"/>
  <c r="C224" i="1" s="1"/>
  <c r="B224" i="1" s="1"/>
  <c r="E223" i="1"/>
  <c r="C223" i="1" s="1"/>
  <c r="B223" i="1" s="1"/>
  <c r="E222" i="1"/>
  <c r="C222" i="1" s="1"/>
  <c r="B222" i="1" s="1"/>
  <c r="E221" i="1"/>
  <c r="C221" i="1" s="1"/>
  <c r="B221" i="1" s="1"/>
  <c r="E220" i="1"/>
  <c r="C220" i="1" s="1"/>
  <c r="B220" i="1" s="1"/>
  <c r="E219" i="1"/>
  <c r="C219" i="1" s="1"/>
  <c r="B219" i="1" s="1"/>
  <c r="E218" i="1"/>
  <c r="C218" i="1"/>
  <c r="B218" i="1" s="1"/>
  <c r="E217" i="1"/>
  <c r="C217" i="1" s="1"/>
  <c r="B217" i="1" s="1"/>
  <c r="E216" i="1"/>
  <c r="C216" i="1" s="1"/>
  <c r="B216" i="1" s="1"/>
  <c r="E215" i="1"/>
  <c r="C215" i="1" s="1"/>
  <c r="B215" i="1" s="1"/>
  <c r="E214" i="1"/>
  <c r="C214" i="1"/>
  <c r="B214" i="1" s="1"/>
  <c r="E213" i="1"/>
  <c r="C213" i="1" s="1"/>
  <c r="B213" i="1" s="1"/>
  <c r="E212" i="1"/>
  <c r="C212" i="1" s="1"/>
  <c r="B212" i="1" s="1"/>
  <c r="E211" i="1"/>
  <c r="C211" i="1" s="1"/>
  <c r="B211" i="1" s="1"/>
  <c r="E210" i="1"/>
  <c r="C210" i="1" s="1"/>
  <c r="B210" i="1" s="1"/>
  <c r="E209" i="1"/>
  <c r="C209" i="1" s="1"/>
  <c r="B209" i="1" s="1"/>
  <c r="E208" i="1"/>
  <c r="C208" i="1" s="1"/>
  <c r="B208" i="1" s="1"/>
  <c r="E207" i="1"/>
  <c r="C207" i="1" s="1"/>
  <c r="B207" i="1" s="1"/>
  <c r="E206" i="1"/>
  <c r="C206" i="1" s="1"/>
  <c r="B206" i="1" s="1"/>
  <c r="E205" i="1"/>
  <c r="C205" i="1" s="1"/>
  <c r="B205" i="1" s="1"/>
  <c r="E204" i="1"/>
  <c r="C204" i="1" s="1"/>
  <c r="B204" i="1" s="1"/>
  <c r="E203" i="1"/>
  <c r="C203" i="1"/>
  <c r="B203" i="1"/>
  <c r="E202" i="1"/>
  <c r="C202" i="1" s="1"/>
  <c r="B202" i="1" s="1"/>
  <c r="E201" i="1"/>
  <c r="C201" i="1" s="1"/>
  <c r="B201" i="1" s="1"/>
  <c r="E200" i="1"/>
  <c r="C200" i="1" s="1"/>
  <c r="B200" i="1" s="1"/>
  <c r="E199" i="1"/>
  <c r="C199" i="1"/>
  <c r="B199" i="1" s="1"/>
  <c r="E198" i="1"/>
  <c r="C198" i="1" s="1"/>
  <c r="B198" i="1" s="1"/>
  <c r="E197" i="1"/>
  <c r="C197" i="1" s="1"/>
  <c r="B197" i="1" s="1"/>
  <c r="E196" i="1"/>
  <c r="C196" i="1" s="1"/>
  <c r="B196" i="1" s="1"/>
  <c r="E195" i="1"/>
  <c r="C195" i="1" s="1"/>
  <c r="B195" i="1" s="1"/>
  <c r="E194" i="1"/>
  <c r="C194" i="1" s="1"/>
  <c r="B194" i="1" s="1"/>
  <c r="E193" i="1"/>
  <c r="C193" i="1" s="1"/>
  <c r="B193" i="1" s="1"/>
  <c r="E192" i="1"/>
  <c r="C192" i="1" s="1"/>
  <c r="B192" i="1" s="1"/>
  <c r="E191" i="1"/>
  <c r="C191" i="1" s="1"/>
  <c r="B191" i="1" s="1"/>
  <c r="E190" i="1"/>
  <c r="C190" i="1" s="1"/>
  <c r="B190" i="1" s="1"/>
  <c r="E189" i="1"/>
  <c r="C189" i="1" s="1"/>
  <c r="B189" i="1" s="1"/>
  <c r="E188" i="1"/>
  <c r="C188" i="1" s="1"/>
  <c r="B188" i="1" s="1"/>
  <c r="E187" i="1"/>
  <c r="C187" i="1" s="1"/>
  <c r="B187" i="1" s="1"/>
  <c r="E186" i="1"/>
  <c r="C186" i="1" s="1"/>
  <c r="B186" i="1" s="1"/>
  <c r="E185" i="1"/>
  <c r="C185" i="1" s="1"/>
  <c r="B185" i="1" s="1"/>
  <c r="E184" i="1"/>
  <c r="C184" i="1" s="1"/>
  <c r="B184" i="1" s="1"/>
  <c r="E183" i="1"/>
  <c r="C183" i="1" s="1"/>
  <c r="B183" i="1" s="1"/>
  <c r="E182" i="1"/>
  <c r="C182" i="1" s="1"/>
  <c r="B182" i="1" s="1"/>
  <c r="E181" i="1"/>
  <c r="C181" i="1" s="1"/>
  <c r="B181" i="1" s="1"/>
  <c r="E180" i="1"/>
  <c r="C180" i="1" s="1"/>
  <c r="B180" i="1" s="1"/>
  <c r="E179" i="1"/>
  <c r="C179" i="1" s="1"/>
  <c r="B179" i="1" s="1"/>
  <c r="E178" i="1"/>
  <c r="C178" i="1"/>
  <c r="B178" i="1" s="1"/>
  <c r="E177" i="1"/>
  <c r="C177" i="1" s="1"/>
  <c r="B177" i="1" s="1"/>
  <c r="E176" i="1"/>
  <c r="C176" i="1" s="1"/>
  <c r="B176" i="1" s="1"/>
  <c r="E175" i="1"/>
  <c r="C175" i="1" s="1"/>
  <c r="B175" i="1" s="1"/>
  <c r="E174" i="1"/>
  <c r="C174" i="1"/>
  <c r="B174" i="1" s="1"/>
  <c r="E173" i="1"/>
  <c r="C173" i="1" s="1"/>
  <c r="B173" i="1" s="1"/>
  <c r="E172" i="1"/>
  <c r="C172" i="1" s="1"/>
  <c r="B172" i="1" s="1"/>
  <c r="E171" i="1"/>
  <c r="C171" i="1" s="1"/>
  <c r="B171" i="1" s="1"/>
  <c r="E170" i="1"/>
  <c r="C170" i="1" s="1"/>
  <c r="B170" i="1" s="1"/>
  <c r="E169" i="1"/>
  <c r="C169" i="1" s="1"/>
  <c r="B169" i="1" s="1"/>
  <c r="E168" i="1"/>
  <c r="C168" i="1" s="1"/>
  <c r="B168" i="1" s="1"/>
  <c r="E167" i="1"/>
  <c r="C167" i="1" s="1"/>
  <c r="B167" i="1" s="1"/>
  <c r="E166" i="1"/>
  <c r="C166" i="1" s="1"/>
  <c r="B166" i="1" s="1"/>
  <c r="E165" i="1"/>
  <c r="C165" i="1" s="1"/>
  <c r="B165" i="1" s="1"/>
  <c r="E164" i="1"/>
  <c r="C164" i="1" s="1"/>
  <c r="B164" i="1" s="1"/>
  <c r="E163" i="1"/>
  <c r="C163" i="1"/>
  <c r="B163" i="1"/>
  <c r="E162" i="1"/>
  <c r="C162" i="1" s="1"/>
  <c r="B162" i="1" s="1"/>
  <c r="E161" i="1"/>
  <c r="C161" i="1" s="1"/>
  <c r="B161" i="1" s="1"/>
  <c r="E160" i="1"/>
  <c r="C160" i="1" s="1"/>
  <c r="B160" i="1" s="1"/>
  <c r="E159" i="1"/>
  <c r="C159" i="1"/>
  <c r="B159" i="1" s="1"/>
  <c r="E158" i="1"/>
  <c r="C158" i="1"/>
  <c r="B158" i="1" s="1"/>
  <c r="E157" i="1"/>
  <c r="C157" i="1" s="1"/>
  <c r="B157" i="1" s="1"/>
  <c r="E156" i="1"/>
  <c r="C156" i="1" s="1"/>
  <c r="B156" i="1" s="1"/>
  <c r="E155" i="1"/>
  <c r="C155" i="1" s="1"/>
  <c r="B155" i="1" s="1"/>
  <c r="E154" i="1"/>
  <c r="C154" i="1" s="1"/>
  <c r="B154" i="1" s="1"/>
  <c r="E153" i="1"/>
  <c r="C153" i="1" s="1"/>
  <c r="B153" i="1" s="1"/>
  <c r="E152" i="1"/>
  <c r="C152" i="1" s="1"/>
  <c r="B152" i="1" s="1"/>
  <c r="E151" i="1"/>
  <c r="C151" i="1" s="1"/>
  <c r="B151" i="1" s="1"/>
  <c r="E150" i="1"/>
  <c r="C150" i="1" s="1"/>
  <c r="B150" i="1" s="1"/>
  <c r="E149" i="1"/>
  <c r="C149" i="1" s="1"/>
  <c r="B149" i="1" s="1"/>
  <c r="E148" i="1"/>
  <c r="C148" i="1" s="1"/>
  <c r="B148" i="1" s="1"/>
  <c r="E147" i="1"/>
  <c r="C147" i="1" s="1"/>
  <c r="B147" i="1" s="1"/>
  <c r="E146" i="1"/>
  <c r="C146" i="1" s="1"/>
  <c r="B146" i="1" s="1"/>
  <c r="E145" i="1"/>
  <c r="C145" i="1" s="1"/>
  <c r="B145" i="1" s="1"/>
  <c r="E144" i="1"/>
  <c r="C144" i="1" s="1"/>
  <c r="B144" i="1" s="1"/>
  <c r="E143" i="1"/>
  <c r="C143" i="1"/>
  <c r="B143" i="1" s="1"/>
  <c r="E142" i="1"/>
  <c r="C142" i="1" s="1"/>
  <c r="B142" i="1" s="1"/>
  <c r="E141" i="1"/>
  <c r="C141" i="1" s="1"/>
  <c r="B141" i="1" s="1"/>
  <c r="E140" i="1"/>
  <c r="C140" i="1" s="1"/>
  <c r="B140" i="1" s="1"/>
  <c r="E139" i="1"/>
  <c r="C139" i="1" s="1"/>
  <c r="B139" i="1" s="1"/>
  <c r="E138" i="1"/>
  <c r="C138" i="1" s="1"/>
  <c r="B138" i="1" s="1"/>
  <c r="E137" i="1"/>
  <c r="C137" i="1" s="1"/>
  <c r="B137" i="1" s="1"/>
  <c r="E136" i="1"/>
  <c r="C136" i="1" s="1"/>
  <c r="B136" i="1" s="1"/>
  <c r="E135" i="1"/>
  <c r="C135" i="1" s="1"/>
  <c r="B135" i="1" s="1"/>
  <c r="E134" i="1"/>
  <c r="C134" i="1"/>
  <c r="B134" i="1" s="1"/>
  <c r="E133" i="1"/>
  <c r="C133" i="1"/>
  <c r="B133" i="1" s="1"/>
  <c r="E132" i="1"/>
  <c r="C132" i="1" s="1"/>
  <c r="B132" i="1" s="1"/>
  <c r="E131" i="1"/>
  <c r="C131" i="1" s="1"/>
  <c r="B131" i="1" s="1"/>
  <c r="E130" i="1"/>
  <c r="C130" i="1" s="1"/>
  <c r="B130" i="1" s="1"/>
  <c r="E129" i="1"/>
  <c r="C129" i="1" s="1"/>
  <c r="B129" i="1" s="1"/>
  <c r="E128" i="1"/>
  <c r="C128" i="1" s="1"/>
  <c r="B128" i="1" s="1"/>
  <c r="E127" i="1"/>
  <c r="C127" i="1" s="1"/>
  <c r="B127" i="1" s="1"/>
  <c r="E126" i="1"/>
  <c r="C126" i="1" s="1"/>
  <c r="B126" i="1" s="1"/>
  <c r="E125" i="1"/>
  <c r="C125" i="1" s="1"/>
  <c r="B125" i="1" s="1"/>
  <c r="E124" i="1"/>
  <c r="C124" i="1" s="1"/>
  <c r="B124" i="1" s="1"/>
  <c r="E123" i="1"/>
  <c r="C123" i="1" s="1"/>
  <c r="B123" i="1" s="1"/>
  <c r="E122" i="1"/>
  <c r="C122" i="1" s="1"/>
  <c r="B122" i="1" s="1"/>
  <c r="E121" i="1"/>
  <c r="C121" i="1" s="1"/>
  <c r="B121" i="1" s="1"/>
  <c r="E120" i="1"/>
  <c r="C120" i="1" s="1"/>
  <c r="B120" i="1" s="1"/>
  <c r="E119" i="1"/>
  <c r="C119" i="1" s="1"/>
  <c r="B119" i="1" s="1"/>
  <c r="E118" i="1"/>
  <c r="C118" i="1"/>
  <c r="B118" i="1" s="1"/>
  <c r="E117" i="1"/>
  <c r="C117" i="1" s="1"/>
  <c r="B117" i="1" s="1"/>
  <c r="E116" i="1"/>
  <c r="C116" i="1" s="1"/>
  <c r="B116" i="1" s="1"/>
  <c r="E115" i="1"/>
  <c r="C115" i="1" s="1"/>
  <c r="B115" i="1" s="1"/>
  <c r="E114" i="1"/>
  <c r="C114" i="1" s="1"/>
  <c r="B114" i="1" s="1"/>
  <c r="E113" i="1"/>
  <c r="C113" i="1" s="1"/>
  <c r="B113" i="1" s="1"/>
  <c r="E112" i="1"/>
  <c r="C112" i="1" s="1"/>
  <c r="B112" i="1" s="1"/>
  <c r="E111" i="1"/>
  <c r="C111" i="1" s="1"/>
  <c r="B111" i="1" s="1"/>
  <c r="E110" i="1"/>
  <c r="C110" i="1" s="1"/>
  <c r="B110" i="1" s="1"/>
  <c r="E109" i="1"/>
  <c r="C109" i="1" s="1"/>
  <c r="B109" i="1" s="1"/>
  <c r="E108" i="1"/>
  <c r="C108" i="1" s="1"/>
  <c r="B108" i="1" s="1"/>
  <c r="E107" i="1"/>
  <c r="C107" i="1" s="1"/>
  <c r="B107" i="1" s="1"/>
  <c r="E106" i="1"/>
  <c r="C106" i="1" s="1"/>
  <c r="B106" i="1" s="1"/>
  <c r="E105" i="1"/>
  <c r="C105" i="1" s="1"/>
  <c r="B105" i="1" s="1"/>
  <c r="E104" i="1"/>
  <c r="C104" i="1" s="1"/>
  <c r="B104" i="1" s="1"/>
  <c r="E103" i="1"/>
  <c r="C103" i="1"/>
  <c r="B103" i="1" s="1"/>
  <c r="E102" i="1"/>
  <c r="C102" i="1" s="1"/>
  <c r="B102" i="1" s="1"/>
  <c r="E101" i="1"/>
  <c r="C101" i="1" s="1"/>
  <c r="B101" i="1" s="1"/>
  <c r="E100" i="1"/>
  <c r="C100" i="1" s="1"/>
  <c r="B100" i="1" s="1"/>
  <c r="E99" i="1"/>
  <c r="C99" i="1" s="1"/>
  <c r="B99" i="1" s="1"/>
  <c r="E98" i="1"/>
  <c r="C98" i="1" s="1"/>
  <c r="B98" i="1" s="1"/>
  <c r="E97" i="1"/>
  <c r="C97" i="1" s="1"/>
  <c r="B97" i="1" s="1"/>
  <c r="E96" i="1"/>
  <c r="C96" i="1" s="1"/>
  <c r="B96" i="1" s="1"/>
  <c r="E95" i="1"/>
  <c r="C95" i="1" s="1"/>
  <c r="B95" i="1" s="1"/>
  <c r="E94" i="1"/>
  <c r="C94" i="1"/>
  <c r="B94" i="1" s="1"/>
  <c r="E93" i="1"/>
  <c r="C93" i="1"/>
  <c r="B93" i="1" s="1"/>
  <c r="E92" i="1"/>
  <c r="C92" i="1" s="1"/>
  <c r="B92" i="1" s="1"/>
  <c r="E91" i="1"/>
  <c r="C91" i="1" s="1"/>
  <c r="B91" i="1" s="1"/>
  <c r="E90" i="1"/>
  <c r="C90" i="1" s="1"/>
  <c r="B90" i="1" s="1"/>
  <c r="E89" i="1"/>
  <c r="C89" i="1" s="1"/>
  <c r="B89" i="1" s="1"/>
  <c r="E88" i="1"/>
  <c r="C88" i="1" s="1"/>
  <c r="B88" i="1" s="1"/>
  <c r="E87" i="1"/>
  <c r="C87" i="1" s="1"/>
  <c r="B87" i="1" s="1"/>
  <c r="E86" i="1"/>
  <c r="C86" i="1" s="1"/>
  <c r="B86" i="1" s="1"/>
  <c r="E85" i="1"/>
  <c r="C85" i="1" s="1"/>
  <c r="B85" i="1" s="1"/>
  <c r="E84" i="1"/>
  <c r="C84" i="1" s="1"/>
  <c r="B84" i="1" s="1"/>
  <c r="E83" i="1"/>
  <c r="C83" i="1" s="1"/>
  <c r="B83" i="1" s="1"/>
  <c r="E82" i="1"/>
  <c r="C82" i="1" s="1"/>
  <c r="B82" i="1" s="1"/>
  <c r="E81" i="1"/>
  <c r="C81" i="1" s="1"/>
  <c r="B81" i="1" s="1"/>
  <c r="E80" i="1"/>
  <c r="C80" i="1" s="1"/>
  <c r="B80" i="1" s="1"/>
  <c r="E79" i="1"/>
  <c r="C79" i="1"/>
  <c r="B79" i="1" s="1"/>
  <c r="E78" i="1"/>
  <c r="C78" i="1" s="1"/>
  <c r="B78" i="1" s="1"/>
  <c r="E77" i="1"/>
  <c r="C77" i="1" s="1"/>
  <c r="B77" i="1" s="1"/>
  <c r="E76" i="1"/>
  <c r="C76" i="1" s="1"/>
  <c r="B76" i="1" s="1"/>
  <c r="E75" i="1"/>
  <c r="C75" i="1" s="1"/>
  <c r="B75" i="1" s="1"/>
  <c r="E74" i="1"/>
  <c r="C74" i="1"/>
  <c r="B74" i="1" s="1"/>
  <c r="E73" i="1"/>
  <c r="C73" i="1" s="1"/>
  <c r="B73" i="1" s="1"/>
  <c r="E72" i="1"/>
  <c r="C72" i="1" s="1"/>
  <c r="B72" i="1" s="1"/>
  <c r="E71" i="1"/>
  <c r="C71" i="1" s="1"/>
  <c r="B71" i="1" s="1"/>
  <c r="E70" i="1"/>
  <c r="C70" i="1"/>
  <c r="B70" i="1" s="1"/>
  <c r="E69" i="1"/>
  <c r="C69" i="1" s="1"/>
  <c r="B69" i="1" s="1"/>
  <c r="E68" i="1"/>
  <c r="C68" i="1" s="1"/>
  <c r="B68" i="1" s="1"/>
  <c r="E67" i="1"/>
  <c r="C67" i="1" s="1"/>
  <c r="B67" i="1" s="1"/>
  <c r="E66" i="1"/>
  <c r="C66" i="1" s="1"/>
  <c r="B66" i="1" s="1"/>
  <c r="E65" i="1"/>
  <c r="C65" i="1" s="1"/>
  <c r="B65" i="1" s="1"/>
  <c r="E64" i="1"/>
  <c r="C64" i="1" s="1"/>
  <c r="B64" i="1" s="1"/>
  <c r="E63" i="1"/>
  <c r="C63" i="1" s="1"/>
  <c r="B63" i="1" s="1"/>
  <c r="E62" i="1"/>
  <c r="C62" i="1" s="1"/>
  <c r="B62" i="1" s="1"/>
  <c r="E61" i="1"/>
  <c r="C61" i="1" s="1"/>
  <c r="B61" i="1" s="1"/>
  <c r="E60" i="1"/>
  <c r="C60" i="1" s="1"/>
  <c r="B60" i="1" s="1"/>
  <c r="E59" i="1"/>
  <c r="C59" i="1"/>
  <c r="B59" i="1" s="1"/>
  <c r="E58" i="1"/>
  <c r="C58" i="1" s="1"/>
  <c r="B58" i="1" s="1"/>
  <c r="E57" i="1"/>
  <c r="C57" i="1" s="1"/>
  <c r="B57" i="1" s="1"/>
  <c r="E56" i="1"/>
  <c r="C56" i="1" s="1"/>
  <c r="B56" i="1" s="1"/>
  <c r="E55" i="1"/>
  <c r="C55" i="1"/>
  <c r="B55" i="1" s="1"/>
  <c r="E54" i="1"/>
  <c r="C54" i="1" s="1"/>
  <c r="B54" i="1" s="1"/>
  <c r="E53" i="1"/>
  <c r="C53" i="1"/>
  <c r="B53" i="1" s="1"/>
  <c r="E52" i="1"/>
  <c r="C52" i="1" s="1"/>
  <c r="B52" i="1" s="1"/>
  <c r="E51" i="1"/>
  <c r="C51" i="1" s="1"/>
  <c r="B51" i="1" s="1"/>
  <c r="E50" i="1"/>
  <c r="C50" i="1" s="1"/>
  <c r="B50" i="1" s="1"/>
  <c r="E49" i="1"/>
  <c r="C49" i="1" s="1"/>
  <c r="B49" i="1" s="1"/>
  <c r="E48" i="1"/>
  <c r="C48" i="1" s="1"/>
  <c r="B48" i="1" s="1"/>
  <c r="E47" i="1"/>
  <c r="C47" i="1" s="1"/>
  <c r="B47" i="1" s="1"/>
  <c r="E46" i="1"/>
  <c r="C46" i="1" s="1"/>
  <c r="B46" i="1" s="1"/>
  <c r="E45" i="1"/>
  <c r="C45" i="1" s="1"/>
  <c r="B45" i="1" s="1"/>
  <c r="E44" i="1"/>
  <c r="C44" i="1" s="1"/>
  <c r="B44" i="1" s="1"/>
  <c r="E43" i="1"/>
  <c r="C43" i="1" s="1"/>
  <c r="B43" i="1" s="1"/>
  <c r="E42" i="1"/>
  <c r="C42" i="1" s="1"/>
  <c r="B42" i="1" s="1"/>
  <c r="E41" i="1"/>
  <c r="C41" i="1" s="1"/>
  <c r="B41" i="1" s="1"/>
  <c r="E40" i="1"/>
  <c r="C40" i="1" s="1"/>
  <c r="B40" i="1" s="1"/>
  <c r="E39" i="1"/>
  <c r="C39" i="1" s="1"/>
  <c r="B39" i="1" s="1"/>
  <c r="E38" i="1"/>
  <c r="C38" i="1" s="1"/>
  <c r="B38" i="1" s="1"/>
  <c r="E37" i="1"/>
  <c r="C37" i="1" s="1"/>
  <c r="B37" i="1" s="1"/>
  <c r="E36" i="1"/>
  <c r="C36" i="1" s="1"/>
  <c r="B36" i="1" s="1"/>
  <c r="E35" i="1"/>
  <c r="C35" i="1"/>
  <c r="B35" i="1" s="1"/>
  <c r="E34" i="1"/>
  <c r="C34" i="1"/>
  <c r="B34" i="1"/>
  <c r="E33" i="1"/>
  <c r="C33" i="1"/>
  <c r="B33" i="1" s="1"/>
  <c r="E32" i="1"/>
  <c r="C32" i="1" s="1"/>
  <c r="B32" i="1" s="1"/>
  <c r="E31" i="1"/>
  <c r="C31" i="1" s="1"/>
  <c r="B31" i="1" s="1"/>
  <c r="E30" i="1"/>
  <c r="C30" i="1" s="1"/>
  <c r="B30" i="1" s="1"/>
  <c r="E29" i="1"/>
  <c r="C29" i="1" s="1"/>
  <c r="B29" i="1" s="1"/>
  <c r="E28" i="1"/>
  <c r="C28" i="1" s="1"/>
  <c r="B28" i="1" s="1"/>
  <c r="E27" i="1"/>
  <c r="C27" i="1" s="1"/>
  <c r="B27" i="1" s="1"/>
  <c r="E26" i="1"/>
  <c r="C26" i="1" s="1"/>
  <c r="B26" i="1" s="1"/>
  <c r="E25" i="1"/>
  <c r="C25" i="1" s="1"/>
  <c r="B25" i="1" s="1"/>
  <c r="E24" i="1"/>
  <c r="C24" i="1" s="1"/>
  <c r="B24" i="1" s="1"/>
  <c r="E23" i="1"/>
  <c r="C23" i="1"/>
  <c r="B23" i="1"/>
  <c r="E22" i="1"/>
  <c r="C22" i="1" s="1"/>
  <c r="B22" i="1" s="1"/>
  <c r="E21" i="1"/>
  <c r="C21" i="1" s="1"/>
  <c r="B21" i="1" s="1"/>
  <c r="E20" i="1"/>
  <c r="C20" i="1" s="1"/>
  <c r="B20" i="1" s="1"/>
  <c r="E19" i="1"/>
  <c r="C19" i="1" s="1"/>
  <c r="B19" i="1" s="1"/>
  <c r="E18" i="1"/>
  <c r="C18" i="1" s="1"/>
  <c r="B18" i="1" s="1"/>
  <c r="E17" i="1"/>
  <c r="C17" i="1" s="1"/>
  <c r="B17" i="1" s="1"/>
  <c r="E16" i="1"/>
  <c r="C16" i="1" s="1"/>
  <c r="B16" i="1" s="1"/>
  <c r="E15" i="1"/>
  <c r="C15" i="1" s="1"/>
  <c r="B15" i="1" s="1"/>
  <c r="E14" i="1"/>
  <c r="C14" i="1" s="1"/>
  <c r="B14" i="1" s="1"/>
  <c r="E13" i="1"/>
  <c r="C13" i="1" s="1"/>
  <c r="B13" i="1" s="1"/>
  <c r="E12" i="1"/>
  <c r="C12" i="1" s="1"/>
  <c r="B12" i="1" s="1"/>
  <c r="E11" i="1"/>
  <c r="C11" i="1" s="1"/>
  <c r="B11" i="1" s="1"/>
  <c r="E10" i="1"/>
  <c r="C10" i="1" s="1"/>
  <c r="B10" i="1" s="1"/>
  <c r="E9" i="1"/>
  <c r="C9" i="1" s="1"/>
  <c r="B9" i="1" s="1"/>
  <c r="E8" i="1"/>
  <c r="C8" i="1" s="1"/>
  <c r="B8" i="1" s="1"/>
  <c r="E7" i="1"/>
  <c r="C7" i="1" s="1"/>
  <c r="B7" i="1" s="1"/>
  <c r="E6" i="1"/>
  <c r="C6" i="1" s="1"/>
  <c r="B6" i="1" s="1"/>
  <c r="E5" i="1"/>
  <c r="C5" i="1" s="1"/>
  <c r="B5" i="1" s="1"/>
  <c r="E4" i="1"/>
  <c r="C4" i="1" s="1"/>
  <c r="B4" i="1" s="1"/>
  <c r="E3" i="1"/>
  <c r="C3" i="1"/>
  <c r="B3" i="1"/>
  <c r="E2" i="1"/>
  <c r="C2" i="1" s="1"/>
  <c r="B2" i="1" s="1"/>
</calcChain>
</file>

<file path=xl/sharedStrings.xml><?xml version="1.0" encoding="utf-8"?>
<sst xmlns="http://schemas.openxmlformats.org/spreadsheetml/2006/main" count="33234" uniqueCount="8470">
  <si>
    <t>star_name</t>
  </si>
  <si>
    <t>has_planets</t>
  </si>
  <si>
    <t>planet_count</t>
  </si>
  <si>
    <t>planet_count_override</t>
  </si>
  <si>
    <t>confirmed_exoplanet_count</t>
  </si>
  <si>
    <t>distance_ly</t>
  </si>
  <si>
    <t>planet_names</t>
  </si>
  <si>
    <t>notes</t>
  </si>
  <si>
    <t>hyg_id</t>
  </si>
  <si>
    <t>nasa_hosts</t>
  </si>
  <si>
    <t>match_method</t>
  </si>
  <si>
    <t>controversial_planet_count</t>
  </si>
  <si>
    <t>distance_pc</t>
  </si>
  <si>
    <t>spectral_type</t>
  </si>
  <si>
    <t>hyg_luminosity_solar</t>
  </si>
  <si>
    <t>apparent_magnitude</t>
  </si>
  <si>
    <t>hip</t>
  </si>
  <si>
    <t>hd</t>
  </si>
  <si>
    <t>hr</t>
  </si>
  <si>
    <t>gliese</t>
  </si>
  <si>
    <t>bayer_flamsteed</t>
  </si>
  <si>
    <t>proper_name</t>
  </si>
  <si>
    <t>ra_deg_j2000</t>
  </si>
  <si>
    <t>dec_deg_j2000</t>
  </si>
  <si>
    <t>x_ly</t>
  </si>
  <si>
    <t>y_ly</t>
  </si>
  <si>
    <t>z_ly</t>
  </si>
  <si>
    <t>component</t>
  </si>
  <si>
    <t>primary_hyg_id</t>
  </si>
  <si>
    <t>archive_planet_count</t>
  </si>
  <si>
    <t>solar_system_planet_count</t>
  </si>
  <si>
    <t>x_pc</t>
  </si>
  <si>
    <t>y_pc</t>
  </si>
  <si>
    <t>z_pc</t>
  </si>
  <si>
    <t>system_id</t>
  </si>
  <si>
    <t>faction_owners</t>
  </si>
  <si>
    <t>Sol</t>
  </si>
  <si>
    <t>Mercury; Venus; Earth; Mars; Jupiter; Saturn; Uranus; Neptune</t>
  </si>
  <si>
    <t>Sol: 8 Solar System planets; outside NASA exoplanet export.</t>
  </si>
  <si>
    <t>0</t>
  </si>
  <si>
    <t>G2V</t>
  </si>
  <si>
    <t>1</t>
  </si>
  <si>
    <t>hyg:0</t>
  </si>
  <si>
    <t>Proxima Centauri</t>
  </si>
  <si>
    <t>Proxima Cen b; Proxima Cen d</t>
  </si>
  <si>
    <t>70666</t>
  </si>
  <si>
    <t>Proxima Cen</t>
  </si>
  <si>
    <t>verified alias</t>
  </si>
  <si>
    <t>M5Ve</t>
  </si>
  <si>
    <t>70890</t>
  </si>
  <si>
    <t>Gl 551</t>
  </si>
  <si>
    <t>hyg:70666</t>
  </si>
  <si>
    <t>Toliman</t>
  </si>
  <si>
    <t>71453</t>
  </si>
  <si>
    <t>K1V</t>
  </si>
  <si>
    <t>71681</t>
  </si>
  <si>
    <t>128621</t>
  </si>
  <si>
    <t>5460</t>
  </si>
  <si>
    <t>Gl 559B</t>
  </si>
  <si>
    <t>Alp2Cen</t>
  </si>
  <si>
    <t>2</t>
  </si>
  <si>
    <t>71456</t>
  </si>
  <si>
    <t>hyg:71456</t>
  </si>
  <si>
    <t>Rigil Kentaurus</t>
  </si>
  <si>
    <t>71683</t>
  </si>
  <si>
    <t>128620</t>
  </si>
  <si>
    <t>5459</t>
  </si>
  <si>
    <t>Gl 559A</t>
  </si>
  <si>
    <t>Alp1Cen</t>
  </si>
  <si>
    <t>Barnard's Star</t>
  </si>
  <si>
    <t>Barnard b; Barnard c; Barnard d; Barnard e</t>
  </si>
  <si>
    <t>87665</t>
  </si>
  <si>
    <t>Barnard's star</t>
  </si>
  <si>
    <t>catalog identifier</t>
  </si>
  <si>
    <t>sdM4</t>
  </si>
  <si>
    <t>87937</t>
  </si>
  <si>
    <t>Gl 699</t>
  </si>
  <si>
    <t>hyg:87665</t>
  </si>
  <si>
    <t>Wolf 359</t>
  </si>
  <si>
    <t>118720</t>
  </si>
  <si>
    <t>M6</t>
  </si>
  <si>
    <t>Gl 406</t>
  </si>
  <si>
    <t>hyg:118720</t>
  </si>
  <si>
    <t>Lalande 21185</t>
  </si>
  <si>
    <t>GJ 411 b; HD 95735 c</t>
  </si>
  <si>
    <t>GJ 411: Catalog distances differ by &gt;20%; HYG controls selection.</t>
  </si>
  <si>
    <t>53879</t>
  </si>
  <si>
    <t>GJ 411</t>
  </si>
  <si>
    <t>M2V</t>
  </si>
  <si>
    <t>54035</t>
  </si>
  <si>
    <t>95735</t>
  </si>
  <si>
    <t>Gl 411</t>
  </si>
  <si>
    <t>hyg:53879</t>
  </si>
  <si>
    <t>Gl 65A</t>
  </si>
  <si>
    <t>118079</t>
  </si>
  <si>
    <t>dM5.5e</t>
  </si>
  <si>
    <t>hyg:118079</t>
  </si>
  <si>
    <t>Gl 65B</t>
  </si>
  <si>
    <t>118080</t>
  </si>
  <si>
    <t>Sirius</t>
  </si>
  <si>
    <t>32263</t>
  </si>
  <si>
    <t>A0m...</t>
  </si>
  <si>
    <t>32349</t>
  </si>
  <si>
    <t>48915</t>
  </si>
  <si>
    <t>2491</t>
  </si>
  <si>
    <t>Gl 244A</t>
  </si>
  <si>
    <t>9Alp CMa</t>
  </si>
  <si>
    <t>hyg:32263</t>
  </si>
  <si>
    <t>Gl 244B</t>
  </si>
  <si>
    <t>118441</t>
  </si>
  <si>
    <t>DA2</t>
  </si>
  <si>
    <t>Ross 154</t>
  </si>
  <si>
    <t>92115</t>
  </si>
  <si>
    <t>M3.5Ve</t>
  </si>
  <si>
    <t>92403</t>
  </si>
  <si>
    <t>Gl 729</t>
  </si>
  <si>
    <t>hyg:92115</t>
  </si>
  <si>
    <t>Ross 248</t>
  </si>
  <si>
    <t>119585</t>
  </si>
  <si>
    <t>dM6  e</t>
  </si>
  <si>
    <t>Gl 905</t>
  </si>
  <si>
    <t>hyg:119585</t>
  </si>
  <si>
    <t>Ran</t>
  </si>
  <si>
    <t>eps Eri b</t>
  </si>
  <si>
    <t>16496</t>
  </si>
  <si>
    <t>eps Eri</t>
  </si>
  <si>
    <t>K2V</t>
  </si>
  <si>
    <t>16537</t>
  </si>
  <si>
    <t>22049</t>
  </si>
  <si>
    <t>1084</t>
  </si>
  <si>
    <t>Gl 144</t>
  </si>
  <si>
    <t>18Eps Eri</t>
  </si>
  <si>
    <t>hyg:16496</t>
  </si>
  <si>
    <t>Lacaille 9352</t>
  </si>
  <si>
    <t>GJ 887 b; GJ 887 c; GJ 887 d; GJ 887 e</t>
  </si>
  <si>
    <t>113687</t>
  </si>
  <si>
    <t>GJ 887</t>
  </si>
  <si>
    <t>M2/M3V</t>
  </si>
  <si>
    <t>114046</t>
  </si>
  <si>
    <t>217987</t>
  </si>
  <si>
    <t>Gl 887</t>
  </si>
  <si>
    <t>hyg:113687</t>
  </si>
  <si>
    <t>Ross 128</t>
  </si>
  <si>
    <t>Ross 128 b</t>
  </si>
  <si>
    <t>57375</t>
  </si>
  <si>
    <t>M4.5V</t>
  </si>
  <si>
    <t>57548</t>
  </si>
  <si>
    <t>Gl 447</t>
  </si>
  <si>
    <t>hyg:57375</t>
  </si>
  <si>
    <t>EZ Aqr</t>
  </si>
  <si>
    <t>119518</t>
  </si>
  <si>
    <t>M5  e</t>
  </si>
  <si>
    <t>Gl 866A</t>
  </si>
  <si>
    <t>hyg:119518</t>
  </si>
  <si>
    <t>Struve 2398 B</t>
  </si>
  <si>
    <t>Gl 725 B c</t>
  </si>
  <si>
    <t>Gl 725 B: Catalog distances differ by &gt;20%; HYG controls selection.</t>
  </si>
  <si>
    <t>91487</t>
  </si>
  <si>
    <t>Gl 725 B</t>
  </si>
  <si>
    <t>K5</t>
  </si>
  <si>
    <t>91772</t>
  </si>
  <si>
    <t>173740</t>
  </si>
  <si>
    <t>Gl 725B</t>
  </si>
  <si>
    <t>91484</t>
  </si>
  <si>
    <t>hyg:91484</t>
  </si>
  <si>
    <t>Gl 820A</t>
  </si>
  <si>
    <t>103879</t>
  </si>
  <si>
    <t>K5V</t>
  </si>
  <si>
    <t>104214</t>
  </si>
  <si>
    <t>201091</t>
  </si>
  <si>
    <t>8085</t>
  </si>
  <si>
    <t>61    Cyg</t>
  </si>
  <si>
    <t>hyg:103879</t>
  </si>
  <si>
    <t>Gl 280B</t>
  </si>
  <si>
    <t>118493</t>
  </si>
  <si>
    <t>DA</t>
  </si>
  <si>
    <t>37173</t>
  </si>
  <si>
    <t>hyg:37173</t>
  </si>
  <si>
    <t>Gl 820B</t>
  </si>
  <si>
    <t>103883</t>
  </si>
  <si>
    <t>K7V</t>
  </si>
  <si>
    <t>104217</t>
  </si>
  <si>
    <t>201092</t>
  </si>
  <si>
    <t>8086</t>
  </si>
  <si>
    <t>Procyon</t>
  </si>
  <si>
    <t>F5IV-V</t>
  </si>
  <si>
    <t>37279</t>
  </si>
  <si>
    <t>61421</t>
  </si>
  <si>
    <t>2943</t>
  </si>
  <si>
    <t>Gl 280A</t>
  </si>
  <si>
    <t>10Alp CMi</t>
  </si>
  <si>
    <t>Gl 15B</t>
  </si>
  <si>
    <t>117979</t>
  </si>
  <si>
    <t>M6 Ve</t>
  </si>
  <si>
    <t>1472</t>
  </si>
  <si>
    <t>hyg:1472</t>
  </si>
  <si>
    <t>Struve 2398 A</t>
  </si>
  <si>
    <t>Gl 725 A b</t>
  </si>
  <si>
    <t>Gl 725 A</t>
  </si>
  <si>
    <t>91768</t>
  </si>
  <si>
    <t>173739</t>
  </si>
  <si>
    <t>Gl 725A</t>
  </si>
  <si>
    <t>Groombridge 34</t>
  </si>
  <si>
    <t>GJ 15 A b; GJ 15 A c</t>
  </si>
  <si>
    <t>GJ 15 A</t>
  </si>
  <si>
    <t>M1V</t>
  </si>
  <si>
    <t>1475</t>
  </si>
  <si>
    <t>1326</t>
  </si>
  <si>
    <t>Gl 15A</t>
  </si>
  <si>
    <t>Gl 845</t>
  </si>
  <si>
    <t>eps Ind A b</t>
  </si>
  <si>
    <t>108526</t>
  </si>
  <si>
    <t>eps Ind A</t>
  </si>
  <si>
    <t>108870</t>
  </si>
  <si>
    <t>209100</t>
  </si>
  <si>
    <t>8387</t>
  </si>
  <si>
    <t>Eps Ind</t>
  </si>
  <si>
    <t>hyg:108526</t>
  </si>
  <si>
    <t>GJ 1111</t>
  </si>
  <si>
    <t>118541</t>
  </si>
  <si>
    <t>M6.5</t>
  </si>
  <si>
    <t>hyg:118541</t>
  </si>
  <si>
    <t>Gl 71</t>
  </si>
  <si>
    <t>tau Cet f; tau Cet g; tau Cet h</t>
  </si>
  <si>
    <t>8087</t>
  </si>
  <si>
    <t>tau Cet</t>
  </si>
  <si>
    <t>G8V</t>
  </si>
  <si>
    <t>8102</t>
  </si>
  <si>
    <t>10700</t>
  </si>
  <si>
    <t>509</t>
  </si>
  <si>
    <t>52Tau Cet</t>
  </si>
  <si>
    <t>hyg:8087</t>
  </si>
  <si>
    <t>Gl 54.1</t>
  </si>
  <si>
    <t>YZ Cet b; YZ Cet c; YZ Cet d</t>
  </si>
  <si>
    <t>5632</t>
  </si>
  <si>
    <t>YZ Cet</t>
  </si>
  <si>
    <t>M5.5Ve</t>
  </si>
  <si>
    <t>5643</t>
  </si>
  <si>
    <t>hyg:5632</t>
  </si>
  <si>
    <t>HIP 82724</t>
  </si>
  <si>
    <t>82472</t>
  </si>
  <si>
    <t>Mp</t>
  </si>
  <si>
    <t>82724</t>
  </si>
  <si>
    <t>hyg:82472</t>
  </si>
  <si>
    <t>Luyten's Star</t>
  </si>
  <si>
    <t>GJ 273 b; GJ 273 c</t>
  </si>
  <si>
    <t>GJ 273: Catalog distances differ by &gt;20%; HYG controls selection.</t>
  </si>
  <si>
    <t>36107</t>
  </si>
  <si>
    <t>GJ 273</t>
  </si>
  <si>
    <t>M5</t>
  </si>
  <si>
    <t>36208</t>
  </si>
  <si>
    <t>Gl 273</t>
  </si>
  <si>
    <t>hyg:36107</t>
  </si>
  <si>
    <t>Kapteyn's Star</t>
  </si>
  <si>
    <t>Kapteyn c</t>
  </si>
  <si>
    <t>24129</t>
  </si>
  <si>
    <t>Kapteyn</t>
  </si>
  <si>
    <t>M0V</t>
  </si>
  <si>
    <t>24186</t>
  </si>
  <si>
    <t>33793</t>
  </si>
  <si>
    <t>Gl 191</t>
  </si>
  <si>
    <t>hyg:24129</t>
  </si>
  <si>
    <t>Lacaille 8760</t>
  </si>
  <si>
    <t>104751</t>
  </si>
  <si>
    <t>M1/M2V</t>
  </si>
  <si>
    <t>105090</t>
  </si>
  <si>
    <t>202560</t>
  </si>
  <si>
    <t>Gl 825</t>
  </si>
  <si>
    <t>hyg:104751</t>
  </si>
  <si>
    <t>Kruger 60</t>
  </si>
  <si>
    <t>110547</t>
  </si>
  <si>
    <t>110893</t>
  </si>
  <si>
    <t>239960</t>
  </si>
  <si>
    <t>Gl 860A</t>
  </si>
  <si>
    <t>hyg:110547</t>
  </si>
  <si>
    <t>Gl 860B</t>
  </si>
  <si>
    <t>119505</t>
  </si>
  <si>
    <t>M6 V</t>
  </si>
  <si>
    <t>Gl 234B</t>
  </si>
  <si>
    <t>118428</t>
  </si>
  <si>
    <t>30847</t>
  </si>
  <si>
    <t>hyg:30847</t>
  </si>
  <si>
    <t>Ross 614</t>
  </si>
  <si>
    <t>M4.5Ve</t>
  </si>
  <si>
    <t>30920</t>
  </si>
  <si>
    <t>Gl 234A</t>
  </si>
  <si>
    <t>HIP 82725</t>
  </si>
  <si>
    <t>82473</t>
  </si>
  <si>
    <t>82725</t>
  </si>
  <si>
    <t>hyg:82473</t>
  </si>
  <si>
    <t>Van Maanen's Star</t>
  </si>
  <si>
    <t>3820</t>
  </si>
  <si>
    <t>DG</t>
  </si>
  <si>
    <t>3829</t>
  </si>
  <si>
    <t>Gl 35</t>
  </si>
  <si>
    <t>hyg:3820</t>
  </si>
  <si>
    <t>GJ 1061</t>
  </si>
  <si>
    <t>GJ 1061 b; GJ 1061 c; GJ 1061 d</t>
  </si>
  <si>
    <t>118236</t>
  </si>
  <si>
    <t>M4.5</t>
  </si>
  <si>
    <t>hyg:118236</t>
  </si>
  <si>
    <t>Wolf 1061</t>
  </si>
  <si>
    <t>Wolf 1061 b; Wolf 1061 c; Wolf 1061 d</t>
  </si>
  <si>
    <t>80579</t>
  </si>
  <si>
    <t>M4</t>
  </si>
  <si>
    <t>80824</t>
  </si>
  <si>
    <t>Gl 628</t>
  </si>
  <si>
    <t>hyg:80579</t>
  </si>
  <si>
    <t>Gl 473A</t>
  </si>
  <si>
    <t>118830</t>
  </si>
  <si>
    <t>dM5.5eJ</t>
  </si>
  <si>
    <t>hyg:118830</t>
  </si>
  <si>
    <t>Gl 473B</t>
  </si>
  <si>
    <t>118831</t>
  </si>
  <si>
    <t>M7</t>
  </si>
  <si>
    <t>Gl 1</t>
  </si>
  <si>
    <t>442</t>
  </si>
  <si>
    <t>439</t>
  </si>
  <si>
    <t>225213</t>
  </si>
  <si>
    <t>hyg:442</t>
  </si>
  <si>
    <t>GJ 3522</t>
  </si>
  <si>
    <t>118583</t>
  </si>
  <si>
    <t>k</t>
  </si>
  <si>
    <t>hyg:118583</t>
  </si>
  <si>
    <t>Gl 83.1</t>
  </si>
  <si>
    <t>GJ 9066 c</t>
  </si>
  <si>
    <t>118100</t>
  </si>
  <si>
    <t>GJ 9066</t>
  </si>
  <si>
    <t>dM8  e</t>
  </si>
  <si>
    <t>hyg:118100</t>
  </si>
  <si>
    <t>GJ 3618</t>
  </si>
  <si>
    <t>118704</t>
  </si>
  <si>
    <t>m</t>
  </si>
  <si>
    <t>hyg:118704</t>
  </si>
  <si>
    <t>GJ 3622</t>
  </si>
  <si>
    <t>118707</t>
  </si>
  <si>
    <t>hyg:118707</t>
  </si>
  <si>
    <t>Gl 687</t>
  </si>
  <si>
    <t>GJ 687 b; GJ 687 c</t>
  </si>
  <si>
    <t>85899</t>
  </si>
  <si>
    <t>GJ 687</t>
  </si>
  <si>
    <t>M3.5Vvar</t>
  </si>
  <si>
    <t>86162</t>
  </si>
  <si>
    <t>hyg:85899</t>
  </si>
  <si>
    <t>Gl 674</t>
  </si>
  <si>
    <t>GJ 674 b</t>
  </si>
  <si>
    <t>85264</t>
  </si>
  <si>
    <t>GJ 674</t>
  </si>
  <si>
    <t>85523</t>
  </si>
  <si>
    <t>hyg:85264</t>
  </si>
  <si>
    <t>Gl 440</t>
  </si>
  <si>
    <t>57194</t>
  </si>
  <si>
    <t>DC:</t>
  </si>
  <si>
    <t>57367</t>
  </si>
  <si>
    <t>hyg:57194</t>
  </si>
  <si>
    <t>Gl 876</t>
  </si>
  <si>
    <t>GJ 876 b; GJ 876 c; GJ 876 d; GJ 876 e</t>
  </si>
  <si>
    <t>112660</t>
  </si>
  <si>
    <t>GJ 876</t>
  </si>
  <si>
    <t>113020</t>
  </si>
  <si>
    <t>hyg:112660</t>
  </si>
  <si>
    <t>GJ 1002</t>
  </si>
  <si>
    <t>GJ 1002 b; GJ 1002 c</t>
  </si>
  <si>
    <t>117960</t>
  </si>
  <si>
    <t>M5-5.5</t>
  </si>
  <si>
    <t>hyg:117960</t>
  </si>
  <si>
    <t>GJ 1245A</t>
  </si>
  <si>
    <t>119312</t>
  </si>
  <si>
    <t>M5.5 V e</t>
  </si>
  <si>
    <t>hyg:119312</t>
  </si>
  <si>
    <t>GJ 1245B</t>
  </si>
  <si>
    <t>119313</t>
  </si>
  <si>
    <t>Gl 412B</t>
  </si>
  <si>
    <t>118727</t>
  </si>
  <si>
    <t>M6  e</t>
  </si>
  <si>
    <t>54052</t>
  </si>
  <si>
    <t>hyg:54052</t>
  </si>
  <si>
    <t>Gl 412A</t>
  </si>
  <si>
    <t>M2Vvar</t>
  </si>
  <si>
    <t>54211</t>
  </si>
  <si>
    <t>Gl 380</t>
  </si>
  <si>
    <t>49767</t>
  </si>
  <si>
    <t>K8V</t>
  </si>
  <si>
    <t>49908</t>
  </si>
  <si>
    <t>88230</t>
  </si>
  <si>
    <t>hyg:49767</t>
  </si>
  <si>
    <t>Gl 388</t>
  </si>
  <si>
    <t>118676</t>
  </si>
  <si>
    <t>hyg:118676</t>
  </si>
  <si>
    <t>Gl 832</t>
  </si>
  <si>
    <t>GJ 832 b</t>
  </si>
  <si>
    <t>106098</t>
  </si>
  <si>
    <t>GJ 832</t>
  </si>
  <si>
    <t>106440</t>
  </si>
  <si>
    <t>204961</t>
  </si>
  <si>
    <t>hyg:106098</t>
  </si>
  <si>
    <t>Keid</t>
  </si>
  <si>
    <t>19799</t>
  </si>
  <si>
    <t>19849</t>
  </si>
  <si>
    <t>26965</t>
  </si>
  <si>
    <t>1325</t>
  </si>
  <si>
    <t>Gl 166A</t>
  </si>
  <si>
    <t>40Omi2Eri</t>
  </si>
  <si>
    <t>hyg:19799</t>
  </si>
  <si>
    <t>GJ 1005A</t>
  </si>
  <si>
    <t>1240</t>
  </si>
  <si>
    <t>M:</t>
  </si>
  <si>
    <t>1242</t>
  </si>
  <si>
    <t>hyg:1240</t>
  </si>
  <si>
    <t>Gl 166B</t>
  </si>
  <si>
    <t>118281</t>
  </si>
  <si>
    <t>DA4</t>
  </si>
  <si>
    <t>26976</t>
  </si>
  <si>
    <t>Gl 166C</t>
  </si>
  <si>
    <t>118282</t>
  </si>
  <si>
    <t>dM4.5e</t>
  </si>
  <si>
    <t>3</t>
  </si>
  <si>
    <t>Gl 682</t>
  </si>
  <si>
    <t>GJ 682 b; GJ 682 c</t>
  </si>
  <si>
    <t>85951</t>
  </si>
  <si>
    <t>GJ 682</t>
  </si>
  <si>
    <t>86214</t>
  </si>
  <si>
    <t>hyg:85951</t>
  </si>
  <si>
    <t>Gl 702A</t>
  </si>
  <si>
    <t>88327</t>
  </si>
  <si>
    <t>K0V SB</t>
  </si>
  <si>
    <t>88601</t>
  </si>
  <si>
    <t>165341</t>
  </si>
  <si>
    <t>6752</t>
  </si>
  <si>
    <t>70    Oph</t>
  </si>
  <si>
    <t>hyg:88327</t>
  </si>
  <si>
    <t>Gl 702B</t>
  </si>
  <si>
    <t>119198</t>
  </si>
  <si>
    <t>K5 Ve</t>
  </si>
  <si>
    <t>Gl 873</t>
  </si>
  <si>
    <t>112106</t>
  </si>
  <si>
    <t>112460</t>
  </si>
  <si>
    <t>hyg:112106</t>
  </si>
  <si>
    <t>Altair</t>
  </si>
  <si>
    <t>97338</t>
  </si>
  <si>
    <t>A7IV-V</t>
  </si>
  <si>
    <t>97649</t>
  </si>
  <si>
    <t>187642</t>
  </si>
  <si>
    <t>7557</t>
  </si>
  <si>
    <t>Gl 768</t>
  </si>
  <si>
    <t>53Alp Aql</t>
  </si>
  <si>
    <t>hyg:97338</t>
  </si>
  <si>
    <t>GJ 1116A</t>
  </si>
  <si>
    <t>118578</t>
  </si>
  <si>
    <t>hyg:118578</t>
  </si>
  <si>
    <t>GJ 1116B</t>
  </si>
  <si>
    <t>118579</t>
  </si>
  <si>
    <t>HIP 67593</t>
  </si>
  <si>
    <t>67380</t>
  </si>
  <si>
    <t>67593</t>
  </si>
  <si>
    <t>hyg:67380</t>
  </si>
  <si>
    <t>Gl 445</t>
  </si>
  <si>
    <t>57371</t>
  </si>
  <si>
    <t>57544</t>
  </si>
  <si>
    <t>hyg:57371</t>
  </si>
  <si>
    <t>GJ 3379</t>
  </si>
  <si>
    <t>118406</t>
  </si>
  <si>
    <t>hyg:118406</t>
  </si>
  <si>
    <t>Gl 526</t>
  </si>
  <si>
    <t>66943</t>
  </si>
  <si>
    <t>M3V</t>
  </si>
  <si>
    <t>67155</t>
  </si>
  <si>
    <t>119850</t>
  </si>
  <si>
    <t>hyg:66943</t>
  </si>
  <si>
    <t>Gl 169.1B</t>
  </si>
  <si>
    <t>118311</t>
  </si>
  <si>
    <t>DC5</t>
  </si>
  <si>
    <t>21036</t>
  </si>
  <si>
    <t>hyg:21036</t>
  </si>
  <si>
    <t>HIP 58910</t>
  </si>
  <si>
    <t>58735</t>
  </si>
  <si>
    <t>F0Ib-II</t>
  </si>
  <si>
    <t>58910</t>
  </si>
  <si>
    <t>104901</t>
  </si>
  <si>
    <t>hyg:58735</t>
  </si>
  <si>
    <t>Gl 169.1A</t>
  </si>
  <si>
    <t>21088</t>
  </si>
  <si>
    <t>HIP 33226</t>
  </si>
  <si>
    <t>33139</t>
  </si>
  <si>
    <t>K:...</t>
  </si>
  <si>
    <t>33226</t>
  </si>
  <si>
    <t>265866</t>
  </si>
  <si>
    <t>hyg:33139</t>
  </si>
  <si>
    <t>HIP 83609</t>
  </si>
  <si>
    <t>83352</t>
  </si>
  <si>
    <t>G0</t>
  </si>
  <si>
    <t>83609</t>
  </si>
  <si>
    <t>hyg:83352</t>
  </si>
  <si>
    <t>Gl 205</t>
  </si>
  <si>
    <t>25813</t>
  </si>
  <si>
    <t>25878</t>
  </si>
  <si>
    <t>36395</t>
  </si>
  <si>
    <t>hyg:25813</t>
  </si>
  <si>
    <t>Gl 754</t>
  </si>
  <si>
    <t>119276</t>
  </si>
  <si>
    <t>hyg:119276</t>
  </si>
  <si>
    <t>HIP 103039</t>
  </si>
  <si>
    <t>102708</t>
  </si>
  <si>
    <t>103039</t>
  </si>
  <si>
    <t>hyg:102708</t>
  </si>
  <si>
    <t>Gl 644B</t>
  </si>
  <si>
    <t>119112</t>
  </si>
  <si>
    <t>82565</t>
  </si>
  <si>
    <t>hyg:82565</t>
  </si>
  <si>
    <t>Gl 644C</t>
  </si>
  <si>
    <t>119113</t>
  </si>
  <si>
    <t>Gl 229</t>
  </si>
  <si>
    <t>GJ 229 A c; GJ 229 b</t>
  </si>
  <si>
    <t>29222</t>
  </si>
  <si>
    <t>GJ 229</t>
  </si>
  <si>
    <t>29295</t>
  </si>
  <si>
    <t>42581</t>
  </si>
  <si>
    <t>hyg:29222</t>
  </si>
  <si>
    <t>Alsafi</t>
  </si>
  <si>
    <t>95799</t>
  </si>
  <si>
    <t>K0V</t>
  </si>
  <si>
    <t>96100</t>
  </si>
  <si>
    <t>185144</t>
  </si>
  <si>
    <t>7462</t>
  </si>
  <si>
    <t>Gl 764</t>
  </si>
  <si>
    <t>61Sig Dra</t>
  </si>
  <si>
    <t>hyg:95799</t>
  </si>
  <si>
    <t>Gl 251</t>
  </si>
  <si>
    <t>GJ 251 b; GJ 251 c</t>
  </si>
  <si>
    <t>118447</t>
  </si>
  <si>
    <t>GJ 251</t>
  </si>
  <si>
    <t>dM4</t>
  </si>
  <si>
    <t>hyg:118447</t>
  </si>
  <si>
    <t>Gl 338A</t>
  </si>
  <si>
    <t>45211</t>
  </si>
  <si>
    <t>45343</t>
  </si>
  <si>
    <t>79210</t>
  </si>
  <si>
    <t>hyg:45211</t>
  </si>
  <si>
    <t>Gl 213</t>
  </si>
  <si>
    <t>26792</t>
  </si>
  <si>
    <t>26857</t>
  </si>
  <si>
    <t>hyg:26792</t>
  </si>
  <si>
    <t>Gl 693</t>
  </si>
  <si>
    <t>86722</t>
  </si>
  <si>
    <t>86990</t>
  </si>
  <si>
    <t>hyg:86722</t>
  </si>
  <si>
    <t>Gl 570A</t>
  </si>
  <si>
    <t>72957</t>
  </si>
  <si>
    <t>K4V</t>
  </si>
  <si>
    <t>73184</t>
  </si>
  <si>
    <t>131977</t>
  </si>
  <si>
    <t>5568</t>
  </si>
  <si>
    <t>hyg:72957</t>
  </si>
  <si>
    <t>Gl 752A</t>
  </si>
  <si>
    <t>HD 180617 b</t>
  </si>
  <si>
    <t>94466</t>
  </si>
  <si>
    <t>HD 180617</t>
  </si>
  <si>
    <t>M3.5V</t>
  </si>
  <si>
    <t>94761</t>
  </si>
  <si>
    <t>180617</t>
  </si>
  <si>
    <t>hyg:94466</t>
  </si>
  <si>
    <t>Gl 752B</t>
  </si>
  <si>
    <t>119275</t>
  </si>
  <si>
    <t>dM5  e</t>
  </si>
  <si>
    <t>Gl 300</t>
  </si>
  <si>
    <t>118532</t>
  </si>
  <si>
    <t>hyg:118532</t>
  </si>
  <si>
    <t>Gl 570B</t>
  </si>
  <si>
    <t>72955</t>
  </si>
  <si>
    <t>73182</t>
  </si>
  <si>
    <t>131976</t>
  </si>
  <si>
    <t>Gl 588</t>
  </si>
  <si>
    <t>75841</t>
  </si>
  <si>
    <t>M0</t>
  </si>
  <si>
    <t>76074</t>
  </si>
  <si>
    <t>hyg:75841</t>
  </si>
  <si>
    <t>Guniibuu</t>
  </si>
  <si>
    <t>84147</t>
  </si>
  <si>
    <t>K2:III:</t>
  </si>
  <si>
    <t>84405</t>
  </si>
  <si>
    <t>155885</t>
  </si>
  <si>
    <t>6401</t>
  </si>
  <si>
    <t>Gl 663A</t>
  </si>
  <si>
    <t>36    Oph</t>
  </si>
  <si>
    <t>hyg:84147</t>
  </si>
  <si>
    <t>Gl 34B</t>
  </si>
  <si>
    <t>118021</t>
  </si>
  <si>
    <t>K7 V</t>
  </si>
  <si>
    <t>3814</t>
  </si>
  <si>
    <t>hyg:3814</t>
  </si>
  <si>
    <t>Achird</t>
  </si>
  <si>
    <t>G0V SB</t>
  </si>
  <si>
    <t>3821</t>
  </si>
  <si>
    <t>4614</t>
  </si>
  <si>
    <t>219</t>
  </si>
  <si>
    <t>Gl 34A</t>
  </si>
  <si>
    <t>24Eta Cas</t>
  </si>
  <si>
    <t>Gl 285</t>
  </si>
  <si>
    <t>37659</t>
  </si>
  <si>
    <t>37766</t>
  </si>
  <si>
    <t>hyg:37659</t>
  </si>
  <si>
    <t>Gl 664</t>
  </si>
  <si>
    <t>84220</t>
  </si>
  <si>
    <t>84478</t>
  </si>
  <si>
    <t>156026</t>
  </si>
  <si>
    <t>hyg:84220</t>
  </si>
  <si>
    <t>Gl 661A</t>
  </si>
  <si>
    <t>83882</t>
  </si>
  <si>
    <t>84140</t>
  </si>
  <si>
    <t>155876</t>
  </si>
  <si>
    <t>hyg:83882</t>
  </si>
  <si>
    <t>Gl 908</t>
  </si>
  <si>
    <t>117106</t>
  </si>
  <si>
    <t>117473</t>
  </si>
  <si>
    <t>hyg:117106</t>
  </si>
  <si>
    <t>Guniibuu B</t>
  </si>
  <si>
    <t>119135</t>
  </si>
  <si>
    <t>K1 Ve</t>
  </si>
  <si>
    <t>155886</t>
  </si>
  <si>
    <t>6402</t>
  </si>
  <si>
    <t>Gl 663B</t>
  </si>
  <si>
    <t>Gl 783A</t>
  </si>
  <si>
    <t>99143</t>
  </si>
  <si>
    <t>99461</t>
  </si>
  <si>
    <t>191408</t>
  </si>
  <si>
    <t>7703</t>
  </si>
  <si>
    <t>hyg:99143</t>
  </si>
  <si>
    <t>82 G. Eri</t>
  </si>
  <si>
    <t>HD 20794 b; HD 20794 d; HD 20794 e; HD 20794 f</t>
  </si>
  <si>
    <t>15471</t>
  </si>
  <si>
    <t>HD 20794</t>
  </si>
  <si>
    <t>15510</t>
  </si>
  <si>
    <t>20794</t>
  </si>
  <si>
    <t>1008</t>
  </si>
  <si>
    <t>Gl 139</t>
  </si>
  <si>
    <t>hyg:15471</t>
  </si>
  <si>
    <t>Gl 783B</t>
  </si>
  <si>
    <t>119334</t>
  </si>
  <si>
    <t>M3.5</t>
  </si>
  <si>
    <t>Gl 555</t>
  </si>
  <si>
    <t>HN Lib b</t>
  </si>
  <si>
    <t>71027</t>
  </si>
  <si>
    <t>HN Lib</t>
  </si>
  <si>
    <t>71253</t>
  </si>
  <si>
    <t>hyg:71027</t>
  </si>
  <si>
    <t>Gl 780</t>
  </si>
  <si>
    <t>98924</t>
  </si>
  <si>
    <t>G5IV-Vvar</t>
  </si>
  <si>
    <t>99240</t>
  </si>
  <si>
    <t>190248</t>
  </si>
  <si>
    <t>7665</t>
  </si>
  <si>
    <t>Del Pav</t>
  </si>
  <si>
    <t>hyg:98924</t>
  </si>
  <si>
    <t>GJ 3323</t>
  </si>
  <si>
    <t>GJ 3323 b; GJ 3323 c</t>
  </si>
  <si>
    <t>118344</t>
  </si>
  <si>
    <t>hyg:118344</t>
  </si>
  <si>
    <t>GJ 1221</t>
  </si>
  <si>
    <t>119184</t>
  </si>
  <si>
    <t>DXP9</t>
  </si>
  <si>
    <t>hyg:119184</t>
  </si>
  <si>
    <t>GJ 3454</t>
  </si>
  <si>
    <t>118488</t>
  </si>
  <si>
    <t>hyg:118488</t>
  </si>
  <si>
    <t>Gl 896A</t>
  </si>
  <si>
    <t>GJ 896 A b</t>
  </si>
  <si>
    <t>115766</t>
  </si>
  <si>
    <t>GJ 896 A</t>
  </si>
  <si>
    <t>M6Ve</t>
  </si>
  <si>
    <t>116132</t>
  </si>
  <si>
    <t>hyg:115766</t>
  </si>
  <si>
    <t>Gl 644A</t>
  </si>
  <si>
    <t>M3Ve</t>
  </si>
  <si>
    <t>82817</t>
  </si>
  <si>
    <t>152751</t>
  </si>
  <si>
    <t>Gl 784</t>
  </si>
  <si>
    <t>99382</t>
  </si>
  <si>
    <t>99701</t>
  </si>
  <si>
    <t>191849</t>
  </si>
  <si>
    <t>hyg:99382</t>
  </si>
  <si>
    <t>GJ 1128</t>
  </si>
  <si>
    <t>118644</t>
  </si>
  <si>
    <t>hyg:118644</t>
  </si>
  <si>
    <t>GJ 3877</t>
  </si>
  <si>
    <t>118995</t>
  </si>
  <si>
    <t>dM8</t>
  </si>
  <si>
    <t>hyg:118995</t>
  </si>
  <si>
    <t>Gl 581</t>
  </si>
  <si>
    <t>GJ 581 b; GJ 581 c; GJ 581 e</t>
  </si>
  <si>
    <t>74766</t>
  </si>
  <si>
    <t>GJ 581</t>
  </si>
  <si>
    <t>74995</t>
  </si>
  <si>
    <t>hyg:74766</t>
  </si>
  <si>
    <t>Gl 896B</t>
  </si>
  <si>
    <t>119568</t>
  </si>
  <si>
    <t>Gl 268</t>
  </si>
  <si>
    <t>34511</t>
  </si>
  <si>
    <t>34603</t>
  </si>
  <si>
    <t>hyg:34511</t>
  </si>
  <si>
    <t>Gl 661B</t>
  </si>
  <si>
    <t>119134</t>
  </si>
  <si>
    <t>Gl 338B</t>
  </si>
  <si>
    <t>GJ 338 B b</t>
  </si>
  <si>
    <t>45214</t>
  </si>
  <si>
    <t>GJ 338 B</t>
  </si>
  <si>
    <t>K2</t>
  </si>
  <si>
    <t>120005</t>
  </si>
  <si>
    <t>79211</t>
  </si>
  <si>
    <t>GJ 2097</t>
  </si>
  <si>
    <t>118865</t>
  </si>
  <si>
    <t>hyg:118865</t>
  </si>
  <si>
    <t>Gl 223.2</t>
  </si>
  <si>
    <t>118399</t>
  </si>
  <si>
    <t>DZ9</t>
  </si>
  <si>
    <t>hyg:118399</t>
  </si>
  <si>
    <t>Gl 625</t>
  </si>
  <si>
    <t>GJ 625 b</t>
  </si>
  <si>
    <t>80218</t>
  </si>
  <si>
    <t>GJ 625</t>
  </si>
  <si>
    <t>M2</t>
  </si>
  <si>
    <t>80459</t>
  </si>
  <si>
    <t>hyg:80218</t>
  </si>
  <si>
    <t>GJ 1156</t>
  </si>
  <si>
    <t>118812</t>
  </si>
  <si>
    <t>dM   e</t>
  </si>
  <si>
    <t>hyg:118812</t>
  </si>
  <si>
    <t>Gl 892</t>
  </si>
  <si>
    <t>HD 219134 b; HD 219134 c; HD 219134 d; HD 219134 f; HD 219134 g; HD 219134 h</t>
  </si>
  <si>
    <t>114260</t>
  </si>
  <si>
    <t>HD 219134</t>
  </si>
  <si>
    <t>K3Vvar</t>
  </si>
  <si>
    <t>114622</t>
  </si>
  <si>
    <t>219134</t>
  </si>
  <si>
    <t>8832</t>
  </si>
  <si>
    <t>hyg:114260</t>
  </si>
  <si>
    <t>Gl 408</t>
  </si>
  <si>
    <t>53612</t>
  </si>
  <si>
    <t>M3</t>
  </si>
  <si>
    <t>53767</t>
  </si>
  <si>
    <t>hyg:53612</t>
  </si>
  <si>
    <t>Gl 566B</t>
  </si>
  <si>
    <t>118988</t>
  </si>
  <si>
    <t>K4 Ve</t>
  </si>
  <si>
    <t>72432</t>
  </si>
  <si>
    <t>hyg:72432</t>
  </si>
  <si>
    <t>Gl 829</t>
  </si>
  <si>
    <t>105765</t>
  </si>
  <si>
    <t>106106</t>
  </si>
  <si>
    <t>hyg:105765</t>
  </si>
  <si>
    <t>Gl 566A</t>
  </si>
  <si>
    <t>G8V + K4V</t>
  </si>
  <si>
    <t>72659</t>
  </si>
  <si>
    <t>131156</t>
  </si>
  <si>
    <t>5544</t>
  </si>
  <si>
    <t>37Xi  Boo</t>
  </si>
  <si>
    <t>Gl 643</t>
  </si>
  <si>
    <t>82557</t>
  </si>
  <si>
    <t>82809</t>
  </si>
  <si>
    <t>hyg:82557</t>
  </si>
  <si>
    <t>Gl 299</t>
  </si>
  <si>
    <t>118530</t>
  </si>
  <si>
    <t>dM5</t>
  </si>
  <si>
    <t>hyg:118530</t>
  </si>
  <si>
    <t>Gl 402</t>
  </si>
  <si>
    <t>52866</t>
  </si>
  <si>
    <t>M4:</t>
  </si>
  <si>
    <t>53020</t>
  </si>
  <si>
    <t>hyg:52866</t>
  </si>
  <si>
    <t>GJ 4285</t>
  </si>
  <si>
    <t>119513</t>
  </si>
  <si>
    <t>hyg:119513</t>
  </si>
  <si>
    <t>HIP 85605</t>
  </si>
  <si>
    <t>85345</t>
  </si>
  <si>
    <t>85605</t>
  </si>
  <si>
    <t>hyg:85345</t>
  </si>
  <si>
    <t>Gl 667A</t>
  </si>
  <si>
    <t>84451</t>
  </si>
  <si>
    <t>84709</t>
  </si>
  <si>
    <t>156384</t>
  </si>
  <si>
    <t>6426</t>
  </si>
  <si>
    <t>hyg:84451</t>
  </si>
  <si>
    <t>Gl 880</t>
  </si>
  <si>
    <t>112936</t>
  </si>
  <si>
    <t>M2:</t>
  </si>
  <si>
    <t>113296</t>
  </si>
  <si>
    <t>216899</t>
  </si>
  <si>
    <t>hyg:112936</t>
  </si>
  <si>
    <t>Gl 293</t>
  </si>
  <si>
    <t>118510</t>
  </si>
  <si>
    <t>DQ9</t>
  </si>
  <si>
    <t>hyg:118510</t>
  </si>
  <si>
    <t>Gl 667B</t>
  </si>
  <si>
    <t>119143</t>
  </si>
  <si>
    <t>K5 V</t>
  </si>
  <si>
    <t>Gl 667C</t>
  </si>
  <si>
    <t>GJ 667 C b; GJ 667 C c; GJ 667 C e; GJ 667 C f; GJ 667 C g</t>
  </si>
  <si>
    <t>119144</t>
  </si>
  <si>
    <t>GJ 667 C</t>
  </si>
  <si>
    <t>M2.5</t>
  </si>
  <si>
    <t>Gl 809</t>
  </si>
  <si>
    <t>102765</t>
  </si>
  <si>
    <t>103096</t>
  </si>
  <si>
    <t>199305</t>
  </si>
  <si>
    <t>hyg:102765</t>
  </si>
  <si>
    <t>Gl 393</t>
  </si>
  <si>
    <t>GJ 393 b</t>
  </si>
  <si>
    <t>51172</t>
  </si>
  <si>
    <t>GJ 393</t>
  </si>
  <si>
    <t>51317</t>
  </si>
  <si>
    <t>hyg:51172</t>
  </si>
  <si>
    <t>268 G. Cet</t>
  </si>
  <si>
    <t>12082</t>
  </si>
  <si>
    <t>K3V</t>
  </si>
  <si>
    <t>12114</t>
  </si>
  <si>
    <t>16160</t>
  </si>
  <si>
    <t>753</t>
  </si>
  <si>
    <t>Gl 105A</t>
  </si>
  <si>
    <t>hyg:12082</t>
  </si>
  <si>
    <t>GJ 3737</t>
  </si>
  <si>
    <t>118835</t>
  </si>
  <si>
    <t>hyg:118835</t>
  </si>
  <si>
    <t>Gl 105B</t>
  </si>
  <si>
    <t>118157</t>
  </si>
  <si>
    <t>dM4.5</t>
  </si>
  <si>
    <t>GJ 1286</t>
  </si>
  <si>
    <t>119571</t>
  </si>
  <si>
    <t>hyg:119571</t>
  </si>
  <si>
    <t>GJ 4053</t>
  </si>
  <si>
    <t>119212</t>
  </si>
  <si>
    <t>hyg:119212</t>
  </si>
  <si>
    <t>GJ 1230A</t>
  </si>
  <si>
    <t>119229</t>
  </si>
  <si>
    <t>k-m</t>
  </si>
  <si>
    <t>hyg:119229</t>
  </si>
  <si>
    <t>GJ 1230B</t>
  </si>
  <si>
    <t>119230</t>
  </si>
  <si>
    <t>GJ 3991</t>
  </si>
  <si>
    <t>83688</t>
  </si>
  <si>
    <t>83945</t>
  </si>
  <si>
    <t>hyg:83688</t>
  </si>
  <si>
    <t>96 G. Psc</t>
  </si>
  <si>
    <t>3759</t>
  </si>
  <si>
    <t>3765</t>
  </si>
  <si>
    <t>4628</t>
  </si>
  <si>
    <t>222</t>
  </si>
  <si>
    <t>Gl 33</t>
  </si>
  <si>
    <t>hyg:3759</t>
  </si>
  <si>
    <t>GJ 4274</t>
  </si>
  <si>
    <t>GJ 4274 b; GJ 4274 c</t>
  </si>
  <si>
    <t>119492</t>
  </si>
  <si>
    <t>hyg:119492</t>
  </si>
  <si>
    <t>Gl 19</t>
  </si>
  <si>
    <t>2016</t>
  </si>
  <si>
    <t>G2IV</t>
  </si>
  <si>
    <t>2021</t>
  </si>
  <si>
    <t>2151</t>
  </si>
  <si>
    <t>98</t>
  </si>
  <si>
    <t>Bet Hyi</t>
  </si>
  <si>
    <t>hyg:2016</t>
  </si>
  <si>
    <t>Gl 109</t>
  </si>
  <si>
    <t>12748</t>
  </si>
  <si>
    <t>12781</t>
  </si>
  <si>
    <t>hyg:12748</t>
  </si>
  <si>
    <t>HIP 62951</t>
  </si>
  <si>
    <t>62752</t>
  </si>
  <si>
    <t>A2</t>
  </si>
  <si>
    <t>62951</t>
  </si>
  <si>
    <t>hyg:62752</t>
  </si>
  <si>
    <t>GJ 2005</t>
  </si>
  <si>
    <t>117987</t>
  </si>
  <si>
    <t>M5.5</t>
  </si>
  <si>
    <t>hyg:117987</t>
  </si>
  <si>
    <t>Gl 68</t>
  </si>
  <si>
    <t>7966</t>
  </si>
  <si>
    <t>7981</t>
  </si>
  <si>
    <t>10476</t>
  </si>
  <si>
    <t>493</t>
  </si>
  <si>
    <t>107    Psc</t>
  </si>
  <si>
    <t>hyg:7966</t>
  </si>
  <si>
    <t>GJ 1224</t>
  </si>
  <si>
    <t>119199</t>
  </si>
  <si>
    <t>hyg:119199</t>
  </si>
  <si>
    <t>Gl 53B</t>
  </si>
  <si>
    <t>118043</t>
  </si>
  <si>
    <t>5325</t>
  </si>
  <si>
    <t>hyg:5325</t>
  </si>
  <si>
    <t>Gl 53A</t>
  </si>
  <si>
    <t>G5Vp</t>
  </si>
  <si>
    <t>5336</t>
  </si>
  <si>
    <t>6582</t>
  </si>
  <si>
    <t>321</t>
  </si>
  <si>
    <t>30Mu  Cas</t>
  </si>
  <si>
    <t>GJ 3378</t>
  </si>
  <si>
    <t>GJ 3378 b</t>
  </si>
  <si>
    <t>118405</t>
  </si>
  <si>
    <t>hyg:118405</t>
  </si>
  <si>
    <t>Gl 879</t>
  </si>
  <si>
    <t>112923</t>
  </si>
  <si>
    <t>K4Vp</t>
  </si>
  <si>
    <t>113283</t>
  </si>
  <si>
    <t>216803</t>
  </si>
  <si>
    <t>8721</t>
  </si>
  <si>
    <t>hyg:112923</t>
  </si>
  <si>
    <t>GJ 3193B</t>
  </si>
  <si>
    <t>118187</t>
  </si>
  <si>
    <t>hyg:118187</t>
  </si>
  <si>
    <t>GJ 3192</t>
  </si>
  <si>
    <t>119616</t>
  </si>
  <si>
    <t>hyg:119616</t>
  </si>
  <si>
    <t>Gl 514</t>
  </si>
  <si>
    <t>GJ 514 b</t>
  </si>
  <si>
    <t>65653</t>
  </si>
  <si>
    <t>GJ 514</t>
  </si>
  <si>
    <t>65859</t>
  </si>
  <si>
    <t>hyg:65653</t>
  </si>
  <si>
    <t>Vega</t>
  </si>
  <si>
    <t>90979</t>
  </si>
  <si>
    <t>A0Vvar</t>
  </si>
  <si>
    <t>91262</t>
  </si>
  <si>
    <t>172167</t>
  </si>
  <si>
    <t>7001</t>
  </si>
  <si>
    <t>Gl 721</t>
  </si>
  <si>
    <t>3Alp Lyr</t>
  </si>
  <si>
    <t>hyg:90979</t>
  </si>
  <si>
    <t>Gl 673</t>
  </si>
  <si>
    <t>85036</t>
  </si>
  <si>
    <t>85295</t>
  </si>
  <si>
    <t>157881</t>
  </si>
  <si>
    <t>hyg:85036</t>
  </si>
  <si>
    <t>Fomalhaut</t>
  </si>
  <si>
    <t>113008</t>
  </si>
  <si>
    <t>A3V</t>
  </si>
  <si>
    <t>113368</t>
  </si>
  <si>
    <t>216956</t>
  </si>
  <si>
    <t>8728</t>
  </si>
  <si>
    <t>Gl 881</t>
  </si>
  <si>
    <t>24Alp PsA</t>
  </si>
  <si>
    <t>hyg:113008</t>
  </si>
  <si>
    <t>GJ 3417</t>
  </si>
  <si>
    <t>118451</t>
  </si>
  <si>
    <t>hyg:118451</t>
  </si>
  <si>
    <t>GJ 1093</t>
  </si>
  <si>
    <t>118455</t>
  </si>
  <si>
    <t>hyg:118455</t>
  </si>
  <si>
    <t>Gl 701</t>
  </si>
  <si>
    <t>88300</t>
  </si>
  <si>
    <t>88574</t>
  </si>
  <si>
    <t>165222</t>
  </si>
  <si>
    <t>hyg:88300</t>
  </si>
  <si>
    <t>Gl 480.1</t>
  </si>
  <si>
    <t>61681</t>
  </si>
  <si>
    <t>61874</t>
  </si>
  <si>
    <t>hyg:61681</t>
  </si>
  <si>
    <t>Gl 915</t>
  </si>
  <si>
    <t>119615</t>
  </si>
  <si>
    <t>DA5</t>
  </si>
  <si>
    <t>hyg:119615</t>
  </si>
  <si>
    <t>p Eridani</t>
  </si>
  <si>
    <t>7736</t>
  </si>
  <si>
    <t>7751</t>
  </si>
  <si>
    <t>10360</t>
  </si>
  <si>
    <t>486</t>
  </si>
  <si>
    <t>Gl 66B</t>
  </si>
  <si>
    <t>118084</t>
  </si>
  <si>
    <t>hyg:118084</t>
  </si>
  <si>
    <t>Gl 382</t>
  </si>
  <si>
    <t>49845</t>
  </si>
  <si>
    <t>49986</t>
  </si>
  <si>
    <t>hyg:49845</t>
  </si>
  <si>
    <t>GJ 3789</t>
  </si>
  <si>
    <t>118894</t>
  </si>
  <si>
    <t>M4  e</t>
  </si>
  <si>
    <t>hyg:118894</t>
  </si>
  <si>
    <t>GJ 1087</t>
  </si>
  <si>
    <t>118400</t>
  </si>
  <si>
    <t>DAP9</t>
  </si>
  <si>
    <t>hyg:118400</t>
  </si>
  <si>
    <t>Gl 793</t>
  </si>
  <si>
    <t>100854</t>
  </si>
  <si>
    <t>101180</t>
  </si>
  <si>
    <t>hyg:100854</t>
  </si>
  <si>
    <t>Gl 257A</t>
  </si>
  <si>
    <t>33412</t>
  </si>
  <si>
    <t>M4+...</t>
  </si>
  <si>
    <t>33499</t>
  </si>
  <si>
    <t>hyg:33412</t>
  </si>
  <si>
    <t>Gl 831B</t>
  </si>
  <si>
    <t>119418</t>
  </si>
  <si>
    <t>105913</t>
  </si>
  <si>
    <t>hyg:105913</t>
  </si>
  <si>
    <t>Gl 257B</t>
  </si>
  <si>
    <t>118454</t>
  </si>
  <si>
    <t>GJ 1276</t>
  </si>
  <si>
    <t>119536</t>
  </si>
  <si>
    <t>DZ9+</t>
  </si>
  <si>
    <t>hyg:119536</t>
  </si>
  <si>
    <t>Gl 623</t>
  </si>
  <si>
    <t>80105</t>
  </si>
  <si>
    <t>80346</t>
  </si>
  <si>
    <t>hyg:80105</t>
  </si>
  <si>
    <t>Gl 713A</t>
  </si>
  <si>
    <t>89660</t>
  </si>
  <si>
    <t>F7Vvar</t>
  </si>
  <si>
    <t>89937</t>
  </si>
  <si>
    <t>170153</t>
  </si>
  <si>
    <t>6927</t>
  </si>
  <si>
    <t>44Chi Dra</t>
  </si>
  <si>
    <t>hyg:89660</t>
  </si>
  <si>
    <t>GJ 4063</t>
  </si>
  <si>
    <t>119224</t>
  </si>
  <si>
    <t>M3  p</t>
  </si>
  <si>
    <t>hyg:119224</t>
  </si>
  <si>
    <t>Tabit</t>
  </si>
  <si>
    <t>22396</t>
  </si>
  <si>
    <t>F6V</t>
  </si>
  <si>
    <t>22449</t>
  </si>
  <si>
    <t>30652</t>
  </si>
  <si>
    <t>1543</t>
  </si>
  <si>
    <t>Gl 178</t>
  </si>
  <si>
    <t>1Pi 3Ori</t>
  </si>
  <si>
    <t>hyg:22396</t>
  </si>
  <si>
    <t>Gl 686</t>
  </si>
  <si>
    <t>Gl 686 b</t>
  </si>
  <si>
    <t>86022</t>
  </si>
  <si>
    <t>M1</t>
  </si>
  <si>
    <t>86287</t>
  </si>
  <si>
    <t>hyg:86022</t>
  </si>
  <si>
    <t>GJ 2034</t>
  </si>
  <si>
    <t>RR Cae b</t>
  </si>
  <si>
    <t>RR Cae: Catalog distances differ by &gt;20%; HYG controls selection.</t>
  </si>
  <si>
    <t>118293</t>
  </si>
  <si>
    <t>RR Cae</t>
  </si>
  <si>
    <t>DA8</t>
  </si>
  <si>
    <t>hyg:118293</t>
  </si>
  <si>
    <t>GJ 1123</t>
  </si>
  <si>
    <t>118621</t>
  </si>
  <si>
    <t>hyg:118621</t>
  </si>
  <si>
    <t>GJ 1289</t>
  </si>
  <si>
    <t>GJ 1289 b</t>
  </si>
  <si>
    <t>119588</t>
  </si>
  <si>
    <t>hyg:119588</t>
  </si>
  <si>
    <t>Gl 493.1</t>
  </si>
  <si>
    <t>118861</t>
  </si>
  <si>
    <t>hyg:118861</t>
  </si>
  <si>
    <t>K2 V</t>
  </si>
  <si>
    <t>10361</t>
  </si>
  <si>
    <t>487</t>
  </si>
  <si>
    <t>Gl 66A</t>
  </si>
  <si>
    <t>Gl 747A</t>
  </si>
  <si>
    <t>119260</t>
  </si>
  <si>
    <t>M3.5 J</t>
  </si>
  <si>
    <t>hyg:119260</t>
  </si>
  <si>
    <t>Gl 747B</t>
  </si>
  <si>
    <t>119261</t>
  </si>
  <si>
    <t>M5   K</t>
  </si>
  <si>
    <t>Gl 518</t>
  </si>
  <si>
    <t>118902</t>
  </si>
  <si>
    <t>hyg:118902</t>
  </si>
  <si>
    <t>Gl 54</t>
  </si>
  <si>
    <t>5485</t>
  </si>
  <si>
    <t>K</t>
  </si>
  <si>
    <t>5496</t>
  </si>
  <si>
    <t>hyg:5485</t>
  </si>
  <si>
    <t>GJ 1151</t>
  </si>
  <si>
    <t>GJ 1151 c</t>
  </si>
  <si>
    <t>118777</t>
  </si>
  <si>
    <t>hyg:118777</t>
  </si>
  <si>
    <t>Gl 884</t>
  </si>
  <si>
    <t>113216</t>
  </si>
  <si>
    <t>K5/M0V</t>
  </si>
  <si>
    <t>113576</t>
  </si>
  <si>
    <t>217357</t>
  </si>
  <si>
    <t>hyg:113216</t>
  </si>
  <si>
    <t>Gl 48</t>
  </si>
  <si>
    <t>Gliese 48 b</t>
  </si>
  <si>
    <t>4847</t>
  </si>
  <si>
    <t>Gliese 48</t>
  </si>
  <si>
    <t>M3.5e</t>
  </si>
  <si>
    <t>4856</t>
  </si>
  <si>
    <t>hyg:4847</t>
  </si>
  <si>
    <t>GJ 1227</t>
  </si>
  <si>
    <t>119218</t>
  </si>
  <si>
    <t>hyg:119218</t>
  </si>
  <si>
    <t>Gl 831A</t>
  </si>
  <si>
    <t>M4e...</t>
  </si>
  <si>
    <t>106255</t>
  </si>
  <si>
    <t>Gl 695A</t>
  </si>
  <si>
    <t>86705</t>
  </si>
  <si>
    <t>G5IV</t>
  </si>
  <si>
    <t>86974</t>
  </si>
  <si>
    <t>161797</t>
  </si>
  <si>
    <t>6623</t>
  </si>
  <si>
    <t>86Mu  Her</t>
  </si>
  <si>
    <t>hyg:86705</t>
  </si>
  <si>
    <t>Gl 232</t>
  </si>
  <si>
    <t>118425</t>
  </si>
  <si>
    <t>hyg:118425</t>
  </si>
  <si>
    <t>Gl 618A</t>
  </si>
  <si>
    <t>79777</t>
  </si>
  <si>
    <t>80018</t>
  </si>
  <si>
    <t>hyg:79777</t>
  </si>
  <si>
    <t>Gar</t>
  </si>
  <si>
    <t>GJ 486 b</t>
  </si>
  <si>
    <t>62257</t>
  </si>
  <si>
    <t>GJ 486</t>
  </si>
  <si>
    <t>62452</t>
  </si>
  <si>
    <t>Gl 486</t>
  </si>
  <si>
    <t>hyg:62257</t>
  </si>
  <si>
    <t>Gl 695B</t>
  </si>
  <si>
    <t>119179</t>
  </si>
  <si>
    <t>M3   J</t>
  </si>
  <si>
    <t>Gl 695C</t>
  </si>
  <si>
    <t>119180</t>
  </si>
  <si>
    <t>M4   K</t>
  </si>
  <si>
    <t>Gl 438</t>
  </si>
  <si>
    <t>118769</t>
  </si>
  <si>
    <t>K0</t>
  </si>
  <si>
    <t>hyg:118769</t>
  </si>
  <si>
    <t>Chara</t>
  </si>
  <si>
    <t>61124</t>
  </si>
  <si>
    <t>G0V</t>
  </si>
  <si>
    <t>61317</t>
  </si>
  <si>
    <t>109358</t>
  </si>
  <si>
    <t>4785</t>
  </si>
  <si>
    <t>Gl 475</t>
  </si>
  <si>
    <t>8Bet CVn</t>
  </si>
  <si>
    <t>hyg:61124</t>
  </si>
  <si>
    <t>GJ 3146</t>
  </si>
  <si>
    <t>118128</t>
  </si>
  <si>
    <t>hyg:118128</t>
  </si>
  <si>
    <t>GJ 1154A</t>
  </si>
  <si>
    <t>118805</t>
  </si>
  <si>
    <t>hyg:118805</t>
  </si>
  <si>
    <t>GJ 1057</t>
  </si>
  <si>
    <t>CD Cet b</t>
  </si>
  <si>
    <t>118201</t>
  </si>
  <si>
    <t>CD Cet</t>
  </si>
  <si>
    <t>hyg:118201</t>
  </si>
  <si>
    <t>Gl 618B</t>
  </si>
  <si>
    <t>119077</t>
  </si>
  <si>
    <t>M5  :</t>
  </si>
  <si>
    <t>GJ 3076</t>
  </si>
  <si>
    <t>118048</t>
  </si>
  <si>
    <t>hyg:118048</t>
  </si>
  <si>
    <t>Gl 745A</t>
  </si>
  <si>
    <t>93578</t>
  </si>
  <si>
    <t>93873</t>
  </si>
  <si>
    <t>hyg:93578</t>
  </si>
  <si>
    <t>Gl 185B</t>
  </si>
  <si>
    <t>118345</t>
  </si>
  <si>
    <t>23397</t>
  </si>
  <si>
    <t>hyg:23397</t>
  </si>
  <si>
    <t>HIP 18899</t>
  </si>
  <si>
    <t>18852</t>
  </si>
  <si>
    <t>18899</t>
  </si>
  <si>
    <t>hyg:18852</t>
  </si>
  <si>
    <t>Gl 506</t>
  </si>
  <si>
    <t>61 Vir b; 61 Vir c; 61 Vir d</t>
  </si>
  <si>
    <t>64720</t>
  </si>
  <si>
    <t>61 Vir</t>
  </si>
  <si>
    <t>G5V</t>
  </si>
  <si>
    <t>64924</t>
  </si>
  <si>
    <t>115617</t>
  </si>
  <si>
    <t>5019</t>
  </si>
  <si>
    <t>61    Vir</t>
  </si>
  <si>
    <t>hyg:64720</t>
  </si>
  <si>
    <t>GJ 3517</t>
  </si>
  <si>
    <t>118572</t>
  </si>
  <si>
    <t>hyg:118572</t>
  </si>
  <si>
    <t>Gl 185A</t>
  </si>
  <si>
    <t>23452</t>
  </si>
  <si>
    <t>32450</t>
  </si>
  <si>
    <t>Gl 450</t>
  </si>
  <si>
    <t>57629</t>
  </si>
  <si>
    <t>57802</t>
  </si>
  <si>
    <t>hyg:57629</t>
  </si>
  <si>
    <t>Gl 17</t>
  </si>
  <si>
    <t>1595</t>
  </si>
  <si>
    <t>F9V</t>
  </si>
  <si>
    <t>1599</t>
  </si>
  <si>
    <t>1581</t>
  </si>
  <si>
    <t>77</t>
  </si>
  <si>
    <t>Zet Tuc</t>
  </si>
  <si>
    <t>hyg:1595</t>
  </si>
  <si>
    <t>Gl 877</t>
  </si>
  <si>
    <t>112869</t>
  </si>
  <si>
    <t>113229</t>
  </si>
  <si>
    <t>hyg:112869</t>
  </si>
  <si>
    <t>GJ 1105</t>
  </si>
  <si>
    <t>38846</t>
  </si>
  <si>
    <t>M4V</t>
  </si>
  <si>
    <t>38956</t>
  </si>
  <si>
    <t>hyg:38846</t>
  </si>
  <si>
    <t>Gl 867B</t>
  </si>
  <si>
    <t>119519</t>
  </si>
  <si>
    <t>dM4  e</t>
  </si>
  <si>
    <t>111450</t>
  </si>
  <si>
    <t>hyg:111450</t>
  </si>
  <si>
    <t>Gl 222A</t>
  </si>
  <si>
    <t>27844</t>
  </si>
  <si>
    <t>27913</t>
  </si>
  <si>
    <t>39587</t>
  </si>
  <si>
    <t>2047</t>
  </si>
  <si>
    <t>54Chi1Ori</t>
  </si>
  <si>
    <t>hyg:27844</t>
  </si>
  <si>
    <t>HIP 31292</t>
  </si>
  <si>
    <t>31220</t>
  </si>
  <si>
    <t>31292</t>
  </si>
  <si>
    <t>hyg:31220</t>
  </si>
  <si>
    <t>Gl 867A</t>
  </si>
  <si>
    <t>M0Vpe</t>
  </si>
  <si>
    <t>111802</t>
  </si>
  <si>
    <t>214479</t>
  </si>
  <si>
    <t>GJ 3839</t>
  </si>
  <si>
    <t>118955</t>
  </si>
  <si>
    <t>hyg:118955</t>
  </si>
  <si>
    <t>Gl 250B</t>
  </si>
  <si>
    <t>118446</t>
  </si>
  <si>
    <t>32897</t>
  </si>
  <si>
    <t>hyg:32897</t>
  </si>
  <si>
    <t>Gl 183</t>
  </si>
  <si>
    <t>23256</t>
  </si>
  <si>
    <t>23311</t>
  </si>
  <si>
    <t>32147</t>
  </si>
  <si>
    <t>1614</t>
  </si>
  <si>
    <t>hyg:23256</t>
  </si>
  <si>
    <t>Gl 250A</t>
  </si>
  <si>
    <t>32984</t>
  </si>
  <si>
    <t>50281</t>
  </si>
  <si>
    <t>Gl 745B</t>
  </si>
  <si>
    <t>93604</t>
  </si>
  <si>
    <t>93899</t>
  </si>
  <si>
    <t>349726</t>
  </si>
  <si>
    <t>Gl 791.2</t>
  </si>
  <si>
    <t>119346</t>
  </si>
  <si>
    <t>hyg:119346</t>
  </si>
  <si>
    <t>GJ 2069B</t>
  </si>
  <si>
    <t>118543</t>
  </si>
  <si>
    <t>41706</t>
  </si>
  <si>
    <t>hyg:41706</t>
  </si>
  <si>
    <t>GJ 3667</t>
  </si>
  <si>
    <t>118756</t>
  </si>
  <si>
    <t>DC8</t>
  </si>
  <si>
    <t>hyg:118756</t>
  </si>
  <si>
    <t>Gl 666B</t>
  </si>
  <si>
    <t>119141</t>
  </si>
  <si>
    <t>M0 V</t>
  </si>
  <si>
    <t>84462</t>
  </si>
  <si>
    <t>hyg:84462</t>
  </si>
  <si>
    <t>GJ 1103A</t>
  </si>
  <si>
    <t>118503</t>
  </si>
  <si>
    <t>hyg:118503</t>
  </si>
  <si>
    <t>GJ 1103B</t>
  </si>
  <si>
    <t>118504</t>
  </si>
  <si>
    <t>Gl 666A</t>
  </si>
  <si>
    <t>84720</t>
  </si>
  <si>
    <t>156274</t>
  </si>
  <si>
    <t>6416</t>
  </si>
  <si>
    <t>Gl 203</t>
  </si>
  <si>
    <t>25514</t>
  </si>
  <si>
    <t>25578</t>
  </si>
  <si>
    <t>hyg:25514</t>
  </si>
  <si>
    <t>Gl 465</t>
  </si>
  <si>
    <t>60373</t>
  </si>
  <si>
    <t>60559</t>
  </si>
  <si>
    <t>hyg:60373</t>
  </si>
  <si>
    <t>Gl 433</t>
  </si>
  <si>
    <t>GJ 433 b; GJ 433 c; GJ 433 d</t>
  </si>
  <si>
    <t>56359</t>
  </si>
  <si>
    <t>GJ 433</t>
  </si>
  <si>
    <t>56528</t>
  </si>
  <si>
    <t>hyg:56359</t>
  </si>
  <si>
    <t>GJ 4247</t>
  </si>
  <si>
    <t>108361</t>
  </si>
  <si>
    <t>108706</t>
  </si>
  <si>
    <t>hyg:108361</t>
  </si>
  <si>
    <t>Gl 318</t>
  </si>
  <si>
    <t>118557</t>
  </si>
  <si>
    <t>DA6</t>
  </si>
  <si>
    <t>hyg:118557</t>
  </si>
  <si>
    <t>Gl 785</t>
  </si>
  <si>
    <t>HD 192310 b; HD 192310 c</t>
  </si>
  <si>
    <t>99507</t>
  </si>
  <si>
    <t>HD 192310</t>
  </si>
  <si>
    <t>99825</t>
  </si>
  <si>
    <t>192310</t>
  </si>
  <si>
    <t>7722</t>
  </si>
  <si>
    <t>hyg:99507</t>
  </si>
  <si>
    <t>Gl 424</t>
  </si>
  <si>
    <t>55195</t>
  </si>
  <si>
    <t>M1Vvar</t>
  </si>
  <si>
    <t>55360</t>
  </si>
  <si>
    <t>hyg:55195</t>
  </si>
  <si>
    <t>HIP 94223</t>
  </si>
  <si>
    <t>93930</t>
  </si>
  <si>
    <t>94223</t>
  </si>
  <si>
    <t>hyg:93930</t>
  </si>
  <si>
    <t>Gl 216A</t>
  </si>
  <si>
    <t>27006</t>
  </si>
  <si>
    <t>F7V</t>
  </si>
  <si>
    <t>27072</t>
  </si>
  <si>
    <t>38393</t>
  </si>
  <si>
    <t>1983</t>
  </si>
  <si>
    <t>13Gam Lep</t>
  </si>
  <si>
    <t>hyg:27006</t>
  </si>
  <si>
    <t>GJ 3128</t>
  </si>
  <si>
    <t>118104</t>
  </si>
  <si>
    <t>hyg:118104</t>
  </si>
  <si>
    <t>Gl 283A</t>
  </si>
  <si>
    <t>118495</t>
  </si>
  <si>
    <t>DZQ6</t>
  </si>
  <si>
    <t>hyg:118495</t>
  </si>
  <si>
    <t>Gl 283B</t>
  </si>
  <si>
    <t>118496</t>
  </si>
  <si>
    <t>GJ 3707</t>
  </si>
  <si>
    <t>118800</t>
  </si>
  <si>
    <t>hyg:118800</t>
  </si>
  <si>
    <t>GJ 3820</t>
  </si>
  <si>
    <t>118938</t>
  </si>
  <si>
    <t>K2 :</t>
  </si>
  <si>
    <t>hyg:118938</t>
  </si>
  <si>
    <t>Gl 216B</t>
  </si>
  <si>
    <t>118392</t>
  </si>
  <si>
    <t>38392</t>
  </si>
  <si>
    <t>1982</t>
  </si>
  <si>
    <t>GJ 4360</t>
  </si>
  <si>
    <t>119591</t>
  </si>
  <si>
    <t>hyg:119591</t>
  </si>
  <si>
    <t>Gl 51</t>
  </si>
  <si>
    <t>118037</t>
  </si>
  <si>
    <t>hyg:118037</t>
  </si>
  <si>
    <t>HIP 31293</t>
  </si>
  <si>
    <t>31215</t>
  </si>
  <si>
    <t>31293</t>
  </si>
  <si>
    <t>hyg:31215</t>
  </si>
  <si>
    <t>Gl 357</t>
  </si>
  <si>
    <t>GJ 357 b; GJ 357 c; GJ 357 d</t>
  </si>
  <si>
    <t>46970</t>
  </si>
  <si>
    <t>GJ 357</t>
  </si>
  <si>
    <t>47103</t>
  </si>
  <si>
    <t>hyg:46970</t>
  </si>
  <si>
    <t>Rana</t>
  </si>
  <si>
    <t>17336</t>
  </si>
  <si>
    <t>K0IV</t>
  </si>
  <si>
    <t>17378</t>
  </si>
  <si>
    <t>23249</t>
  </si>
  <si>
    <t>1136</t>
  </si>
  <si>
    <t>Gl 150</t>
  </si>
  <si>
    <t>23Del Eri</t>
  </si>
  <si>
    <t>hyg:17336</t>
  </si>
  <si>
    <t>Groombridge 1830</t>
  </si>
  <si>
    <t>57767</t>
  </si>
  <si>
    <t>G8Vp</t>
  </si>
  <si>
    <t>57939</t>
  </si>
  <si>
    <t>103095</t>
  </si>
  <si>
    <t>4550</t>
  </si>
  <si>
    <t>Gl 451A</t>
  </si>
  <si>
    <t>hyg:57767</t>
  </si>
  <si>
    <t>Gl 849</t>
  </si>
  <si>
    <t>GJ 849 b; GJ 849 c</t>
  </si>
  <si>
    <t>109042</t>
  </si>
  <si>
    <t>GJ 849</t>
  </si>
  <si>
    <t>109388</t>
  </si>
  <si>
    <t>hyg:109042</t>
  </si>
  <si>
    <t>GJ 2066</t>
  </si>
  <si>
    <t>40386</t>
  </si>
  <si>
    <t>40501</t>
  </si>
  <si>
    <t>hyg:40386</t>
  </si>
  <si>
    <t>Gl 502</t>
  </si>
  <si>
    <t>64189</t>
  </si>
  <si>
    <t>64394</t>
  </si>
  <si>
    <t>114710</t>
  </si>
  <si>
    <t>4983</t>
  </si>
  <si>
    <t>43Bet Com</t>
  </si>
  <si>
    <t>hyg:64189</t>
  </si>
  <si>
    <t>Gl 137</t>
  </si>
  <si>
    <t>15419</t>
  </si>
  <si>
    <t>G5Vvar</t>
  </si>
  <si>
    <t>15457</t>
  </si>
  <si>
    <t>20630</t>
  </si>
  <si>
    <t>996</t>
  </si>
  <si>
    <t>96Kap1Cet</t>
  </si>
  <si>
    <t>hyg:15419</t>
  </si>
  <si>
    <t>Gl 84</t>
  </si>
  <si>
    <t>9702</t>
  </si>
  <si>
    <t>9724</t>
  </si>
  <si>
    <t>hyg:9702</t>
  </si>
  <si>
    <t>Gl 451B</t>
  </si>
  <si>
    <t>118779</t>
  </si>
  <si>
    <t>GJ 3421</t>
  </si>
  <si>
    <t>118459</t>
  </si>
  <si>
    <t>hyg:118459</t>
  </si>
  <si>
    <t>planet_name</t>
  </si>
  <si>
    <t>host_name</t>
  </si>
  <si>
    <t>hyg_star_name</t>
  </si>
  <si>
    <t>include_in_count</t>
  </si>
  <si>
    <t>semi_major_axis_au</t>
  </si>
  <si>
    <t>orbital_period_days</t>
  </si>
  <si>
    <t>eccentricity</t>
  </si>
  <si>
    <t>insolation_earth</t>
  </si>
  <si>
    <t>equilibrium_temperature_k</t>
  </si>
  <si>
    <t>radius_earth</t>
  </si>
  <si>
    <t>mass_or_msini_earth</t>
  </si>
  <si>
    <t>stellar_temperature_k</t>
  </si>
  <si>
    <t>stellar_mass_solar</t>
  </si>
  <si>
    <t>stellar_radius_solar</t>
  </si>
  <si>
    <t>stellar_metallicity_dex</t>
  </si>
  <si>
    <t>mass_provenance</t>
  </si>
  <si>
    <t>controversial</t>
  </si>
  <si>
    <t>discovery_method</t>
  </si>
  <si>
    <t>discovery_year</t>
  </si>
  <si>
    <t>nasa_distance_ly</t>
  </si>
  <si>
    <t>hyg_distance_ly</t>
  </si>
  <si>
    <t>distance_difference_percent</t>
  </si>
  <si>
    <t>angular_separation_arcsec</t>
  </si>
  <si>
    <t>parameter_selection</t>
  </si>
  <si>
    <t>source_rows</t>
  </si>
  <si>
    <t>system_planet_count</t>
  </si>
  <si>
    <t>system_star_count</t>
  </si>
  <si>
    <t>solution_type</t>
  </si>
  <si>
    <t>reference</t>
  </si>
  <si>
    <t>reference_url</t>
  </si>
  <si>
    <t>stellar_reference</t>
  </si>
  <si>
    <t>system_reference</t>
  </si>
  <si>
    <t>row_updated</t>
  </si>
  <si>
    <t>61 Vir b</t>
  </si>
  <si>
    <t>Msini</t>
  </si>
  <si>
    <t>Radial Velocity</t>
  </si>
  <si>
    <t>NASA default</t>
  </si>
  <si>
    <t>Published Confirmed</t>
  </si>
  <si>
    <t>Vogt et al. 2010</t>
  </si>
  <si>
    <t>https://ui.adsabs.harvard.edu/abs/2010ApJ...708.1366V/abstract</t>
  </si>
  <si>
    <t>TICv8</t>
  </si>
  <si>
    <t>2014-05-14</t>
  </si>
  <si>
    <t>61 Vir c</t>
  </si>
  <si>
    <t>61 Vir d</t>
  </si>
  <si>
    <t>Barnard b</t>
  </si>
  <si>
    <t>Basant et al. 2025</t>
  </si>
  <si>
    <t>https://ui.adsabs.harvard.edu/abs/2025ApJ...982L...1B/abstract</t>
  </si>
  <si>
    <t>González Hernández et al. 2024</t>
  </si>
  <si>
    <t>2025-03-10</t>
  </si>
  <si>
    <t>Barnard c</t>
  </si>
  <si>
    <t>Barnard d</t>
  </si>
  <si>
    <t>Barnard e</t>
  </si>
  <si>
    <t>Bauer et al. 2020</t>
  </si>
  <si>
    <t>https://ui.adsabs.harvard.edu/abs/2020A&amp;A...640A..50B/abstract</t>
  </si>
  <si>
    <t>2021-11-02</t>
  </si>
  <si>
    <t>GJ 1002 b</t>
  </si>
  <si>
    <t>Suárez Mascareño et al. 2023</t>
  </si>
  <si>
    <t>https://ui.adsabs.harvard.edu/abs/2023A&amp;A...670A...5S/abstract</t>
  </si>
  <si>
    <t>2022-12-17</t>
  </si>
  <si>
    <t>GJ 1002 c</t>
  </si>
  <si>
    <t>GJ 1061 b</t>
  </si>
  <si>
    <t>Mass</t>
  </si>
  <si>
    <t>Dreizler et al. 2025</t>
  </si>
  <si>
    <t>https://ui.adsabs.harvard.edu/abs/2025A&amp;A...698A.114D/abstract</t>
  </si>
  <si>
    <t>2026-03-12</t>
  </si>
  <si>
    <t>GJ 1061 c</t>
  </si>
  <si>
    <t>GJ 1061 d</t>
  </si>
  <si>
    <t>Blanco-Pozo et al. 2023</t>
  </si>
  <si>
    <t>https://ui.adsabs.harvard.edu/abs/2023A&amp;A...671A..50B/abstract</t>
  </si>
  <si>
    <t>2023-01-23</t>
  </si>
  <si>
    <t>Moutou et al. 2024</t>
  </si>
  <si>
    <t>https://ui.adsabs.harvard.edu/abs/2024A&amp;A...688A.196M/abstract</t>
  </si>
  <si>
    <t>2025-03-18</t>
  </si>
  <si>
    <t>GJ 15 A b</t>
  </si>
  <si>
    <t>Pinamonti et al. 2018</t>
  </si>
  <si>
    <t>https://ui.adsabs.harvard.edu/abs/2018A&amp;A...617A.104P/abstract</t>
  </si>
  <si>
    <t>2019-10-02</t>
  </si>
  <si>
    <t>GJ 15 A c</t>
  </si>
  <si>
    <t>GJ 229 A c</t>
  </si>
  <si>
    <t>Feng et al. 2022</t>
  </si>
  <si>
    <t>https://ui.adsabs.harvard.edu/abs/2022ApJS..262...21F/abstract</t>
  </si>
  <si>
    <t>2023-06-14</t>
  </si>
  <si>
    <t>GJ 229 b</t>
  </si>
  <si>
    <t>GJ 251 b</t>
  </si>
  <si>
    <t>Beard et al. 2025</t>
  </si>
  <si>
    <t>https://ui.adsabs.harvard.edu/abs/2025AJ....170..279B/abstract</t>
  </si>
  <si>
    <t>2025-10-30</t>
  </si>
  <si>
    <t>GJ 251 c</t>
  </si>
  <si>
    <t>GJ 273 b</t>
  </si>
  <si>
    <t>Astudillo-Defru et al. 2017</t>
  </si>
  <si>
    <t>https://ui.adsabs.harvard.edu/abs/2017A&amp;A...602A..88A/abstract</t>
  </si>
  <si>
    <t>2017-03-29</t>
  </si>
  <si>
    <t>GJ 273 c</t>
  </si>
  <si>
    <t>GJ 3323 b</t>
  </si>
  <si>
    <t>GJ 3323 c</t>
  </si>
  <si>
    <t>Robertson et al. 2026</t>
  </si>
  <si>
    <t>https://ui.adsabs.harvard.edu/abs/2026ApJ..1005...32R/abstract</t>
  </si>
  <si>
    <t>2026-06-04</t>
  </si>
  <si>
    <t>DiTomasso et al. 2023</t>
  </si>
  <si>
    <t>https://ui.adsabs.harvard.edu/abs/2023AJ....165...38D/abstract</t>
  </si>
  <si>
    <t>2023-01-18</t>
  </si>
  <si>
    <t>GJ 357 b</t>
  </si>
  <si>
    <t>Transit</t>
  </si>
  <si>
    <t>Oddo et al. 2023</t>
  </si>
  <si>
    <t>https://ui.adsabs.harvard.edu/abs/2023AJ....165..134O/abstract</t>
  </si>
  <si>
    <t>2023-08-22</t>
  </si>
  <si>
    <t>GJ 357 c</t>
  </si>
  <si>
    <t>Luque et al. 2019</t>
  </si>
  <si>
    <t>https://ui.adsabs.harvard.edu/abs/2019A&amp;A...628A..39L/abstract</t>
  </si>
  <si>
    <t>2019-07-29</t>
  </si>
  <si>
    <t>GJ 357 d</t>
  </si>
  <si>
    <t>Amado et al. 2021</t>
  </si>
  <si>
    <t>https://ui.adsabs.harvard.edu/abs/2021A&amp;A...650A.188A/abstract</t>
  </si>
  <si>
    <t>2021-07-12</t>
  </si>
  <si>
    <t>GJ 411 b</t>
  </si>
  <si>
    <t>Hurt et al. 2022</t>
  </si>
  <si>
    <t>https://ui.adsabs.harvard.edu/abs/2022AJ....163..218H/abstract</t>
  </si>
  <si>
    <t>2022-05-24</t>
  </si>
  <si>
    <t>GJ 4274 b</t>
  </si>
  <si>
    <t>Charpentier et al. 2026</t>
  </si>
  <si>
    <t>https://ui.adsabs.harvard.edu/abs/2026A&amp;A...705A.243C/abstract</t>
  </si>
  <si>
    <t>2026-02-12</t>
  </si>
  <si>
    <t>GJ 4274 c</t>
  </si>
  <si>
    <t>GJ 433 b</t>
  </si>
  <si>
    <t>Feng et al. 2020</t>
  </si>
  <si>
    <t>https://ui.adsabs.harvard.edu/abs/2020ApJS..246...11F/abstract</t>
  </si>
  <si>
    <t>2020-02-06</t>
  </si>
  <si>
    <t>GJ 433 c</t>
  </si>
  <si>
    <t>2020-02-07</t>
  </si>
  <si>
    <t>GJ 433 d</t>
  </si>
  <si>
    <t>Weiner Mansfield et al. 2024</t>
  </si>
  <si>
    <t>https://ui.adsabs.harvard.edu/abs/2024ApJ...975L..22W/abstract</t>
  </si>
  <si>
    <t>2025-04-16</t>
  </si>
  <si>
    <t>Damasso et al. 2022</t>
  </si>
  <si>
    <t>https://ui.adsabs.harvard.edu/abs/2022A&amp;A...666A.187D/abstract</t>
  </si>
  <si>
    <t>2022-04-19</t>
  </si>
  <si>
    <t>GJ 581 b</t>
  </si>
  <si>
    <t>von Stauffenberg et al. 2024</t>
  </si>
  <si>
    <t>https://ui.adsabs.harvard.edu/abs/2024A&amp;A...688A.112V/abstract</t>
  </si>
  <si>
    <t>2025-03-03</t>
  </si>
  <si>
    <t>GJ 581 c</t>
  </si>
  <si>
    <t>GJ 581 e</t>
  </si>
  <si>
    <t>Suárez Mascareño et al. 2017</t>
  </si>
  <si>
    <t>https://ui.adsabs.harvard.edu/abs/2017A&amp;A...605A..92S/abstract</t>
  </si>
  <si>
    <t>2017-09-27</t>
  </si>
  <si>
    <t>GJ 667 C b</t>
  </si>
  <si>
    <t>Bonfils et al. 2013</t>
  </si>
  <si>
    <t>https://ui.adsabs.harvard.edu/abs/2013A%26A...549A.109B/abstract</t>
  </si>
  <si>
    <t>2023-12-14</t>
  </si>
  <si>
    <t>GJ 667 C c</t>
  </si>
  <si>
    <t>Anglada-Escude et al. 2013</t>
  </si>
  <si>
    <t>https://ui.adsabs.harvard.edu/abs/2013A%26A...556A.126A/abstract</t>
  </si>
  <si>
    <t>GJ 667 C e</t>
  </si>
  <si>
    <t>GJ 667 C f</t>
  </si>
  <si>
    <t>GJ 667 C g</t>
  </si>
  <si>
    <t>Bonfils et al. 2007</t>
  </si>
  <si>
    <t>https://ui.adsabs.harvard.edu/abs/2007A&amp;A...474..293B/abstract</t>
  </si>
  <si>
    <t>GJ 682 b</t>
  </si>
  <si>
    <t>Tuomi et al. 2014</t>
  </si>
  <si>
    <t>https://ui.adsabs.harvard.edu/abs/2014MNRAS.441.1545T/abstract</t>
  </si>
  <si>
    <t>2019-10-04</t>
  </si>
  <si>
    <t>GJ 682 c</t>
  </si>
  <si>
    <t>GJ 687 b</t>
  </si>
  <si>
    <t>https://ui.adsabs.harvard.edu/abs/2020ApJS..250...29F/abstract</t>
  </si>
  <si>
    <t>2020-09-08</t>
  </si>
  <si>
    <t>GJ 687 c</t>
  </si>
  <si>
    <t>Philipot et al. 2023</t>
  </si>
  <si>
    <t>https://ui.adsabs.harvard.edu/abs/2023A&amp;A...678A.107P/abstract</t>
  </si>
  <si>
    <t>2023-09-05</t>
  </si>
  <si>
    <t>GJ 849 b</t>
  </si>
  <si>
    <t>Pinamonti et al. 2023</t>
  </si>
  <si>
    <t>https://ui.adsabs.harvard.edu/abs/2023A&amp;A...677A.122P/abstract</t>
  </si>
  <si>
    <t>2023-07-10</t>
  </si>
  <si>
    <t>GJ 849 c</t>
  </si>
  <si>
    <t>2023-10-21</t>
  </si>
  <si>
    <t>GJ 876 b</t>
  </si>
  <si>
    <t>Rivera et al. 2010</t>
  </si>
  <si>
    <t>https://ui.adsabs.harvard.edu/abs/2010ApJ...719..890R/abstract</t>
  </si>
  <si>
    <t>2014-08-27</t>
  </si>
  <si>
    <t>GJ 876 c</t>
  </si>
  <si>
    <t>GJ 876 d</t>
  </si>
  <si>
    <t>GJ 876 e</t>
  </si>
  <si>
    <t>GJ 887 b</t>
  </si>
  <si>
    <t>Hartogh et al. 2026</t>
  </si>
  <si>
    <t>https://ui.adsabs.harvard.edu/abs/2026A&amp;A...707A..93H/abstract</t>
  </si>
  <si>
    <t>2026-02-26</t>
  </si>
  <si>
    <t>GJ 887 c</t>
  </si>
  <si>
    <t>GJ 887 d</t>
  </si>
  <si>
    <t>GJ 887 e</t>
  </si>
  <si>
    <t>Astrometry</t>
  </si>
  <si>
    <t>Curiel et al. 2022</t>
  </si>
  <si>
    <t>https://ui.adsabs.harvard.edu/abs/2022AJ....164...93C/abstract</t>
  </si>
  <si>
    <t>2022-09-14</t>
  </si>
  <si>
    <t>Quirrenbach et al. 2022</t>
  </si>
  <si>
    <t>https://ui.adsabs.harvard.edu/abs/2022A&amp;A...663A..48Q/abstract</t>
  </si>
  <si>
    <t>2022-05-03</t>
  </si>
  <si>
    <t>Burt et al. 2021</t>
  </si>
  <si>
    <t>https://ui.adsabs.harvard.edu/abs/2021AJ....161...10B/abstract</t>
  </si>
  <si>
    <t>2020-12-10</t>
  </si>
  <si>
    <t>Cortés-Zuleta et al. 2025</t>
  </si>
  <si>
    <t>https://ui.adsabs.harvard.edu/abs/2025A&amp;A...693A.164C/abstract</t>
  </si>
  <si>
    <t>2025-02-24</t>
  </si>
  <si>
    <t>Ould-Elhkim et al. 2026</t>
  </si>
  <si>
    <t>https://ui.adsabs.harvard.edu/abs/2026A&amp;A...705A.234O/abstract</t>
  </si>
  <si>
    <t>2026-08-20</t>
  </si>
  <si>
    <t>Conzo et al. 2026</t>
  </si>
  <si>
    <t>https://ui.adsabs.harvard.edu/abs/2026OEJV..273....1C/abstract</t>
  </si>
  <si>
    <t>2026-07-30</t>
  </si>
  <si>
    <t>HD 192310 b</t>
  </si>
  <si>
    <t>Msin(i)/sin(i)</t>
  </si>
  <si>
    <t>Pepe et al. 2011</t>
  </si>
  <si>
    <t>https://ui.adsabs.harvard.edu/abs/2011A%26A...534A..58P/abstract</t>
  </si>
  <si>
    <t>2015-07-01</t>
  </si>
  <si>
    <t>HD 192310 c</t>
  </si>
  <si>
    <t>HD 20794 b</t>
  </si>
  <si>
    <t>Nari et al. 2025</t>
  </si>
  <si>
    <t>https://ui.adsabs.harvard.edu/abs/2025A&amp;A...693A.297N/abstract</t>
  </si>
  <si>
    <t>2025-02-12</t>
  </si>
  <si>
    <t>HD 20794 d</t>
  </si>
  <si>
    <t>HD 20794 e</t>
  </si>
  <si>
    <t>Feng et al. 2017</t>
  </si>
  <si>
    <t>https://ui.adsabs.harvard.edu/abs/2017A&amp;A...605A.103F/abstract</t>
  </si>
  <si>
    <t>2017-06-06</t>
  </si>
  <si>
    <t>HD 20794 f</t>
  </si>
  <si>
    <t>HD 219134 b</t>
  </si>
  <si>
    <t>Gillon et al. 2017</t>
  </si>
  <si>
    <t>https://ui.adsabs.harvard.edu/abs/2017NatAs...1E..56G/abstract</t>
  </si>
  <si>
    <t>2017-03-14</t>
  </si>
  <si>
    <t>HD 219134 c</t>
  </si>
  <si>
    <t>HD 219134 d</t>
  </si>
  <si>
    <t>radius_earth: lower limit; mass_or_msini_earth: lower limit</t>
  </si>
  <si>
    <t>HD 219134 f</t>
  </si>
  <si>
    <t>HD 219134 g</t>
  </si>
  <si>
    <t>Vogt et al. 2015</t>
  </si>
  <si>
    <t>https://ui.adsabs.harvard.edu/abs/2015ApJ...814...12V/abstract</t>
  </si>
  <si>
    <t>2015-11-18</t>
  </si>
  <si>
    <t>HD 219134 h</t>
  </si>
  <si>
    <t>HD 95735 c</t>
  </si>
  <si>
    <t>González-Álvarez et al. 2023</t>
  </si>
  <si>
    <t>https://ui.adsabs.harvard.edu/abs/2023A&amp;A...675A.141G/abstract</t>
  </si>
  <si>
    <t>2023-08-07</t>
  </si>
  <si>
    <t>Anglada-Escudé et al. 2014</t>
  </si>
  <si>
    <t>https://ui.adsabs.harvard.edu/abs/2014MNRAS.443L..89A/abstract</t>
  </si>
  <si>
    <t>2014-06-04</t>
  </si>
  <si>
    <t>Proxima Cen b</t>
  </si>
  <si>
    <t>Suárez Mascareño et al. 2025</t>
  </si>
  <si>
    <t>https://ui.adsabs.harvard.edu/abs/2025A&amp;A...700A..11M/abstract</t>
  </si>
  <si>
    <t>2025-07-29</t>
  </si>
  <si>
    <t>Proxima Cen d</t>
  </si>
  <si>
    <t>Eclipse Timing Variations</t>
  </si>
  <si>
    <t>Qian et al. 2012</t>
  </si>
  <si>
    <t>https://ui.adsabs.harvard.edu/abs/2012MNRAS.422L..24Q/abstract</t>
  </si>
  <si>
    <t>2015-08-26</t>
  </si>
  <si>
    <t>Bonfils et al. 2018</t>
  </si>
  <si>
    <t>https://ui.adsabs.harvard.edu/abs/2018A&amp;A...613A..25B/abstract</t>
  </si>
  <si>
    <t>2017-11-16</t>
  </si>
  <si>
    <t>Wolf 1061 b</t>
  </si>
  <si>
    <t>Wolf 1061 c</t>
  </si>
  <si>
    <t>Wolf 1061 d</t>
  </si>
  <si>
    <t>YZ Cet b</t>
  </si>
  <si>
    <t>Stock et al. 2020</t>
  </si>
  <si>
    <t>https://ui.adsabs.harvard.edu/abs/2020A&amp;A...636A.119S/abstract</t>
  </si>
  <si>
    <t>2022-02-15</t>
  </si>
  <si>
    <t>YZ Cet c</t>
  </si>
  <si>
    <t>YZ Cet d</t>
  </si>
  <si>
    <t>Thompson et al. 2025</t>
  </si>
  <si>
    <t>https://ui.adsabs.harvard.edu/abs/2025AJ....170..301T/abstract</t>
  </si>
  <si>
    <t>2026-07-02</t>
  </si>
  <si>
    <t>Sanghi et al. 2026</t>
  </si>
  <si>
    <t>https://ui.adsabs.harvard.edu/abs/2026AJ....172..115S/abstract</t>
  </si>
  <si>
    <t>2026-07-09</t>
  </si>
  <si>
    <t>tau Cet f</t>
  </si>
  <si>
    <t>https://ui.adsabs.harvard.edu/abs/2017AJ....154..135F/abstract</t>
  </si>
  <si>
    <t>2017-08-14</t>
  </si>
  <si>
    <t>tau Cet g</t>
  </si>
  <si>
    <t>tau Cet h</t>
  </si>
  <si>
    <t>faction_id</t>
  </si>
  <si>
    <t>faction_name</t>
  </si>
  <si>
    <t>color</t>
  </si>
  <si>
    <t>topic</t>
  </si>
  <si>
    <t>description</t>
  </si>
  <si>
    <t>Faction ownership</t>
  </si>
  <si>
    <t>Factions: define faction_id, faction_name, #RRGGBB color and notes. Stars/Planets faction_owners: semicolon-separated IDs, e.g. union; league. Blank means no recorded ownership. Stars sharing system_id share the union of their star-level claims. Planet owners are independent and never inherited. system_id defaults to the HYG primary and can be edited to group components. These are fictional campaign annotations, not astronomical data. Regeneration preserves campaign fields and user count/notes edits from the existing output workbook, or from --campaign-from when specified.</t>
  </si>
  <si>
    <t>Editing</t>
  </si>
  <si>
    <t>Stars: yellow planet_count_override accepts a count; leave blank to count Planets. Yellow notes cells are free text. Planets: include_in_count=0 excludes a row. Formulas update in Excel/LibreOffice.</t>
  </si>
  <si>
    <t>Planet status</t>
  </si>
  <si>
    <t>Yes means at least one counted planet. Unknown means no confirmed exoplanet was matched in these files. Explicit count override 0 displays No (your assertion). archive_planet_count preserves the original matched count.</t>
  </si>
  <si>
    <t>Counts</t>
  </si>
  <si>
    <t>Count distinct pl_name values, not publication rows or sy_pnum (which is system-wide). Controversial archive members remain included and flagged. Sol has 8 known planets but 0 exoplanets; Solar System orbital data are not supplied.</t>
  </si>
  <si>
    <t>Naming</t>
  </si>
  <si>
    <t>Preserve NASA scientific designations exactly. Host + existing lowercase planet letter; letters reflect discovery order, not orbital distance. Uppercase stellar components remain distinct. HYG proper names are display labels, not newly assigned IAU names.</t>
  </si>
  <si>
    <t>Selection</t>
  </si>
  <si>
    <t>HYG distance in parsecs controls the inclusive radius cut; missing/nonfinite/negative/sentinel distances are excluded. HYG is not a complete census and can contain duplicates. Rows are HYG entries, not deduplicated physical stars.</t>
  </si>
  <si>
    <t>Cartesian coordinates</t>
  </si>
  <si>
    <t>Stars includes x_ly/y_ly/z_ly in light-years and x_pc/y_pc/z_pc in parsecs. These are HYG heliocentric J2000 equatorial coordinates: +X toward the vernal equinox, +Y toward RA 6 hours, +Z toward the north celestial pole. Sol is pinned to exactly (0,0,0); other HYG positions are preserved.</t>
  </si>
  <si>
    <t>Matching</t>
  </si>
  <si>
    <t>Exact normalized catalog, Bayer, Flamsteed, variable or proper name, then explicit verified aliases. Never assign by angular proximity alone; Review lists candidates. Matches outside the radius are retained in Host matches.</t>
  </si>
  <si>
    <t>Distance checks</t>
  </si>
  <si>
    <t>NASA and HYG distances can differ substantially; &gt;20% differences are flagged. Angular separations are diagnostic only: epochs/proper motion can differ. No positions are propagated.</t>
  </si>
  <si>
    <t>Measurements</t>
  </si>
  <si>
    <t>Planets uses one default NASA row per planet. If absent, latest row is used and flagged. No values are filled from other publications. Measurements retains all published rows, errors, limits and references for matched planets; used_in_planets=1 marks chosen rows.</t>
  </si>
  <si>
    <t>Habitability</t>
  </si>
  <si>
    <t>Semi-major axis is orbital size, not instantaneous separation. Published flux and equilibrium temperature are indicators, not habitability verdicts; equilibrium temperature is not surface temperature. Mass may be M sin(i), indicated by mass_provenance. Blank means unavailable. See Measurements for uncertainty and limit flags.</t>
  </si>
  <si>
    <t>Luminosity</t>
  </si>
  <si>
    <t>HYG luminosity is supplied as-is; no bolometric correction or habitable-zone calculation is attempted. Age, atmosphere, rotation and activity are not reliably available in this export.</t>
  </si>
  <si>
    <t>Limits</t>
  </si>
  <si>
    <t>NASA parameter lim: 0 = measured value, 1 = upper limit, -1 = lower limit. Nonzero limits are called out in Planets notes; err1/err2 are upper/lower uncertainties in Measurements.</t>
  </si>
  <si>
    <t>Regeneration</t>
  </si>
  <si>
    <t>Campaign fields, notes, count overrides and planet inclusion flags are preserved from the existing workbook or --campaign-from. Other values are regenerated; save additional edits separately. planet_names is an archive snapshot. CSV files are independent snapshots.</t>
  </si>
  <si>
    <t>HYG source</t>
  </si>
  <si>
    <t>David Nash, HYG database, CC BY-SA 4.0: https://www.astronexus.com/projects/hyg ; field documentation: https://github.com/astronexus/HYG-Database/blob/main/hyg/README.md</t>
  </si>
  <si>
    <t>NASA source</t>
  </si>
  <si>
    <t>NASA Exoplanet Archive (NASA Exoplanet Science Institute / Caltech): https://exoplanetarchive.ipac.caltech.edu/docs/API_PS_columns.html</t>
  </si>
  <si>
    <t>Naming source</t>
  </si>
  <si>
    <t>https://iauarchive.eso.org/public/themes/naming_exoplanets/</t>
  </si>
  <si>
    <t>radius_ly</t>
  </si>
  <si>
    <t>30.0</t>
  </si>
  <si>
    <t>parsec_to_light_year</t>
  </si>
  <si>
    <t>3.2615637771674333</t>
  </si>
  <si>
    <t>hyg_file</t>
  </si>
  <si>
    <t>hygdata_v42.csv.gz</t>
  </si>
  <si>
    <t>hyg_sha256</t>
  </si>
  <si>
    <t>5ca9431ff364c8002a4a3efa91b2b9296746aea1543374db4cb6b4fab049d601</t>
  </si>
  <si>
    <t>nasa_file</t>
  </si>
  <si>
    <t>PS_2026.09.14_10.00.43.csv</t>
  </si>
  <si>
    <t>nasa_sha256</t>
  </si>
  <si>
    <t>22ce4236753935feb4d289ffa1ab8959ccf46edce72d310de950e39575c24432</t>
  </si>
  <si>
    <t>aliases_file</t>
  </si>
  <si>
    <t>host_aliases.csv</t>
  </si>
  <si>
    <t>aliases_sha256</t>
  </si>
  <si>
    <t>70328030a691b9b21dcadccb9fd6198f158772fac4569e20fb0aab1f282a83dd</t>
  </si>
  <si>
    <t>input_hyg_entries</t>
  </si>
  <si>
    <t>119626</t>
  </si>
  <si>
    <t>input_nasa_rows</t>
  </si>
  <si>
    <t>40155</t>
  </si>
  <si>
    <t>unique_archive_planets</t>
  </si>
  <si>
    <t>6366</t>
  </si>
  <si>
    <t>selected_hyg_entries</t>
  </si>
  <si>
    <t>270</t>
  </si>
  <si>
    <t>matched_exoplanet_hosts</t>
  </si>
  <si>
    <t>51</t>
  </si>
  <si>
    <t>matched_confirmed_exoplanets</t>
  </si>
  <si>
    <t>101</t>
  </si>
  <si>
    <t>review_rows</t>
  </si>
  <si>
    <t>6</t>
  </si>
  <si>
    <t>include_sol</t>
  </si>
  <si>
    <t>True</t>
  </si>
  <si>
    <t>review_arcsec</t>
  </si>
  <si>
    <t>180</t>
  </si>
  <si>
    <t>coordinate_frame</t>
  </si>
  <si>
    <t>Sol-centered J2000 equatorial; +X vernal equinox, +Y RA 6h, +Z north celestial pole</t>
  </si>
  <si>
    <t>campaign_source</t>
  </si>
  <si>
    <t>nearby_stars.xlsx</t>
  </si>
  <si>
    <t>nasa_host</t>
  </si>
  <si>
    <t>status</t>
  </si>
  <si>
    <t>hyg_name</t>
  </si>
  <si>
    <t>method</t>
  </si>
  <si>
    <t>evidence</t>
  </si>
  <si>
    <t>candidate_hyg_ids</t>
  </si>
  <si>
    <t>matched_selected</t>
  </si>
  <si>
    <t>Catalog distances differ by &gt;20%; HYG controls selection.</t>
  </si>
  <si>
    <t>LTT 1445 A</t>
  </si>
  <si>
    <t>unmatched_nearby</t>
  </si>
  <si>
    <t>unassigned</t>
  </si>
  <si>
    <t>118187; 119616</t>
  </si>
  <si>
    <t>Position candidates require review; component identity is preserved.</t>
  </si>
  <si>
    <t>GJ 2034; https://simbad.u-strasbg.fr/simbad/sim-basic?Ident=rr+cae&amp;submit=SIMBAD+search; Unresolved binary system entry; HYG distance differs substantially from NASA</t>
  </si>
  <si>
    <t>Teegarden's Star</t>
  </si>
  <si>
    <t>11 Com</t>
  </si>
  <si>
    <t>matched_outside_radius</t>
  </si>
  <si>
    <t>60017</t>
  </si>
  <si>
    <t>11    Com</t>
  </si>
  <si>
    <t>11 UMi</t>
  </si>
  <si>
    <t>74564</t>
  </si>
  <si>
    <t>11    UMi</t>
  </si>
  <si>
    <t>14 And</t>
  </si>
  <si>
    <t>115711</t>
  </si>
  <si>
    <t>Veritate</t>
  </si>
  <si>
    <t>14 Her</t>
  </si>
  <si>
    <t>79009</t>
  </si>
  <si>
    <t>Gl 614</t>
  </si>
  <si>
    <t>16 Cyg B</t>
  </si>
  <si>
    <t>unmatched_other</t>
  </si>
  <si>
    <t>17 Sco</t>
  </si>
  <si>
    <t>79300</t>
  </si>
  <si>
    <t>17Chi Sco</t>
  </si>
  <si>
    <t>18 Del</t>
  </si>
  <si>
    <t>103195</t>
  </si>
  <si>
    <t>Musica</t>
  </si>
  <si>
    <t>1RXS J160929.1-210524</t>
  </si>
  <si>
    <t>24 Boo</t>
  </si>
  <si>
    <t>70568</t>
  </si>
  <si>
    <t>24    Boo</t>
  </si>
  <si>
    <t>24 Sex</t>
  </si>
  <si>
    <t>50742</t>
  </si>
  <si>
    <t>HIP 50887</t>
  </si>
  <si>
    <t>2MASS J01033563-5515561 A</t>
  </si>
  <si>
    <t>2MASS J01225093-2439505</t>
  </si>
  <si>
    <t>2MASS J02192210-3925225</t>
  </si>
  <si>
    <t>2MASS J0249-0557 A</t>
  </si>
  <si>
    <t>2MASS J03590986+2009361</t>
  </si>
  <si>
    <t>2MASS J04372171+2651014</t>
  </si>
  <si>
    <t>2MASS J04414489+2301513</t>
  </si>
  <si>
    <t>2MASS J11011926-7732383</t>
  </si>
  <si>
    <t>2MASS J11550485-7919108</t>
  </si>
  <si>
    <t>2MASS J12073346-3932539</t>
  </si>
  <si>
    <t>2MASS J16262785-2625152</t>
  </si>
  <si>
    <t>2MASS J19383260+4603591</t>
  </si>
  <si>
    <t>2MASS J21252752-8138278</t>
  </si>
  <si>
    <t>2MASS J22362452+4751425</t>
  </si>
  <si>
    <t>2MASS J22501512+2325342</t>
  </si>
  <si>
    <t>4 UMa</t>
  </si>
  <si>
    <t>42408</t>
  </si>
  <si>
    <t>4Pi 2UMa</t>
  </si>
  <si>
    <t>47 UMa</t>
  </si>
  <si>
    <t>53565</t>
  </si>
  <si>
    <t>Chalawan</t>
  </si>
  <si>
    <t>51 Eri</t>
  </si>
  <si>
    <t>21494</t>
  </si>
  <si>
    <t>51    Eri</t>
  </si>
  <si>
    <t>51 Peg</t>
  </si>
  <si>
    <t>112997</t>
  </si>
  <si>
    <t>Helvetios</t>
  </si>
  <si>
    <t>55 Cnc</t>
  </si>
  <si>
    <t>43464</t>
  </si>
  <si>
    <t>Copernicus</t>
  </si>
  <si>
    <t>55 Cnc B</t>
  </si>
  <si>
    <t>6 Lyn</t>
  </si>
  <si>
    <t>30966</t>
  </si>
  <si>
    <t>6    Lyn</t>
  </si>
  <si>
    <t>7 CMa</t>
  </si>
  <si>
    <t>31512</t>
  </si>
  <si>
    <t>Gl 239.1</t>
  </si>
  <si>
    <t>70 Vir</t>
  </si>
  <si>
    <t>65515</t>
  </si>
  <si>
    <t>Gl 512.1</t>
  </si>
  <si>
    <t>75 Cet</t>
  </si>
  <si>
    <t>11763</t>
  </si>
  <si>
    <t>75    Cet</t>
  </si>
  <si>
    <t>8 UMi</t>
  </si>
  <si>
    <t>72910</t>
  </si>
  <si>
    <t>Baekdu</t>
  </si>
  <si>
    <t>81 Cet</t>
  </si>
  <si>
    <t>12215</t>
  </si>
  <si>
    <t>81    Cet</t>
  </si>
  <si>
    <t>91 Aqr</t>
  </si>
  <si>
    <t>114493</t>
  </si>
  <si>
    <t>Gl 893.2A</t>
  </si>
  <si>
    <t>AB Aur</t>
  </si>
  <si>
    <t>22857</t>
  </si>
  <si>
    <t>HIP 22910</t>
  </si>
  <si>
    <t>AB Pic</t>
  </si>
  <si>
    <t>29961</t>
  </si>
  <si>
    <t>HIP 30034</t>
  </si>
  <si>
    <t>AF Lep</t>
  </si>
  <si>
    <t>25423</t>
  </si>
  <si>
    <t>HIP 25486</t>
  </si>
  <si>
    <t>AT2021ueyL</t>
  </si>
  <si>
    <t>AU Mic</t>
  </si>
  <si>
    <t>102078</t>
  </si>
  <si>
    <t>Gl 803</t>
  </si>
  <si>
    <t>BD+03 2562</t>
  </si>
  <si>
    <t>BD+05 4868 A</t>
  </si>
  <si>
    <t>BD+14 4559</t>
  </si>
  <si>
    <t>BD+15 2375</t>
  </si>
  <si>
    <t>BD+15 2940</t>
  </si>
  <si>
    <t>BD+20 2457</t>
  </si>
  <si>
    <t>BD+20 274</t>
  </si>
  <si>
    <t>BD+20 594</t>
  </si>
  <si>
    <t>BD+37 3172</t>
  </si>
  <si>
    <t>BD+42 2315</t>
  </si>
  <si>
    <t>BD+45 564</t>
  </si>
  <si>
    <t>BD+48 738</t>
  </si>
  <si>
    <t>BD+48 740</t>
  </si>
  <si>
    <t>BD+49 828</t>
  </si>
  <si>
    <t>BD+55 362</t>
  </si>
  <si>
    <t>BD+60 1417</t>
  </si>
  <si>
    <t>BD+63 1405</t>
  </si>
  <si>
    <t>BD-06 1339</t>
  </si>
  <si>
    <t>BD-08 2823</t>
  </si>
  <si>
    <t>BD-10 3166</t>
  </si>
  <si>
    <t>BD-11 4672</t>
  </si>
  <si>
    <t>BD-13 2130</t>
  </si>
  <si>
    <t>BD-14 3065 A</t>
  </si>
  <si>
    <t>BD-17 63</t>
  </si>
  <si>
    <t>BD-210397</t>
  </si>
  <si>
    <t>BEBOP-3</t>
  </si>
  <si>
    <t>BEBOP-4 A</t>
  </si>
  <si>
    <t>GJ 1057; https://www.aanda.org/articles/aa/pdf/2020/08/aa38031-20.pdf; Variable-star designation absent in HYG</t>
  </si>
  <si>
    <t>CD-35 2722 B</t>
  </si>
  <si>
    <t>CFBDSIR J145829+101343</t>
  </si>
  <si>
    <t>CFHTWIR-Oph 98 A</t>
  </si>
  <si>
    <t>CHXR 73</t>
  </si>
  <si>
    <t>CI Tau</t>
  </si>
  <si>
    <t>COCONUTS-2 A</t>
  </si>
  <si>
    <t>CT Cha</t>
  </si>
  <si>
    <t>CWISEP J193518.59-154620.3</t>
  </si>
  <si>
    <t>CoRoT-1</t>
  </si>
  <si>
    <t>CoRoT-10</t>
  </si>
  <si>
    <t>CoRoT-11</t>
  </si>
  <si>
    <t>CoRoT-12</t>
  </si>
  <si>
    <t>CoRoT-13</t>
  </si>
  <si>
    <t>CoRoT-14</t>
  </si>
  <si>
    <t>CoRoT-16</t>
  </si>
  <si>
    <t>CoRoT-17</t>
  </si>
  <si>
    <t>CoRoT-18</t>
  </si>
  <si>
    <t>CoRoT-19</t>
  </si>
  <si>
    <t>CoRoT-2</t>
  </si>
  <si>
    <t>CoRoT-20</t>
  </si>
  <si>
    <t>CoRoT-21</t>
  </si>
  <si>
    <t>CoRoT-22</t>
  </si>
  <si>
    <t>CoRoT-23</t>
  </si>
  <si>
    <t>CoRoT-24</t>
  </si>
  <si>
    <t>CoRoT-25</t>
  </si>
  <si>
    <t>CoRoT-26</t>
  </si>
  <si>
    <t>CoRoT-27</t>
  </si>
  <si>
    <t>CoRoT-28</t>
  </si>
  <si>
    <t>CoRoT-29</t>
  </si>
  <si>
    <t>CoRoT-3</t>
  </si>
  <si>
    <t>CoRoT-30</t>
  </si>
  <si>
    <t>CoRoT-31</t>
  </si>
  <si>
    <t>CoRoT-32</t>
  </si>
  <si>
    <t>CoRoT-35</t>
  </si>
  <si>
    <t>CoRoT-36</t>
  </si>
  <si>
    <t>CoRoT-4</t>
  </si>
  <si>
    <t>CoRoT-5</t>
  </si>
  <si>
    <t>CoRoT-6</t>
  </si>
  <si>
    <t>CoRoT-7</t>
  </si>
  <si>
    <t>CoRoT-8</t>
  </si>
  <si>
    <t>CoRoT-9</t>
  </si>
  <si>
    <t>DE CVn</t>
  </si>
  <si>
    <t>DENIS-P J082303.1-491201</t>
  </si>
  <si>
    <t>DH Tau</t>
  </si>
  <si>
    <t>DMPP-1</t>
  </si>
  <si>
    <t>DMPP-2</t>
  </si>
  <si>
    <t>DMPP-3 A</t>
  </si>
  <si>
    <t>DMPP-4</t>
  </si>
  <si>
    <t>DMPP-6</t>
  </si>
  <si>
    <t>DMPP-7</t>
  </si>
  <si>
    <t>DMPP-8</t>
  </si>
  <si>
    <t>DMPP-9</t>
  </si>
  <si>
    <t>DP Leo</t>
  </si>
  <si>
    <t>DS Tuc A</t>
  </si>
  <si>
    <t>EPIC 201170410</t>
  </si>
  <si>
    <t>EPIC 201238110</t>
  </si>
  <si>
    <t>EPIC 201427007</t>
  </si>
  <si>
    <t>EPIC 201497682</t>
  </si>
  <si>
    <t>EPIC 201595106</t>
  </si>
  <si>
    <t>EPIC 201757695</t>
  </si>
  <si>
    <t>EPIC 201841433</t>
  </si>
  <si>
    <t>EPIC 206024342</t>
  </si>
  <si>
    <t>EPIC 206032309</t>
  </si>
  <si>
    <t>EPIC 206042996</t>
  </si>
  <si>
    <t>EPIC 206215704</t>
  </si>
  <si>
    <t>EPIC 206317286</t>
  </si>
  <si>
    <t>EPIC 211822797</t>
  </si>
  <si>
    <t>EPIC 211945201</t>
  </si>
  <si>
    <t>EPIC 212297394</t>
  </si>
  <si>
    <t>EPIC 212424622</t>
  </si>
  <si>
    <t>EPIC 212499991</t>
  </si>
  <si>
    <t>EPIC 212587672</t>
  </si>
  <si>
    <t>EPIC 212624936</t>
  </si>
  <si>
    <t>EPIC 212737443</t>
  </si>
  <si>
    <t>EPIC 220492298</t>
  </si>
  <si>
    <t>EPIC 220674823</t>
  </si>
  <si>
    <t>EPIC 228836835</t>
  </si>
  <si>
    <t>EPIC 229004835</t>
  </si>
  <si>
    <t>EPIC 246851721</t>
  </si>
  <si>
    <t>EPIC 248847494</t>
  </si>
  <si>
    <t>EPIC 249893012</t>
  </si>
  <si>
    <t>FU Tau</t>
  </si>
  <si>
    <t>G 192-15</t>
  </si>
  <si>
    <t>G 196-3</t>
  </si>
  <si>
    <t>G 261-6</t>
  </si>
  <si>
    <t>G 264-012</t>
  </si>
  <si>
    <t>G 268-110</t>
  </si>
  <si>
    <t>G 9-40</t>
  </si>
  <si>
    <t>GJ 1132</t>
  </si>
  <si>
    <t>118673</t>
  </si>
  <si>
    <t>GJ 1148</t>
  </si>
  <si>
    <t>56879</t>
  </si>
  <si>
    <t>GJ 1214</t>
  </si>
  <si>
    <t>119137</t>
  </si>
  <si>
    <t>Onkaria</t>
  </si>
  <si>
    <t>GJ 1252</t>
  </si>
  <si>
    <t>119342</t>
  </si>
  <si>
    <t>GJ 1265</t>
  </si>
  <si>
    <t>119480</t>
  </si>
  <si>
    <t>GJ 143</t>
  </si>
  <si>
    <t>16030</t>
  </si>
  <si>
    <t>Gl 143</t>
  </si>
  <si>
    <t>GJ 160.2</t>
  </si>
  <si>
    <t>19117</t>
  </si>
  <si>
    <t>Gl 160.2</t>
  </si>
  <si>
    <t>GJ 163</t>
  </si>
  <si>
    <t>19346</t>
  </si>
  <si>
    <t>Gl 163</t>
  </si>
  <si>
    <t>GJ 179</t>
  </si>
  <si>
    <t>22574</t>
  </si>
  <si>
    <t>Gl 179</t>
  </si>
  <si>
    <t>GJ 180</t>
  </si>
  <si>
    <t>22709</t>
  </si>
  <si>
    <t>Gl 180</t>
  </si>
  <si>
    <t>GJ 2030</t>
  </si>
  <si>
    <t>GJ 2056</t>
  </si>
  <si>
    <t>GJ 2126</t>
  </si>
  <si>
    <t>GJ 238</t>
  </si>
  <si>
    <t>31223</t>
  </si>
  <si>
    <t>Gl 238</t>
  </si>
  <si>
    <t>GJ 27.1</t>
  </si>
  <si>
    <t>3137</t>
  </si>
  <si>
    <t>Gl 27.1</t>
  </si>
  <si>
    <t>GJ 3021</t>
  </si>
  <si>
    <t>1291</t>
  </si>
  <si>
    <t>GJ 3082</t>
  </si>
  <si>
    <t>5799</t>
  </si>
  <si>
    <t>GJ 3090</t>
  </si>
  <si>
    <t>6351</t>
  </si>
  <si>
    <t>GJ 3138</t>
  </si>
  <si>
    <t>10014</t>
  </si>
  <si>
    <t>GJ 317</t>
  </si>
  <si>
    <t>118556</t>
  </si>
  <si>
    <t>Gl 317</t>
  </si>
  <si>
    <t>GJ 3222</t>
  </si>
  <si>
    <t>GJ 328</t>
  </si>
  <si>
    <t>43666</t>
  </si>
  <si>
    <t>Gl 328</t>
  </si>
  <si>
    <t>GJ 3293</t>
  </si>
  <si>
    <t>118310</t>
  </si>
  <si>
    <t>GJ 3341</t>
  </si>
  <si>
    <t>118363</t>
  </si>
  <si>
    <t>GJ 341</t>
  </si>
  <si>
    <t>45776</t>
  </si>
  <si>
    <t>Gl 341</t>
  </si>
  <si>
    <t>GJ 3470</t>
  </si>
  <si>
    <t>118515</t>
  </si>
  <si>
    <t>Kaewkosin</t>
  </si>
  <si>
    <t>GJ 3473</t>
  </si>
  <si>
    <t>GJ 3512</t>
  </si>
  <si>
    <t>118554</t>
  </si>
  <si>
    <t>GJ 3634</t>
  </si>
  <si>
    <t>118722</t>
  </si>
  <si>
    <t>GJ 367</t>
  </si>
  <si>
    <t>47645</t>
  </si>
  <si>
    <t>Añañuca</t>
  </si>
  <si>
    <t>GJ 3779</t>
  </si>
  <si>
    <t>118884</t>
  </si>
  <si>
    <t>GJ 3929</t>
  </si>
  <si>
    <t>119049</t>
  </si>
  <si>
    <t>GJ 3942</t>
  </si>
  <si>
    <t>78886</t>
  </si>
  <si>
    <t>GJ 3988</t>
  </si>
  <si>
    <t>119126</t>
  </si>
  <si>
    <t>GJ 3998</t>
  </si>
  <si>
    <t>84202</t>
  </si>
  <si>
    <t>GJ 414 A</t>
  </si>
  <si>
    <t>54487</t>
  </si>
  <si>
    <t>Gl 414A</t>
  </si>
  <si>
    <t>GJ 422</t>
  </si>
  <si>
    <t>118740</t>
  </si>
  <si>
    <t>Gl 422</t>
  </si>
  <si>
    <t>GJ 4276</t>
  </si>
  <si>
    <t>119498</t>
  </si>
  <si>
    <t>GJ 436</t>
  </si>
  <si>
    <t>56916</t>
  </si>
  <si>
    <t>Noquisi</t>
  </si>
  <si>
    <t>GJ 463</t>
  </si>
  <si>
    <t>60213</t>
  </si>
  <si>
    <t>Gl 463</t>
  </si>
  <si>
    <t>GJ 480</t>
  </si>
  <si>
    <t>61513</t>
  </si>
  <si>
    <t>Gl 480</t>
  </si>
  <si>
    <t>GJ 504</t>
  </si>
  <si>
    <t>64587</t>
  </si>
  <si>
    <t>Gl 504</t>
  </si>
  <si>
    <t>GJ 508.2</t>
  </si>
  <si>
    <t>64938</t>
  </si>
  <si>
    <t>Gl 508.2</t>
  </si>
  <si>
    <t>GJ 536</t>
  </si>
  <si>
    <t>68250</t>
  </si>
  <si>
    <t>Gl 536</t>
  </si>
  <si>
    <t>GJ 649</t>
  </si>
  <si>
    <t>82788</t>
  </si>
  <si>
    <t>Gl 649</t>
  </si>
  <si>
    <t>GJ 676 A</t>
  </si>
  <si>
    <t>85387</t>
  </si>
  <si>
    <t>Gl 676A</t>
  </si>
  <si>
    <t>GJ 680</t>
  </si>
  <si>
    <t>85794</t>
  </si>
  <si>
    <t>Gl 680</t>
  </si>
  <si>
    <t>GJ 685</t>
  </si>
  <si>
    <t>85824</t>
  </si>
  <si>
    <t>Gl 685</t>
  </si>
  <si>
    <t>GJ 720 A</t>
  </si>
  <si>
    <t>90846</t>
  </si>
  <si>
    <t>Gl 720A</t>
  </si>
  <si>
    <t>GJ 724</t>
  </si>
  <si>
    <t>91325</t>
  </si>
  <si>
    <t>Gl 724</t>
  </si>
  <si>
    <t>GJ 740</t>
  </si>
  <si>
    <t>92808</t>
  </si>
  <si>
    <t>Gl 740</t>
  </si>
  <si>
    <t>GJ 806</t>
  </si>
  <si>
    <t>102070</t>
  </si>
  <si>
    <t>Gl 806</t>
  </si>
  <si>
    <t>GJ 86</t>
  </si>
  <si>
    <t>10116</t>
  </si>
  <si>
    <t>Gl 86</t>
  </si>
  <si>
    <t>GJ 900 A</t>
  </si>
  <si>
    <t>Gl 83.1; https://simbad.u-strasbg.fr/simbad/sim-id?Ident=GJ83.1; Alternate Gliese designation for TZ Ari</t>
  </si>
  <si>
    <t>GJ 9404</t>
  </si>
  <si>
    <t>GJ 96</t>
  </si>
  <si>
    <t>11022</t>
  </si>
  <si>
    <t>Gl 96</t>
  </si>
  <si>
    <t>GJ 9689</t>
  </si>
  <si>
    <t>GJ 9714</t>
  </si>
  <si>
    <t>103436</t>
  </si>
  <si>
    <t>GJ 9773</t>
  </si>
  <si>
    <t>109292</t>
  </si>
  <si>
    <t>GJ 9827</t>
  </si>
  <si>
    <t>115387</t>
  </si>
  <si>
    <t>GPX-1</t>
  </si>
  <si>
    <t>GQ Lup</t>
  </si>
  <si>
    <t>GSC 06214-00210</t>
  </si>
  <si>
    <t>GU Psc</t>
  </si>
  <si>
    <t>Gaia-1</t>
  </si>
  <si>
    <t>Gaia-2</t>
  </si>
  <si>
    <t>Gaia-4</t>
  </si>
  <si>
    <t>Gaia-5</t>
  </si>
  <si>
    <t>Gaia22dkvL</t>
  </si>
  <si>
    <t>Gaia23braL</t>
  </si>
  <si>
    <t>Gl 378</t>
  </si>
  <si>
    <t>49050</t>
  </si>
  <si>
    <t>Gl 410</t>
  </si>
  <si>
    <t>53829</t>
  </si>
  <si>
    <t>Gl 49</t>
  </si>
  <si>
    <t>4862</t>
  </si>
  <si>
    <t>Gliese 12</t>
  </si>
  <si>
    <t>117970</t>
  </si>
  <si>
    <t>Gl 12</t>
  </si>
  <si>
    <t>HAT-P-1</t>
  </si>
  <si>
    <t>HAT-P-11</t>
  </si>
  <si>
    <t>HAT-P-12</t>
  </si>
  <si>
    <t>HAT-P-13</t>
  </si>
  <si>
    <t>HAT-P-14</t>
  </si>
  <si>
    <t>HAT-P-15</t>
  </si>
  <si>
    <t>HAT-P-16</t>
  </si>
  <si>
    <t>HAT-P-17</t>
  </si>
  <si>
    <t>HAT-P-18</t>
  </si>
  <si>
    <t>HAT-P-19</t>
  </si>
  <si>
    <t>HAT-P-2</t>
  </si>
  <si>
    <t>HAT-P-20</t>
  </si>
  <si>
    <t>HAT-P-21</t>
  </si>
  <si>
    <t>HAT-P-22</t>
  </si>
  <si>
    <t>HAT-P-23</t>
  </si>
  <si>
    <t>HAT-P-24</t>
  </si>
  <si>
    <t>HAT-P-25</t>
  </si>
  <si>
    <t>HAT-P-26</t>
  </si>
  <si>
    <t>HAT-P-27</t>
  </si>
  <si>
    <t>HAT-P-28</t>
  </si>
  <si>
    <t>HAT-P-29</t>
  </si>
  <si>
    <t>HAT-P-3</t>
  </si>
  <si>
    <t>HAT-P-30</t>
  </si>
  <si>
    <t>HAT-P-31</t>
  </si>
  <si>
    <t>HAT-P-32</t>
  </si>
  <si>
    <t>HAT-P-33</t>
  </si>
  <si>
    <t>HAT-P-34</t>
  </si>
  <si>
    <t>HAT-P-35</t>
  </si>
  <si>
    <t>HAT-P-36</t>
  </si>
  <si>
    <t>HAT-P-37</t>
  </si>
  <si>
    <t>HAT-P-38</t>
  </si>
  <si>
    <t>HAT-P-39</t>
  </si>
  <si>
    <t>HAT-P-4</t>
  </si>
  <si>
    <t>HAT-P-40</t>
  </si>
  <si>
    <t>HAT-P-41</t>
  </si>
  <si>
    <t>HAT-P-42</t>
  </si>
  <si>
    <t>HAT-P-43</t>
  </si>
  <si>
    <t>HAT-P-44</t>
  </si>
  <si>
    <t>HAT-P-45</t>
  </si>
  <si>
    <t>HAT-P-46</t>
  </si>
  <si>
    <t>HAT-P-47</t>
  </si>
  <si>
    <t>HAT-P-49</t>
  </si>
  <si>
    <t>HAT-P-5</t>
  </si>
  <si>
    <t>HAT-P-50</t>
  </si>
  <si>
    <t>HAT-P-51</t>
  </si>
  <si>
    <t>HAT-P-52</t>
  </si>
  <si>
    <t>HAT-P-53</t>
  </si>
  <si>
    <t>HAT-P-54</t>
  </si>
  <si>
    <t>HAT-P-55</t>
  </si>
  <si>
    <t>HAT-P-56</t>
  </si>
  <si>
    <t>HAT-P-57</t>
  </si>
  <si>
    <t>HAT-P-58</t>
  </si>
  <si>
    <t>HAT-P-59</t>
  </si>
  <si>
    <t>HAT-P-6</t>
  </si>
  <si>
    <t>HAT-P-60</t>
  </si>
  <si>
    <t>HAT-P-61</t>
  </si>
  <si>
    <t>HAT-P-62</t>
  </si>
  <si>
    <t>HAT-P-63</t>
  </si>
  <si>
    <t>HAT-P-64</t>
  </si>
  <si>
    <t>HAT-P-65</t>
  </si>
  <si>
    <t>HAT-P-66</t>
  </si>
  <si>
    <t>HAT-P-67</t>
  </si>
  <si>
    <t>HAT-P-68</t>
  </si>
  <si>
    <t>HAT-P-69</t>
  </si>
  <si>
    <t>HAT-P-7</t>
  </si>
  <si>
    <t>HAT-P-70</t>
  </si>
  <si>
    <t>HAT-P-8</t>
  </si>
  <si>
    <t>HAT-P-9</t>
  </si>
  <si>
    <t>HATS-1</t>
  </si>
  <si>
    <t>HATS-10</t>
  </si>
  <si>
    <t>HATS-11</t>
  </si>
  <si>
    <t>HATS-12</t>
  </si>
  <si>
    <t>HATS-13</t>
  </si>
  <si>
    <t>HATS-14</t>
  </si>
  <si>
    <t>HATS-15</t>
  </si>
  <si>
    <t>HATS-16</t>
  </si>
  <si>
    <t>HATS-17</t>
  </si>
  <si>
    <t>HATS-18</t>
  </si>
  <si>
    <t>HATS-2</t>
  </si>
  <si>
    <t>HATS-22</t>
  </si>
  <si>
    <t>HATS-23</t>
  </si>
  <si>
    <t>HATS-24</t>
  </si>
  <si>
    <t>HATS-25</t>
  </si>
  <si>
    <t>HATS-26</t>
  </si>
  <si>
    <t>HATS-27</t>
  </si>
  <si>
    <t>HATS-28</t>
  </si>
  <si>
    <t>HATS-29</t>
  </si>
  <si>
    <t>HATS-3</t>
  </si>
  <si>
    <t>HATS-30</t>
  </si>
  <si>
    <t>HATS-31</t>
  </si>
  <si>
    <t>HATS-32</t>
  </si>
  <si>
    <t>HATS-33</t>
  </si>
  <si>
    <t>HATS-34</t>
  </si>
  <si>
    <t>HATS-35</t>
  </si>
  <si>
    <t>HATS-36</t>
  </si>
  <si>
    <t>HATS-37 A</t>
  </si>
  <si>
    <t>HATS-38</t>
  </si>
  <si>
    <t>HATS-39</t>
  </si>
  <si>
    <t>HATS-4</t>
  </si>
  <si>
    <t>HATS-40</t>
  </si>
  <si>
    <t>HATS-41</t>
  </si>
  <si>
    <t>HATS-42</t>
  </si>
  <si>
    <t>HATS-43</t>
  </si>
  <si>
    <t>HATS-44</t>
  </si>
  <si>
    <t>HATS-45</t>
  </si>
  <si>
    <t>HATS-46</t>
  </si>
  <si>
    <t>HATS-47</t>
  </si>
  <si>
    <t>HATS-48 A</t>
  </si>
  <si>
    <t>HATS-49</t>
  </si>
  <si>
    <t>HATS-5</t>
  </si>
  <si>
    <t>HATS-50</t>
  </si>
  <si>
    <t>HATS-51</t>
  </si>
  <si>
    <t>HATS-52</t>
  </si>
  <si>
    <t>HATS-53</t>
  </si>
  <si>
    <t>HATS-54</t>
  </si>
  <si>
    <t>HATS-55</t>
  </si>
  <si>
    <t>HATS-56</t>
  </si>
  <si>
    <t>HATS-57</t>
  </si>
  <si>
    <t>HATS-58 A</t>
  </si>
  <si>
    <t>HATS-59</t>
  </si>
  <si>
    <t>HATS-6</t>
  </si>
  <si>
    <t>HATS-60</t>
  </si>
  <si>
    <t>HATS-61</t>
  </si>
  <si>
    <t>HATS-62</t>
  </si>
  <si>
    <t>HATS-63</t>
  </si>
  <si>
    <t>HATS-64</t>
  </si>
  <si>
    <t>HATS-65</t>
  </si>
  <si>
    <t>HATS-66</t>
  </si>
  <si>
    <t>HATS-67</t>
  </si>
  <si>
    <t>HATS-68</t>
  </si>
  <si>
    <t>HATS-69</t>
  </si>
  <si>
    <t>HATS-7</t>
  </si>
  <si>
    <t>HATS-70</t>
  </si>
  <si>
    <t>HATS-71</t>
  </si>
  <si>
    <t>HATS-72</t>
  </si>
  <si>
    <t>HATS-74 A</t>
  </si>
  <si>
    <t>HATS-75</t>
  </si>
  <si>
    <t>HATS-76</t>
  </si>
  <si>
    <t>HATS-77</t>
  </si>
  <si>
    <t>HATS-8</t>
  </si>
  <si>
    <t>HATS-9</t>
  </si>
  <si>
    <t>HD 100508</t>
  </si>
  <si>
    <t>56194</t>
  </si>
  <si>
    <t>HIP 56363</t>
  </si>
  <si>
    <t>HD 100546</t>
  </si>
  <si>
    <t>56210</t>
  </si>
  <si>
    <t>HIP 56379</t>
  </si>
  <si>
    <t>HD 100655</t>
  </si>
  <si>
    <t>56339</t>
  </si>
  <si>
    <t>Formosa</t>
  </si>
  <si>
    <t>HD 100777</t>
  </si>
  <si>
    <t>56403</t>
  </si>
  <si>
    <t>Sagarmatha</t>
  </si>
  <si>
    <t>HD 10180</t>
  </si>
  <si>
    <t>7585</t>
  </si>
  <si>
    <t>HIP 7599</t>
  </si>
  <si>
    <t>HD 101930</t>
  </si>
  <si>
    <t>57000</t>
  </si>
  <si>
    <t>GJ 3683</t>
  </si>
  <si>
    <t>HD 102117</t>
  </si>
  <si>
    <t>57119</t>
  </si>
  <si>
    <t>Uklun</t>
  </si>
  <si>
    <t>HD 102195</t>
  </si>
  <si>
    <t>57197</t>
  </si>
  <si>
    <t>Flegetonte</t>
  </si>
  <si>
    <t>HD 102272</t>
  </si>
  <si>
    <t>57255</t>
  </si>
  <si>
    <t>HIP 57428</t>
  </si>
  <si>
    <t>HD 102329</t>
  </si>
  <si>
    <t>57294</t>
  </si>
  <si>
    <t>HIP 57467</t>
  </si>
  <si>
    <t>HD 102843</t>
  </si>
  <si>
    <t>57562</t>
  </si>
  <si>
    <t>HIP 57735</t>
  </si>
  <si>
    <t>HD 102888</t>
  </si>
  <si>
    <t>57576</t>
  </si>
  <si>
    <t>HIP 57749</t>
  </si>
  <si>
    <t>HD 102956</t>
  </si>
  <si>
    <t>57647</t>
  </si>
  <si>
    <t>Aniara</t>
  </si>
  <si>
    <t>HD 103197</t>
  </si>
  <si>
    <t>57758</t>
  </si>
  <si>
    <t>HIP 57931</t>
  </si>
  <si>
    <t>HD 103720</t>
  </si>
  <si>
    <t>58062</t>
  </si>
  <si>
    <t>HIP 58237</t>
  </si>
  <si>
    <t>HD 103774</t>
  </si>
  <si>
    <t>58088</t>
  </si>
  <si>
    <t>HIP 58263</t>
  </si>
  <si>
    <t>HD 103891</t>
  </si>
  <si>
    <t>58156</t>
  </si>
  <si>
    <t>HIP 58331</t>
  </si>
  <si>
    <t>HD 103949</t>
  </si>
  <si>
    <t>58199</t>
  </si>
  <si>
    <t>HIP 58374</t>
  </si>
  <si>
    <t>HD 104067</t>
  </si>
  <si>
    <t>58276</t>
  </si>
  <si>
    <t>GJ 1153</t>
  </si>
  <si>
    <t>HD 10442</t>
  </si>
  <si>
    <t>HD 104985</t>
  </si>
  <si>
    <t>58777</t>
  </si>
  <si>
    <t>Tonatiuh</t>
  </si>
  <si>
    <t>HD 105618</t>
  </si>
  <si>
    <t>59098</t>
  </si>
  <si>
    <t>HIP 59278</t>
  </si>
  <si>
    <t>HD 105779</t>
  </si>
  <si>
    <t>59175</t>
  </si>
  <si>
    <t>HIP 59357</t>
  </si>
  <si>
    <t>HD 106252</t>
  </si>
  <si>
    <t>59428</t>
  </si>
  <si>
    <t>HIP 59610</t>
  </si>
  <si>
    <t>HD 106270</t>
  </si>
  <si>
    <t>59442</t>
  </si>
  <si>
    <t>HIP 59625</t>
  </si>
  <si>
    <t>HD 106315</t>
  </si>
  <si>
    <t>HD 10647</t>
  </si>
  <si>
    <t>7963</t>
  </si>
  <si>
    <t>GJ 3109</t>
  </si>
  <si>
    <t>HD 106515 A</t>
  </si>
  <si>
    <t>HD 106906</t>
  </si>
  <si>
    <t>59777</t>
  </si>
  <si>
    <t>HIP 59960</t>
  </si>
  <si>
    <t>HD 10697</t>
  </si>
  <si>
    <t>8144</t>
  </si>
  <si>
    <t>109    Psc</t>
  </si>
  <si>
    <t>HD 107148</t>
  </si>
  <si>
    <t>59897</t>
  </si>
  <si>
    <t>HIP 60081</t>
  </si>
  <si>
    <t>HD 108147</t>
  </si>
  <si>
    <t>60457</t>
  </si>
  <si>
    <t>Tupã</t>
  </si>
  <si>
    <t>HD 108202</t>
  </si>
  <si>
    <t>60461</t>
  </si>
  <si>
    <t>HIP 60648</t>
  </si>
  <si>
    <t>HD 108236</t>
  </si>
  <si>
    <t>60501</t>
  </si>
  <si>
    <t>HIP 60689</t>
  </si>
  <si>
    <t>HD 108341</t>
  </si>
  <si>
    <t>60600</t>
  </si>
  <si>
    <t>HIP 60788</t>
  </si>
  <si>
    <t>HD 108863</t>
  </si>
  <si>
    <t>60831</t>
  </si>
  <si>
    <t>HIP 61020</t>
  </si>
  <si>
    <t>HD 108874</t>
  </si>
  <si>
    <t>60839</t>
  </si>
  <si>
    <t>HIP 61028</t>
  </si>
  <si>
    <t>HD 109246</t>
  </si>
  <si>
    <t>60986</t>
  </si>
  <si>
    <t>Funi</t>
  </si>
  <si>
    <t>HD 109271</t>
  </si>
  <si>
    <t>61107</t>
  </si>
  <si>
    <t>HIP 61300</t>
  </si>
  <si>
    <t>HD 109286</t>
  </si>
  <si>
    <t>61105</t>
  </si>
  <si>
    <t>HIP 61298</t>
  </si>
  <si>
    <t>HD 109749</t>
  </si>
  <si>
    <t>61402</t>
  </si>
  <si>
    <t>HIP 61595</t>
  </si>
  <si>
    <t>HD 10975</t>
  </si>
  <si>
    <t>8408</t>
  </si>
  <si>
    <t>HIP 8423</t>
  </si>
  <si>
    <t>HD 109833</t>
  </si>
  <si>
    <t>61530</t>
  </si>
  <si>
    <t>HIP 61723</t>
  </si>
  <si>
    <t>HD 109988</t>
  </si>
  <si>
    <t>61551</t>
  </si>
  <si>
    <t>HIP 61743</t>
  </si>
  <si>
    <t>HD 110014</t>
  </si>
  <si>
    <t>61547</t>
  </si>
  <si>
    <t>26Chi Vir</t>
  </si>
  <si>
    <t>HD 110067</t>
  </si>
  <si>
    <t>HD 110082</t>
  </si>
  <si>
    <t>62466</t>
  </si>
  <si>
    <t>HIP 62662</t>
  </si>
  <si>
    <t>HD 110113</t>
  </si>
  <si>
    <t>61627</t>
  </si>
  <si>
    <t>HIP 61820</t>
  </si>
  <si>
    <t>HD 110537</t>
  </si>
  <si>
    <t>61846</t>
  </si>
  <si>
    <t>HIP 62039</t>
  </si>
  <si>
    <t>HD 11112</t>
  </si>
  <si>
    <t>8383</t>
  </si>
  <si>
    <t>Gl 77</t>
  </si>
  <si>
    <t>HD 111232</t>
  </si>
  <si>
    <t>62339</t>
  </si>
  <si>
    <t>HIP 62534</t>
  </si>
  <si>
    <t>HD 111591</t>
  </si>
  <si>
    <t>62457</t>
  </si>
  <si>
    <t>HIP 62653</t>
  </si>
  <si>
    <t>HD 111998</t>
  </si>
  <si>
    <t>62678</t>
  </si>
  <si>
    <t>GJ 9421</t>
  </si>
  <si>
    <t>HD 112300</t>
  </si>
  <si>
    <t>62890</t>
  </si>
  <si>
    <t>Minelauva</t>
  </si>
  <si>
    <t>HD 112570</t>
  </si>
  <si>
    <t>63009</t>
  </si>
  <si>
    <t>HIP 63211</t>
  </si>
  <si>
    <t>HD 112640</t>
  </si>
  <si>
    <t>63001</t>
  </si>
  <si>
    <t>HIP 63203</t>
  </si>
  <si>
    <t>HD 113337</t>
  </si>
  <si>
    <t>63381</t>
  </si>
  <si>
    <t>HIP 63584</t>
  </si>
  <si>
    <t>HD 113538</t>
  </si>
  <si>
    <t>63630</t>
  </si>
  <si>
    <t>Gl 496.1</t>
  </si>
  <si>
    <t>HD 113996</t>
  </si>
  <si>
    <t>63819</t>
  </si>
  <si>
    <t>41    Com</t>
  </si>
  <si>
    <t>HD 114082</t>
  </si>
  <si>
    <t>63981</t>
  </si>
  <si>
    <t>HIP 64184</t>
  </si>
  <si>
    <t>HD 114386</t>
  </si>
  <si>
    <t>64091</t>
  </si>
  <si>
    <t>HIP 64295</t>
  </si>
  <si>
    <t>HD 114729</t>
  </si>
  <si>
    <t>64254</t>
  </si>
  <si>
    <t>HIP 64459</t>
  </si>
  <si>
    <t>HD 114783</t>
  </si>
  <si>
    <t>64252</t>
  </si>
  <si>
    <t>GJ 3769</t>
  </si>
  <si>
    <t>HD 11505</t>
  </si>
  <si>
    <t>8779</t>
  </si>
  <si>
    <t>HIP 8798</t>
  </si>
  <si>
    <t>HD 11506</t>
  </si>
  <si>
    <t>8752</t>
  </si>
  <si>
    <t>HIP 8770</t>
  </si>
  <si>
    <t>HD 115404 A</t>
  </si>
  <si>
    <t>HD 115954</t>
  </si>
  <si>
    <t>64837</t>
  </si>
  <si>
    <t>HIP 65042</t>
  </si>
  <si>
    <t>HD 116029</t>
  </si>
  <si>
    <t>64912</t>
  </si>
  <si>
    <t>HIP 65117</t>
  </si>
  <si>
    <t>HD 117207</t>
  </si>
  <si>
    <t>65602</t>
  </si>
  <si>
    <t>HIP 65808</t>
  </si>
  <si>
    <t>HD 11755</t>
  </si>
  <si>
    <t>9223</t>
  </si>
  <si>
    <t>HIP 9242</t>
  </si>
  <si>
    <t>HD 117618</t>
  </si>
  <si>
    <t>65839</t>
  </si>
  <si>
    <t>Dofida</t>
  </si>
  <si>
    <t>HD 118203</t>
  </si>
  <si>
    <t>65983</t>
  </si>
  <si>
    <t>Liesma</t>
  </si>
  <si>
    <t>HD 11964</t>
  </si>
  <si>
    <t>9075</t>
  </si>
  <si>
    <t>Gl 81.1A</t>
  </si>
  <si>
    <t>HD 11977</t>
  </si>
  <si>
    <t>8909</t>
  </si>
  <si>
    <t>Eta2Hyi</t>
  </si>
  <si>
    <t>HD 120084</t>
  </si>
  <si>
    <t>66691</t>
  </si>
  <si>
    <t>HIP 66903</t>
  </si>
  <si>
    <t>HD 121504</t>
  </si>
  <si>
    <t>67945</t>
  </si>
  <si>
    <t>HIP 68162</t>
  </si>
  <si>
    <t>HD 12235</t>
  </si>
  <si>
    <t>9334</t>
  </si>
  <si>
    <t>112    Psc</t>
  </si>
  <si>
    <t>HD 122562</t>
  </si>
  <si>
    <t>68360</t>
  </si>
  <si>
    <t>HIP 68578</t>
  </si>
  <si>
    <t>HD 124330</t>
  </si>
  <si>
    <t>69100</t>
  </si>
  <si>
    <t>HIP 69322</t>
  </si>
  <si>
    <t>HD 12484</t>
  </si>
  <si>
    <t>9499</t>
  </si>
  <si>
    <t>HIP 9519</t>
  </si>
  <si>
    <t>HD 125136</t>
  </si>
  <si>
    <t>69952</t>
  </si>
  <si>
    <t>HIP 70175</t>
  </si>
  <si>
    <t>HD 125271</t>
  </si>
  <si>
    <t>70387</t>
  </si>
  <si>
    <t>HIP 70610</t>
  </si>
  <si>
    <t>HD 125390</t>
  </si>
  <si>
    <t>69665</t>
  </si>
  <si>
    <t>HIP 69888</t>
  </si>
  <si>
    <t>HD 125595</t>
  </si>
  <si>
    <t>69947</t>
  </si>
  <si>
    <t>Gl 545.1</t>
  </si>
  <si>
    <t>HD 125612</t>
  </si>
  <si>
    <t>69900</t>
  </si>
  <si>
    <t>HIP 70123</t>
  </si>
  <si>
    <t>HD 126105</t>
  </si>
  <si>
    <t>70159</t>
  </si>
  <si>
    <t>HIP 70382</t>
  </si>
  <si>
    <t>HD 12648</t>
  </si>
  <si>
    <t>10774</t>
  </si>
  <si>
    <t>HIP 10800</t>
  </si>
  <si>
    <t>HD 126525</t>
  </si>
  <si>
    <t>70471</t>
  </si>
  <si>
    <t>Gl 550</t>
  </si>
  <si>
    <t>HD 12661</t>
  </si>
  <si>
    <t>9661</t>
  </si>
  <si>
    <t>HIP 9683</t>
  </si>
  <si>
    <t>HD 126614</t>
  </si>
  <si>
    <t>70400</t>
  </si>
  <si>
    <t>HIP 70623</t>
  </si>
  <si>
    <t>HD 127195</t>
  </si>
  <si>
    <t>70793</t>
  </si>
  <si>
    <t>HIP 71018</t>
  </si>
  <si>
    <t>HD 127506</t>
  </si>
  <si>
    <t>70725</t>
  </si>
  <si>
    <t>Gl 554</t>
  </si>
  <si>
    <t>HD 128311</t>
  </si>
  <si>
    <t>71169</t>
  </si>
  <si>
    <t>GJ 3860</t>
  </si>
  <si>
    <t>HD 128356</t>
  </si>
  <si>
    <t>71255</t>
  </si>
  <si>
    <t>HIP 71481</t>
  </si>
  <si>
    <t>HD 128717</t>
  </si>
  <si>
    <t>71199</t>
  </si>
  <si>
    <t>HIP 71425</t>
  </si>
  <si>
    <t>HD 129445</t>
  </si>
  <si>
    <t>71978</t>
  </si>
  <si>
    <t>HIP 72203</t>
  </si>
  <si>
    <t>HD 130322</t>
  </si>
  <si>
    <t>72113</t>
  </si>
  <si>
    <t>Mönch</t>
  </si>
  <si>
    <t>HD 131496</t>
  </si>
  <si>
    <t>72619</t>
  </si>
  <si>
    <t>Arcalís</t>
  </si>
  <si>
    <t>HD 13167</t>
  </si>
  <si>
    <t>9937</t>
  </si>
  <si>
    <t>HIP 9960</t>
  </si>
  <si>
    <t>HD 13189</t>
  </si>
  <si>
    <t>10062</t>
  </si>
  <si>
    <t>HIP 10085</t>
  </si>
  <si>
    <t>HD 132406</t>
  </si>
  <si>
    <t>72919</t>
  </si>
  <si>
    <t>HIP 73146</t>
  </si>
  <si>
    <t>HD 132563</t>
  </si>
  <si>
    <t>73034</t>
  </si>
  <si>
    <t>HIP 73261</t>
  </si>
  <si>
    <t>HD 133131 A</t>
  </si>
  <si>
    <t>HD 133131 B</t>
  </si>
  <si>
    <t>HD 134060</t>
  </si>
  <si>
    <t>74045</t>
  </si>
  <si>
    <t>HIP 74273</t>
  </si>
  <si>
    <t>HD 134606</t>
  </si>
  <si>
    <t>74425</t>
  </si>
  <si>
    <t>HIP 74653</t>
  </si>
  <si>
    <t>HD 134987</t>
  </si>
  <si>
    <t>74272</t>
  </si>
  <si>
    <t>Gl 579.4</t>
  </si>
  <si>
    <t>HD 135344 A</t>
  </si>
  <si>
    <t>HD 135625</t>
  </si>
  <si>
    <t>74626</t>
  </si>
  <si>
    <t>HIP 74856</t>
  </si>
  <si>
    <t>HD 135694</t>
  </si>
  <si>
    <t>74098</t>
  </si>
  <si>
    <t>HIP 74326</t>
  </si>
  <si>
    <t>HD 135872</t>
  </si>
  <si>
    <t>74614</t>
  </si>
  <si>
    <t>HIP 74842</t>
  </si>
  <si>
    <t>HD 136118</t>
  </si>
  <si>
    <t>74719</t>
  </si>
  <si>
    <t>HIP 74948</t>
  </si>
  <si>
    <t>HD 136352</t>
  </si>
  <si>
    <t>74952</t>
  </si>
  <si>
    <t>Gl 582</t>
  </si>
  <si>
    <t>HD 136418</t>
  </si>
  <si>
    <t>74732</t>
  </si>
  <si>
    <t>Nikawiy</t>
  </si>
  <si>
    <t>HD 136925</t>
  </si>
  <si>
    <t>75052</t>
  </si>
  <si>
    <t>HIP 75281</t>
  </si>
  <si>
    <t>HD 13724</t>
  </si>
  <si>
    <t>10254</t>
  </si>
  <si>
    <t>HIP 10278</t>
  </si>
  <si>
    <t>HD 137388</t>
  </si>
  <si>
    <t>76118</t>
  </si>
  <si>
    <t>Karaka</t>
  </si>
  <si>
    <t>HD 137496</t>
  </si>
  <si>
    <t>HD 13808</t>
  </si>
  <si>
    <t>10277</t>
  </si>
  <si>
    <t>HIP 10301</t>
  </si>
  <si>
    <t>HD 13908</t>
  </si>
  <si>
    <t>10717</t>
  </si>
  <si>
    <t>HIP 10743</t>
  </si>
  <si>
    <t>HD 13931</t>
  </si>
  <si>
    <t>10602</t>
  </si>
  <si>
    <t>HIP 10626</t>
  </si>
  <si>
    <t>HD 139357</t>
  </si>
  <si>
    <t>76079</t>
  </si>
  <si>
    <t>HIP 76311</t>
  </si>
  <si>
    <t>HD 1397</t>
  </si>
  <si>
    <t>1417</t>
  </si>
  <si>
    <t>HIP 1419</t>
  </si>
  <si>
    <t>HD 14067</t>
  </si>
  <si>
    <t>10633</t>
  </si>
  <si>
    <t>HIP 10657</t>
  </si>
  <si>
    <t>HD 140901</t>
  </si>
  <si>
    <t>77121</t>
  </si>
  <si>
    <t>Gl 599A</t>
  </si>
  <si>
    <t>HD 141004</t>
  </si>
  <si>
    <t>77022</t>
  </si>
  <si>
    <t>Gl 598</t>
  </si>
  <si>
    <t>HD 141399</t>
  </si>
  <si>
    <t>77065</t>
  </si>
  <si>
    <t>HIP 77301</t>
  </si>
  <si>
    <t>HD 141937</t>
  </si>
  <si>
    <t>77504</t>
  </si>
  <si>
    <t>HIP 77740</t>
  </si>
  <si>
    <t>HD 142</t>
  </si>
  <si>
    <t>521</t>
  </si>
  <si>
    <t>Gl 4.2A</t>
  </si>
  <si>
    <t>HD 142022 A</t>
  </si>
  <si>
    <t>HD 142245</t>
  </si>
  <si>
    <t>77547</t>
  </si>
  <si>
    <t>HIP 77783</t>
  </si>
  <si>
    <t>HD 142415</t>
  </si>
  <si>
    <t>77933</t>
  </si>
  <si>
    <t>HIP 78169</t>
  </si>
  <si>
    <t>HD 143105</t>
  </si>
  <si>
    <t>77602</t>
  </si>
  <si>
    <t>HIP 77838</t>
  </si>
  <si>
    <t>HD 143361</t>
  </si>
  <si>
    <t>78284</t>
  </si>
  <si>
    <t>HIP 78521</t>
  </si>
  <si>
    <t>HD 143811 A</t>
  </si>
  <si>
    <t>HD 144899</t>
  </si>
  <si>
    <t>79001</t>
  </si>
  <si>
    <t>HIP 79240</t>
  </si>
  <si>
    <t>HD 145377</t>
  </si>
  <si>
    <t>79106</t>
  </si>
  <si>
    <t>HIP 79346</t>
  </si>
  <si>
    <t>HD 145457</t>
  </si>
  <si>
    <t>78979</t>
  </si>
  <si>
    <t>Kamuy</t>
  </si>
  <si>
    <t>HD 145934</t>
  </si>
  <si>
    <t>HD 1461</t>
  </si>
  <si>
    <t>1496</t>
  </si>
  <si>
    <t>Gl 16.1</t>
  </si>
  <si>
    <t>HD 147018</t>
  </si>
  <si>
    <t>80008</t>
  </si>
  <si>
    <t>HIP 80250</t>
  </si>
  <si>
    <t>HD 147379</t>
  </si>
  <si>
    <t>79513</t>
  </si>
  <si>
    <t>Gl 617A</t>
  </si>
  <si>
    <t>HD 147513</t>
  </si>
  <si>
    <t>80095</t>
  </si>
  <si>
    <t>Gl 620.1A</t>
  </si>
  <si>
    <t>HD 14787</t>
  </si>
  <si>
    <t>11103</t>
  </si>
  <si>
    <t>HIP 11130</t>
  </si>
  <si>
    <t>HD 147873</t>
  </si>
  <si>
    <t>80244</t>
  </si>
  <si>
    <t>HIP 80486</t>
  </si>
  <si>
    <t>HD 148156</t>
  </si>
  <si>
    <t>80436</t>
  </si>
  <si>
    <t>HIP 80680</t>
  </si>
  <si>
    <t>HD 148164</t>
  </si>
  <si>
    <t>80242</t>
  </si>
  <si>
    <t>HIP 80484</t>
  </si>
  <si>
    <t>HD 148427</t>
  </si>
  <si>
    <t>80443</t>
  </si>
  <si>
    <t>Timir</t>
  </si>
  <si>
    <t>HD 149026</t>
  </si>
  <si>
    <t>80593</t>
  </si>
  <si>
    <t>Ogma</t>
  </si>
  <si>
    <t>HD 149143</t>
  </si>
  <si>
    <t>80776</t>
  </si>
  <si>
    <t>Rosalíadecastro</t>
  </si>
  <si>
    <t>HD 149806</t>
  </si>
  <si>
    <t>81128</t>
  </si>
  <si>
    <t>HIP 81375</t>
  </si>
  <si>
    <t>HD 150010</t>
  </si>
  <si>
    <t>80674</t>
  </si>
  <si>
    <t>HIP 80920</t>
  </si>
  <si>
    <t>HD 1502</t>
  </si>
  <si>
    <t>1544</t>
  </si>
  <si>
    <t>Citadelle</t>
  </si>
  <si>
    <t>HD 150706</t>
  </si>
  <si>
    <t>80656</t>
  </si>
  <si>
    <t>Gl 632</t>
  </si>
  <si>
    <t>HD 151450</t>
  </si>
  <si>
    <t>81982</t>
  </si>
  <si>
    <t>HIP 82233</t>
  </si>
  <si>
    <t>HD 152079</t>
  </si>
  <si>
    <t>82380</t>
  </si>
  <si>
    <t>HIP 82632</t>
  </si>
  <si>
    <t>HD 152581</t>
  </si>
  <si>
    <t>82399</t>
  </si>
  <si>
    <t>Mahsati</t>
  </si>
  <si>
    <t>HD 152843</t>
  </si>
  <si>
    <t>HD 15337</t>
  </si>
  <si>
    <t>11406</t>
  </si>
  <si>
    <t>HIP 11433</t>
  </si>
  <si>
    <t>HD 153557</t>
  </si>
  <si>
    <t>82765</t>
  </si>
  <si>
    <t>Gl 649.1A</t>
  </si>
  <si>
    <t>HD 153950</t>
  </si>
  <si>
    <t>83290</t>
  </si>
  <si>
    <t>Rapeto</t>
  </si>
  <si>
    <t>HD 154088</t>
  </si>
  <si>
    <t>83284</t>
  </si>
  <si>
    <t>Gl 652</t>
  </si>
  <si>
    <t>HD 154345</t>
  </si>
  <si>
    <t>83134</t>
  </si>
  <si>
    <t>Gl 651</t>
  </si>
  <si>
    <t>HD 154391</t>
  </si>
  <si>
    <t>83034</t>
  </si>
  <si>
    <t>HIP 83289</t>
  </si>
  <si>
    <t>HD 154672</t>
  </si>
  <si>
    <t>83726</t>
  </si>
  <si>
    <t>HIP 83983</t>
  </si>
  <si>
    <t>HD 154857</t>
  </si>
  <si>
    <t>83811</t>
  </si>
  <si>
    <t>HIP 84069</t>
  </si>
  <si>
    <t>HD 155193</t>
  </si>
  <si>
    <t>83696</t>
  </si>
  <si>
    <t>HIP 83953</t>
  </si>
  <si>
    <t>HD 155358</t>
  </si>
  <si>
    <t>83692</t>
  </si>
  <si>
    <t>HIP 83949</t>
  </si>
  <si>
    <t>HD 155918</t>
  </si>
  <si>
    <t>84729</t>
  </si>
  <si>
    <t>Gl 667.1</t>
  </si>
  <si>
    <t>HD 156098</t>
  </si>
  <si>
    <t>84293</t>
  </si>
  <si>
    <t>HIP 84551</t>
  </si>
  <si>
    <t>HD 156279</t>
  </si>
  <si>
    <t>83912</t>
  </si>
  <si>
    <t>HIP 84171</t>
  </si>
  <si>
    <t>HD 156411</t>
  </si>
  <si>
    <t>84529</t>
  </si>
  <si>
    <t>Inquill</t>
  </si>
  <si>
    <t>HD 156668</t>
  </si>
  <si>
    <t>84349</t>
  </si>
  <si>
    <t>HIP 84607</t>
  </si>
  <si>
    <t>HD 156846</t>
  </si>
  <si>
    <t>84598</t>
  </si>
  <si>
    <t>HIP 84856</t>
  </si>
  <si>
    <t>HD 158038</t>
  </si>
  <si>
    <t>85035</t>
  </si>
  <si>
    <t>HIP 85294</t>
  </si>
  <si>
    <t>HD 158259</t>
  </si>
  <si>
    <t>85009</t>
  </si>
  <si>
    <t>HIP 85268</t>
  </si>
  <si>
    <t>HD 158996</t>
  </si>
  <si>
    <t>84512</t>
  </si>
  <si>
    <t>HIP 84769</t>
  </si>
  <si>
    <t>HD 15906</t>
  </si>
  <si>
    <t>11836</t>
  </si>
  <si>
    <t>HIP 11865</t>
  </si>
  <si>
    <t>HD 159243</t>
  </si>
  <si>
    <t>85649</t>
  </si>
  <si>
    <t>HIP 85911</t>
  </si>
  <si>
    <t>HD 159868</t>
  </si>
  <si>
    <t>86109</t>
  </si>
  <si>
    <t>GJ 4014</t>
  </si>
  <si>
    <t>HD 1605</t>
  </si>
  <si>
    <t>1636</t>
  </si>
  <si>
    <t>HIP 1640</t>
  </si>
  <si>
    <t>HD 160691</t>
  </si>
  <si>
    <t>86529</t>
  </si>
  <si>
    <t>Cervantes</t>
  </si>
  <si>
    <t>HD 161178</t>
  </si>
  <si>
    <t>85956</t>
  </si>
  <si>
    <t>HIP 86219</t>
  </si>
  <si>
    <t>HD 16141</t>
  </si>
  <si>
    <t>12017</t>
  </si>
  <si>
    <t>GJ 9085</t>
  </si>
  <si>
    <t>HD 16175</t>
  </si>
  <si>
    <t>12159</t>
  </si>
  <si>
    <t>Buna</t>
  </si>
  <si>
    <t>HD 162020</t>
  </si>
  <si>
    <t>87060</t>
  </si>
  <si>
    <t>HIP 87330</t>
  </si>
  <si>
    <t>HD 163607</t>
  </si>
  <si>
    <t>87330</t>
  </si>
  <si>
    <t>HIP 87601</t>
  </si>
  <si>
    <t>HD 16417</t>
  </si>
  <si>
    <t>12154</t>
  </si>
  <si>
    <t>Gl 105.1</t>
  </si>
  <si>
    <t>HD 164509</t>
  </si>
  <si>
    <t>87995</t>
  </si>
  <si>
    <t>HIP 88268</t>
  </si>
  <si>
    <t>HD 164595</t>
  </si>
  <si>
    <t>87921</t>
  </si>
  <si>
    <t>HIP 88194</t>
  </si>
  <si>
    <t>HD 164604</t>
  </si>
  <si>
    <t>88141</t>
  </si>
  <si>
    <t>Pincoya</t>
  </si>
  <si>
    <t>HD 164922</t>
  </si>
  <si>
    <t>88075</t>
  </si>
  <si>
    <t>Gl 700.2</t>
  </si>
  <si>
    <t>HD 165131</t>
  </si>
  <si>
    <t>88321</t>
  </si>
  <si>
    <t>HIP 88595</t>
  </si>
  <si>
    <t>HD 165155</t>
  </si>
  <si>
    <t>88375</t>
  </si>
  <si>
    <t>HIP 88650</t>
  </si>
  <si>
    <t>HD 1666</t>
  </si>
  <si>
    <t>1662</t>
  </si>
  <si>
    <t>HIP 1666</t>
  </si>
  <si>
    <t>HD 166724</t>
  </si>
  <si>
    <t>89077</t>
  </si>
  <si>
    <t>HIP 89354</t>
  </si>
  <si>
    <t>HD 167042</t>
  </si>
  <si>
    <t>88770</t>
  </si>
  <si>
    <t>HIP 89047</t>
  </si>
  <si>
    <t>HD 16760</t>
  </si>
  <si>
    <t>12606</t>
  </si>
  <si>
    <t>HIP 12638</t>
  </si>
  <si>
    <t>HD 167677</t>
  </si>
  <si>
    <t>89305</t>
  </si>
  <si>
    <t>HIP 89583</t>
  </si>
  <si>
    <t>HD 167768</t>
  </si>
  <si>
    <t>89309</t>
  </si>
  <si>
    <t>HIP 89587</t>
  </si>
  <si>
    <t>HD 168009</t>
  </si>
  <si>
    <t>89196</t>
  </si>
  <si>
    <t>Gl 708.4</t>
  </si>
  <si>
    <t>HD 168443</t>
  </si>
  <si>
    <t>89566</t>
  </si>
  <si>
    <t>GJ 4052</t>
  </si>
  <si>
    <t>HD 168746</t>
  </si>
  <si>
    <t>89726</t>
  </si>
  <si>
    <t>Alasia</t>
  </si>
  <si>
    <t>HD 168863</t>
  </si>
  <si>
    <t>89776</t>
  </si>
  <si>
    <t>HIP 90055</t>
  </si>
  <si>
    <t>HD 1690</t>
  </si>
  <si>
    <t>1688</t>
  </si>
  <si>
    <t>HIP 1692</t>
  </si>
  <si>
    <t>HD 16905</t>
  </si>
  <si>
    <t>12403</t>
  </si>
  <si>
    <t>HIP 12436</t>
  </si>
  <si>
    <t>HD 169142</t>
  </si>
  <si>
    <t>HD 169830</t>
  </si>
  <si>
    <t>90206</t>
  </si>
  <si>
    <t>HIP 90485</t>
  </si>
  <si>
    <t>HD 170469</t>
  </si>
  <si>
    <t>90313</t>
  </si>
  <si>
    <t>HIP 90593</t>
  </si>
  <si>
    <t>HD 17092</t>
  </si>
  <si>
    <t>HD 171028</t>
  </si>
  <si>
    <t>HD 171238</t>
  </si>
  <si>
    <t>90803</t>
  </si>
  <si>
    <t>HIP 91085</t>
  </si>
  <si>
    <t>HD 17156</t>
  </si>
  <si>
    <t>13159</t>
  </si>
  <si>
    <t>Nushagak</t>
  </si>
  <si>
    <t>HD 173416</t>
  </si>
  <si>
    <t>91566</t>
  </si>
  <si>
    <t>Xihe</t>
  </si>
  <si>
    <t>HD 174205</t>
  </si>
  <si>
    <t>91526</t>
  </si>
  <si>
    <t>HIP 91811</t>
  </si>
  <si>
    <t>HD 175167</t>
  </si>
  <si>
    <t>92988</t>
  </si>
  <si>
    <t>HIP 93281</t>
  </si>
  <si>
    <t>HD 175541</t>
  </si>
  <si>
    <t>92604</t>
  </si>
  <si>
    <t>Kaveh</t>
  </si>
  <si>
    <t>HD 175607</t>
  </si>
  <si>
    <t>93080</t>
  </si>
  <si>
    <t>HIP 93373</t>
  </si>
  <si>
    <t>HD 17674</t>
  </si>
  <si>
    <t>13257</t>
  </si>
  <si>
    <t>HIP 13291</t>
  </si>
  <si>
    <t>HD 176986</t>
  </si>
  <si>
    <t>93246</t>
  </si>
  <si>
    <t>HIP 93540</t>
  </si>
  <si>
    <t>HD 177565</t>
  </si>
  <si>
    <t>93563</t>
  </si>
  <si>
    <t>Gl 744</t>
  </si>
  <si>
    <t>HD 177830</t>
  </si>
  <si>
    <t>93451</t>
  </si>
  <si>
    <t>Gl 743.2</t>
  </si>
  <si>
    <t>HD 178911 B</t>
  </si>
  <si>
    <t>HD 179079</t>
  </si>
  <si>
    <t>93961</t>
  </si>
  <si>
    <t>HIP 94256</t>
  </si>
  <si>
    <t>HD 179949</t>
  </si>
  <si>
    <t>94350</t>
  </si>
  <si>
    <t>Gumala</t>
  </si>
  <si>
    <t>HD 180053</t>
  </si>
  <si>
    <t>94170</t>
  </si>
  <si>
    <t>HIP 94465</t>
  </si>
  <si>
    <t>HD 18015</t>
  </si>
  <si>
    <t>13433</t>
  </si>
  <si>
    <t>HIP 13467</t>
  </si>
  <si>
    <t>HD 180314</t>
  </si>
  <si>
    <t>94282</t>
  </si>
  <si>
    <t>HIP 94576</t>
  </si>
  <si>
    <t>HD 180902</t>
  </si>
  <si>
    <t>94656</t>
  </si>
  <si>
    <t>HIP 94951</t>
  </si>
  <si>
    <t>HD 181234</t>
  </si>
  <si>
    <t>94720</t>
  </si>
  <si>
    <t>HIP 95015</t>
  </si>
  <si>
    <t>HD 181342</t>
  </si>
  <si>
    <t>94829</t>
  </si>
  <si>
    <t>Belel</t>
  </si>
  <si>
    <t>HD 18143</t>
  </si>
  <si>
    <t>13608</t>
  </si>
  <si>
    <t>Gl 118.2A</t>
  </si>
  <si>
    <t>HD 181433</t>
  </si>
  <si>
    <t>95172</t>
  </si>
  <si>
    <t>Gl 756.1</t>
  </si>
  <si>
    <t>HD 181720</t>
  </si>
  <si>
    <t>94967</t>
  </si>
  <si>
    <t>Sika</t>
  </si>
  <si>
    <t>HD 183263</t>
  </si>
  <si>
    <t>95442</t>
  </si>
  <si>
    <t>HIP 95740</t>
  </si>
  <si>
    <t>HD 183579</t>
  </si>
  <si>
    <t>95858</t>
  </si>
  <si>
    <t>HIP 96160</t>
  </si>
  <si>
    <t>HD 184010</t>
  </si>
  <si>
    <t>95716</t>
  </si>
  <si>
    <t>HIP 96016</t>
  </si>
  <si>
    <t>HD 18438</t>
  </si>
  <si>
    <t>14381</t>
  </si>
  <si>
    <t>HIP 14417</t>
  </si>
  <si>
    <t>HD 185269</t>
  </si>
  <si>
    <t>96205</t>
  </si>
  <si>
    <t>HIP 96507</t>
  </si>
  <si>
    <t>HD 185283</t>
  </si>
  <si>
    <t>96554</t>
  </si>
  <si>
    <t>HIP 96861</t>
  </si>
  <si>
    <t>HD 18599</t>
  </si>
  <si>
    <t>13720</t>
  </si>
  <si>
    <t>HIP 13754</t>
  </si>
  <si>
    <t>HD 187085</t>
  </si>
  <si>
    <t>97236</t>
  </si>
  <si>
    <t>HIP 97546</t>
  </si>
  <si>
    <t>HD 187123</t>
  </si>
  <si>
    <t>97027</t>
  </si>
  <si>
    <t>HIP 97336</t>
  </si>
  <si>
    <t>HD 18742</t>
  </si>
  <si>
    <t>13959</t>
  </si>
  <si>
    <t>Ayeyarwady</t>
  </si>
  <si>
    <t>HD 188015</t>
  </si>
  <si>
    <t>97458</t>
  </si>
  <si>
    <t>HIP 97769</t>
  </si>
  <si>
    <t>HD 188641</t>
  </si>
  <si>
    <t>97911</t>
  </si>
  <si>
    <t>HIP 98222</t>
  </si>
  <si>
    <t>HD 189567</t>
  </si>
  <si>
    <t>98643</t>
  </si>
  <si>
    <t>Gl 776</t>
  </si>
  <si>
    <t>HD 189733</t>
  </si>
  <si>
    <t>98194</t>
  </si>
  <si>
    <t>GJ 4130</t>
  </si>
  <si>
    <t>HD 190007</t>
  </si>
  <si>
    <t>98385</t>
  </si>
  <si>
    <t>Gl 775</t>
  </si>
  <si>
    <t>HD 190228</t>
  </si>
  <si>
    <t>98400</t>
  </si>
  <si>
    <t>HIP 98714</t>
  </si>
  <si>
    <t>HD 190360</t>
  </si>
  <si>
    <t>98454</t>
  </si>
  <si>
    <t>Gl 777A</t>
  </si>
  <si>
    <t>HD 190647</t>
  </si>
  <si>
    <t>98799</t>
  </si>
  <si>
    <t>HIP 99115</t>
  </si>
  <si>
    <t>HD 190984</t>
  </si>
  <si>
    <t>99178</t>
  </si>
  <si>
    <t>HIP 99496</t>
  </si>
  <si>
    <t>HD 191806</t>
  </si>
  <si>
    <t>98989</t>
  </si>
  <si>
    <t>HIP 99306</t>
  </si>
  <si>
    <t>HD 191939</t>
  </si>
  <si>
    <t>98859</t>
  </si>
  <si>
    <t>HIP 99175</t>
  </si>
  <si>
    <t>HD 192263</t>
  </si>
  <si>
    <t>99392</t>
  </si>
  <si>
    <t>HIP 99711</t>
  </si>
  <si>
    <t>HD 192699</t>
  </si>
  <si>
    <t>99574</t>
  </si>
  <si>
    <t>Chechia</t>
  </si>
  <si>
    <t>HD 194490</t>
  </si>
  <si>
    <t>100616</t>
  </si>
  <si>
    <t>HIP 100942</t>
  </si>
  <si>
    <t>HD 195019</t>
  </si>
  <si>
    <t>100644</t>
  </si>
  <si>
    <t>HIP 100970</t>
  </si>
  <si>
    <t>HD 196050</t>
  </si>
  <si>
    <t>101478</t>
  </si>
  <si>
    <t>HIP 101806</t>
  </si>
  <si>
    <t>HD 196067</t>
  </si>
  <si>
    <t>101794</t>
  </si>
  <si>
    <t>Mu 2Oct</t>
  </si>
  <si>
    <t>HD 19615</t>
  </si>
  <si>
    <t>15096</t>
  </si>
  <si>
    <t>HIP 15135</t>
  </si>
  <si>
    <t>HD 196885 A</t>
  </si>
  <si>
    <t>HD 197037</t>
  </si>
  <si>
    <t>101619</t>
  </si>
  <si>
    <t>HIP 101948</t>
  </si>
  <si>
    <t>HD 199509</t>
  </si>
  <si>
    <t>104099</t>
  </si>
  <si>
    <t>HIP 104436</t>
  </si>
  <si>
    <t>HD 19994</t>
  </si>
  <si>
    <t>14917</t>
  </si>
  <si>
    <t>Gl 128A</t>
  </si>
  <si>
    <t>HD 20003</t>
  </si>
  <si>
    <t>14494</t>
  </si>
  <si>
    <t>HIP 14530</t>
  </si>
  <si>
    <t>HD 200964</t>
  </si>
  <si>
    <t>103867</t>
  </si>
  <si>
    <t>HIP 104202</t>
  </si>
  <si>
    <t>HD 202206</t>
  </si>
  <si>
    <t>104565</t>
  </si>
  <si>
    <t>HIP 104903</t>
  </si>
  <si>
    <t>HD 202696</t>
  </si>
  <si>
    <t>104718</t>
  </si>
  <si>
    <t>HIP 105056</t>
  </si>
  <si>
    <t>HD 202772 A</t>
  </si>
  <si>
    <t>HD 203030</t>
  </si>
  <si>
    <t>104893</t>
  </si>
  <si>
    <t>HIP 105232</t>
  </si>
  <si>
    <t>HD 20329</t>
  </si>
  <si>
    <t>15211</t>
  </si>
  <si>
    <t>HIP 15249</t>
  </si>
  <si>
    <t>HD 203387</t>
  </si>
  <si>
    <t>105175</t>
  </si>
  <si>
    <t>32Iot Cap</t>
  </si>
  <si>
    <t>HD 2039</t>
  </si>
  <si>
    <t>1926</t>
  </si>
  <si>
    <t>HIP 1931</t>
  </si>
  <si>
    <t>HD 204313</t>
  </si>
  <si>
    <t>105665</t>
  </si>
  <si>
    <t>HIP 106006</t>
  </si>
  <si>
    <t>HD 204941</t>
  </si>
  <si>
    <t>106011</t>
  </si>
  <si>
    <t>HIP 106353</t>
  </si>
  <si>
    <t>HD 205158</t>
  </si>
  <si>
    <t>106273</t>
  </si>
  <si>
    <t>HIP 106615</t>
  </si>
  <si>
    <t>HD 205739</t>
  </si>
  <si>
    <t>106481</t>
  </si>
  <si>
    <t>Sāmaya</t>
  </si>
  <si>
    <t>HD 206255</t>
  </si>
  <si>
    <t>106817</t>
  </si>
  <si>
    <t>HIP 107160</t>
  </si>
  <si>
    <t>HD 206610</t>
  </si>
  <si>
    <t>106908</t>
  </si>
  <si>
    <t>Bosona</t>
  </si>
  <si>
    <t>HD 206893</t>
  </si>
  <si>
    <t>107069</t>
  </si>
  <si>
    <t>HIP 107412</t>
  </si>
  <si>
    <t>HD 207496</t>
  </si>
  <si>
    <t>107819</t>
  </si>
  <si>
    <t>GJ 4229A</t>
  </si>
  <si>
    <t>HD 20781</t>
  </si>
  <si>
    <t>15487</t>
  </si>
  <si>
    <t>HIP 15526</t>
  </si>
  <si>
    <t>HD 20782</t>
  </si>
  <si>
    <t>15488</t>
  </si>
  <si>
    <t>HIP 15527</t>
  </si>
  <si>
    <t>HD 207832</t>
  </si>
  <si>
    <t>107642</t>
  </si>
  <si>
    <t>HIP 107985</t>
  </si>
  <si>
    <t>HD 207897</t>
  </si>
  <si>
    <t>106695</t>
  </si>
  <si>
    <t>HIP 107038</t>
  </si>
  <si>
    <t>HD 208487</t>
  </si>
  <si>
    <t>108030</t>
  </si>
  <si>
    <t>Itonda</t>
  </si>
  <si>
    <t>HD 208527</t>
  </si>
  <si>
    <t>107951</t>
  </si>
  <si>
    <t>HIP 108296</t>
  </si>
  <si>
    <t>HD 20868</t>
  </si>
  <si>
    <t>15539</t>
  </si>
  <si>
    <t>Intan</t>
  </si>
  <si>
    <t>HD 208897</t>
  </si>
  <si>
    <t>108168</t>
  </si>
  <si>
    <t>HIP 108513</t>
  </si>
  <si>
    <t>HD 209458</t>
  </si>
  <si>
    <t>108513</t>
  </si>
  <si>
    <t>HIP 108859</t>
  </si>
  <si>
    <t>HD 210193</t>
  </si>
  <si>
    <t>109035</t>
  </si>
  <si>
    <t>HIP 109381</t>
  </si>
  <si>
    <t>HD 210277</t>
  </si>
  <si>
    <t>109033</t>
  </si>
  <si>
    <t>Gl 848.4</t>
  </si>
  <si>
    <t>HD 210702</t>
  </si>
  <si>
    <t>109231</t>
  </si>
  <si>
    <t>HIP 109577</t>
  </si>
  <si>
    <t>HD 211403</t>
  </si>
  <si>
    <t>109530</t>
  </si>
  <si>
    <t>HIP 109876</t>
  </si>
  <si>
    <t>HD 211810</t>
  </si>
  <si>
    <t>109748</t>
  </si>
  <si>
    <t>HIP 110094</t>
  </si>
  <si>
    <t>HD 211970</t>
  </si>
  <si>
    <t>110097</t>
  </si>
  <si>
    <t>GJ 1267</t>
  </si>
  <si>
    <t>HD 212301</t>
  </si>
  <si>
    <t>110506</t>
  </si>
  <si>
    <t>HIP 110852</t>
  </si>
  <si>
    <t>HD 212771</t>
  </si>
  <si>
    <t>110467</t>
  </si>
  <si>
    <t>Lionrock</t>
  </si>
  <si>
    <t>HD 213240</t>
  </si>
  <si>
    <t>110796</t>
  </si>
  <si>
    <t>HIP 111143</t>
  </si>
  <si>
    <t>HD 213472</t>
  </si>
  <si>
    <t>110789</t>
  </si>
  <si>
    <t>HIP 111136</t>
  </si>
  <si>
    <t>HD 213519</t>
  </si>
  <si>
    <t>110801</t>
  </si>
  <si>
    <t>HIP 111148</t>
  </si>
  <si>
    <t>HD 213885</t>
  </si>
  <si>
    <t>111203</t>
  </si>
  <si>
    <t>HIP 111553</t>
  </si>
  <si>
    <t>HD 21411</t>
  </si>
  <si>
    <t>15973</t>
  </si>
  <si>
    <t>Gl 141.2</t>
  </si>
  <si>
    <t>HD 214823</t>
  </si>
  <si>
    <t>111575</t>
  </si>
  <si>
    <t>HIP 111928</t>
  </si>
  <si>
    <t>HD 215152</t>
  </si>
  <si>
    <t>111836</t>
  </si>
  <si>
    <t>GJ 4291</t>
  </si>
  <si>
    <t>HD 21520</t>
  </si>
  <si>
    <t>15999</t>
  </si>
  <si>
    <t>HIP 16038</t>
  </si>
  <si>
    <t>HD 215497</t>
  </si>
  <si>
    <t>112085</t>
  </si>
  <si>
    <t>HIP 112441</t>
  </si>
  <si>
    <t>HD 216435</t>
  </si>
  <si>
    <t>112684</t>
  </si>
  <si>
    <t>GJ 9802</t>
  </si>
  <si>
    <t>HD 216437</t>
  </si>
  <si>
    <t>112777</t>
  </si>
  <si>
    <t>Rho Ind</t>
  </si>
  <si>
    <t>HD 216520</t>
  </si>
  <si>
    <t>112168</t>
  </si>
  <si>
    <t>HIP 112527</t>
  </si>
  <si>
    <t>HD 216536</t>
  </si>
  <si>
    <t>HD 216770</t>
  </si>
  <si>
    <t>112878</t>
  </si>
  <si>
    <t>HIP 113238</t>
  </si>
  <si>
    <t>HD 21693</t>
  </si>
  <si>
    <t>16046</t>
  </si>
  <si>
    <t>HIP 16085</t>
  </si>
  <si>
    <t>HD 217107</t>
  </si>
  <si>
    <t>113061</t>
  </si>
  <si>
    <t>HIP 113421</t>
  </si>
  <si>
    <t>HD 217786</t>
  </si>
  <si>
    <t>113474</t>
  </si>
  <si>
    <t>HIP 113834</t>
  </si>
  <si>
    <t>HD 217958</t>
  </si>
  <si>
    <t>113588</t>
  </si>
  <si>
    <t>HIP 113948</t>
  </si>
  <si>
    <t>HD 218566</t>
  </si>
  <si>
    <t>113961</t>
  </si>
  <si>
    <t>Ebla</t>
  </si>
  <si>
    <t>HD 219077</t>
  </si>
  <si>
    <t>114337</t>
  </si>
  <si>
    <t>HIP 114699</t>
  </si>
  <si>
    <t>HD 219139</t>
  </si>
  <si>
    <t>114279</t>
  </si>
  <si>
    <t>HIP 114641</t>
  </si>
  <si>
    <t>HD 219415</t>
  </si>
  <si>
    <t>HD 219666</t>
  </si>
  <si>
    <t>HD 219828</t>
  </si>
  <si>
    <t>114738</t>
  </si>
  <si>
    <t>HIP 115100</t>
  </si>
  <si>
    <t>HD 220074</t>
  </si>
  <si>
    <t>114855</t>
  </si>
  <si>
    <t>HIP 115218</t>
  </si>
  <si>
    <t>HD 220197</t>
  </si>
  <si>
    <t>114995</t>
  </si>
  <si>
    <t>HIP 115359</t>
  </si>
  <si>
    <t>HD 220689</t>
  </si>
  <si>
    <t>115297</t>
  </si>
  <si>
    <t>HIP 115662</t>
  </si>
  <si>
    <t>HD 220773</t>
  </si>
  <si>
    <t>115332</t>
  </si>
  <si>
    <t>HIP 115697</t>
  </si>
  <si>
    <t>HD 220842</t>
  </si>
  <si>
    <t>115349</t>
  </si>
  <si>
    <t>HIP 115714</t>
  </si>
  <si>
    <t>HD 221287</t>
  </si>
  <si>
    <t>115718</t>
  </si>
  <si>
    <t>Poerava</t>
  </si>
  <si>
    <t>HD 221416</t>
  </si>
  <si>
    <t>115792</t>
  </si>
  <si>
    <t>HIP 116158</t>
  </si>
  <si>
    <t>HD 221420</t>
  </si>
  <si>
    <t>115884</t>
  </si>
  <si>
    <t>GJ 4340</t>
  </si>
  <si>
    <t>HD 221585</t>
  </si>
  <si>
    <t>115855</t>
  </si>
  <si>
    <t>HIP 116221</t>
  </si>
  <si>
    <t>HD 222076</t>
  </si>
  <si>
    <t>116264</t>
  </si>
  <si>
    <t>HIP 116630</t>
  </si>
  <si>
    <t>HD 222155</t>
  </si>
  <si>
    <t>116250</t>
  </si>
  <si>
    <t>HIP 116616</t>
  </si>
  <si>
    <t>HD 222237</t>
  </si>
  <si>
    <t>116379</t>
  </si>
  <si>
    <t>Gl 902</t>
  </si>
  <si>
    <t>HD 222582</t>
  </si>
  <si>
    <t>116540</t>
  </si>
  <si>
    <t>HIP 116906</t>
  </si>
  <si>
    <t>HD 224018</t>
  </si>
  <si>
    <t>HD 224538</t>
  </si>
  <si>
    <t>117860</t>
  </si>
  <si>
    <t>HIP 118228</t>
  </si>
  <si>
    <t>HD 224693</t>
  </si>
  <si>
    <t>117951</t>
  </si>
  <si>
    <t>Axólotl</t>
  </si>
  <si>
    <t>HD 22496</t>
  </si>
  <si>
    <t>16670</t>
  </si>
  <si>
    <t>Gl 146</t>
  </si>
  <si>
    <t>HD 22532</t>
  </si>
  <si>
    <t>16691</t>
  </si>
  <si>
    <t>HIP 16732</t>
  </si>
  <si>
    <t>HD 22781</t>
  </si>
  <si>
    <t>17146</t>
  </si>
  <si>
    <t>HIP 17187</t>
  </si>
  <si>
    <t>HD 22946</t>
  </si>
  <si>
    <t>17006</t>
  </si>
  <si>
    <t>HIP 17047</t>
  </si>
  <si>
    <t>HD 23079</t>
  </si>
  <si>
    <t>17055</t>
  </si>
  <si>
    <t>Tupi</t>
  </si>
  <si>
    <t>HD 23127</t>
  </si>
  <si>
    <t>17013</t>
  </si>
  <si>
    <t>HIP 17054</t>
  </si>
  <si>
    <t>HD 231701</t>
  </si>
  <si>
    <t>95777</t>
  </si>
  <si>
    <t>Uruk</t>
  </si>
  <si>
    <t>HD 233604</t>
  </si>
  <si>
    <t>HD 233832</t>
  </si>
  <si>
    <t>55640</t>
  </si>
  <si>
    <t>HIP 55806</t>
  </si>
  <si>
    <t>HD 23472</t>
  </si>
  <si>
    <t>17222</t>
  </si>
  <si>
    <t>HIP 17264</t>
  </si>
  <si>
    <t>HD 235088</t>
  </si>
  <si>
    <t>98356</t>
  </si>
  <si>
    <t>HIP 98668</t>
  </si>
  <si>
    <t>HD 23596</t>
  </si>
  <si>
    <t>17705</t>
  </si>
  <si>
    <t>HIP 17747</t>
  </si>
  <si>
    <t>HD 238090</t>
  </si>
  <si>
    <t>59332</t>
  </si>
  <si>
    <t>Gl 458A</t>
  </si>
  <si>
    <t>HD 238914</t>
  </si>
  <si>
    <t>91105</t>
  </si>
  <si>
    <t>HIP 91388</t>
  </si>
  <si>
    <t>HD 240210</t>
  </si>
  <si>
    <t>HD 240237</t>
  </si>
  <si>
    <t>114478</t>
  </si>
  <si>
    <t>HIP 114840</t>
  </si>
  <si>
    <t>HD 24040</t>
  </si>
  <si>
    <t>17918</t>
  </si>
  <si>
    <t>HIP 17960</t>
  </si>
  <si>
    <t>HD 24064</t>
  </si>
  <si>
    <t>18403</t>
  </si>
  <si>
    <t>HIP 18451</t>
  </si>
  <si>
    <t>HD 24085</t>
  </si>
  <si>
    <t>17473</t>
  </si>
  <si>
    <t>HIP 17515</t>
  </si>
  <si>
    <t>HD 25015</t>
  </si>
  <si>
    <t>18480</t>
  </si>
  <si>
    <t>HIP 18527</t>
  </si>
  <si>
    <t>HD 25171</t>
  </si>
  <si>
    <t>18341</t>
  </si>
  <si>
    <t>HIP 18387</t>
  </si>
  <si>
    <t>HD 25463</t>
  </si>
  <si>
    <t>18846</t>
  </si>
  <si>
    <t>HIP 18893</t>
  </si>
  <si>
    <t>HD 25723</t>
  </si>
  <si>
    <t>18963</t>
  </si>
  <si>
    <t>HIP 19011</t>
  </si>
  <si>
    <t>HD 25912</t>
  </si>
  <si>
    <t>18897</t>
  </si>
  <si>
    <t>HIP 18944</t>
  </si>
  <si>
    <t>HD 260655</t>
  </si>
  <si>
    <t>31555</t>
  </si>
  <si>
    <t>Gl 239</t>
  </si>
  <si>
    <t>HD 26161</t>
  </si>
  <si>
    <t>19379</t>
  </si>
  <si>
    <t>HIP 19428</t>
  </si>
  <si>
    <t>HD 2638</t>
  </si>
  <si>
    <t>2344</t>
  </si>
  <si>
    <t>HIP 2350</t>
  </si>
  <si>
    <t>HD 2685</t>
  </si>
  <si>
    <t>HD 27442</t>
  </si>
  <si>
    <t>19871</t>
  </si>
  <si>
    <t>Gl 167.3</t>
  </si>
  <si>
    <t>HD 27631</t>
  </si>
  <si>
    <t>20149</t>
  </si>
  <si>
    <t>HIP 20199</t>
  </si>
  <si>
    <t>HD 278555</t>
  </si>
  <si>
    <t>HD 27894</t>
  </si>
  <si>
    <t>20227</t>
  </si>
  <si>
    <t>HIP 20277</t>
  </si>
  <si>
    <t>HD 27969</t>
  </si>
  <si>
    <t>20701</t>
  </si>
  <si>
    <t>HIP 20753</t>
  </si>
  <si>
    <t>HD 28109</t>
  </si>
  <si>
    <t>20245</t>
  </si>
  <si>
    <t>HIP 20295</t>
  </si>
  <si>
    <t>HD 28185</t>
  </si>
  <si>
    <t>20672</t>
  </si>
  <si>
    <t>HIP 20723</t>
  </si>
  <si>
    <t>HD 28192</t>
  </si>
  <si>
    <t>20700</t>
  </si>
  <si>
    <t>HIP 20752</t>
  </si>
  <si>
    <t>HD 28254</t>
  </si>
  <si>
    <t>20554</t>
  </si>
  <si>
    <t>HIP 20606</t>
  </si>
  <si>
    <t>HD 284149 A</t>
  </si>
  <si>
    <t>HD 28471</t>
  </si>
  <si>
    <t>20572</t>
  </si>
  <si>
    <t>GJ 9156</t>
  </si>
  <si>
    <t>HD 285507</t>
  </si>
  <si>
    <t>19159</t>
  </si>
  <si>
    <t>HIP 19207</t>
  </si>
  <si>
    <t>HD 285968</t>
  </si>
  <si>
    <t>21879</t>
  </si>
  <si>
    <t>Gl 176</t>
  </si>
  <si>
    <t>HD 28678</t>
  </si>
  <si>
    <t>21057</t>
  </si>
  <si>
    <t>Hoggar</t>
  </si>
  <si>
    <t>HD 29021</t>
  </si>
  <si>
    <t>21518</t>
  </si>
  <si>
    <t>HIP 21571</t>
  </si>
  <si>
    <t>HD 290327</t>
  </si>
  <si>
    <t>25128</t>
  </si>
  <si>
    <t>HIP 25191</t>
  </si>
  <si>
    <t>HD 29399</t>
  </si>
  <si>
    <t>21200</t>
  </si>
  <si>
    <t>HIP 21253</t>
  </si>
  <si>
    <t>HD 2952</t>
  </si>
  <si>
    <t>2605</t>
  </si>
  <si>
    <t>HIP 2611</t>
  </si>
  <si>
    <t>HD 29985</t>
  </si>
  <si>
    <t>21812</t>
  </si>
  <si>
    <t>HIP 21865</t>
  </si>
  <si>
    <t>HD 30177</t>
  </si>
  <si>
    <t>21797</t>
  </si>
  <si>
    <t>HIP 21850</t>
  </si>
  <si>
    <t>HD 30562</t>
  </si>
  <si>
    <t>22283</t>
  </si>
  <si>
    <t>HIP 22336</t>
  </si>
  <si>
    <t>HD 30669</t>
  </si>
  <si>
    <t>22267</t>
  </si>
  <si>
    <t>HIP 22320</t>
  </si>
  <si>
    <t>HD 307842</t>
  </si>
  <si>
    <t>HD 30856</t>
  </si>
  <si>
    <t>22438</t>
  </si>
  <si>
    <t>Mouhoun</t>
  </si>
  <si>
    <t>HD 31253</t>
  </si>
  <si>
    <t>22773</t>
  </si>
  <si>
    <t>HIP 22826</t>
  </si>
  <si>
    <t>HD 31527</t>
  </si>
  <si>
    <t>22852</t>
  </si>
  <si>
    <t>HIP 22905</t>
  </si>
  <si>
    <t>HD 3167</t>
  </si>
  <si>
    <t>2730</t>
  </si>
  <si>
    <t>HIP 2736</t>
  </si>
  <si>
    <t>HD 32518</t>
  </si>
  <si>
    <t>23949</t>
  </si>
  <si>
    <t>Mago</t>
  </si>
  <si>
    <t>HD 32963</t>
  </si>
  <si>
    <t>23829</t>
  </si>
  <si>
    <t>HIP 23884</t>
  </si>
  <si>
    <t>HD 330075</t>
  </si>
  <si>
    <t>77281</t>
  </si>
  <si>
    <t>HIP 77517</t>
  </si>
  <si>
    <t>HD 331093</t>
  </si>
  <si>
    <t>96639</t>
  </si>
  <si>
    <t>HIP 96946</t>
  </si>
  <si>
    <t>HD 33142</t>
  </si>
  <si>
    <t>23789</t>
  </si>
  <si>
    <t>HIP 23844</t>
  </si>
  <si>
    <t>HD 332231</t>
  </si>
  <si>
    <t>HD 33283</t>
  </si>
  <si>
    <t>23834</t>
  </si>
  <si>
    <t>HIP 23889</t>
  </si>
  <si>
    <t>HD 33564</t>
  </si>
  <si>
    <t>25047</t>
  </si>
  <si>
    <t>Gl 196</t>
  </si>
  <si>
    <t>HD 33844</t>
  </si>
  <si>
    <t>24218</t>
  </si>
  <si>
    <t>HIP 24275</t>
  </si>
  <si>
    <t>HD 34445</t>
  </si>
  <si>
    <t>24621</t>
  </si>
  <si>
    <t>HIP 24681</t>
  </si>
  <si>
    <t>HD 35759</t>
  </si>
  <si>
    <t>25818</t>
  </si>
  <si>
    <t>HIP 25883</t>
  </si>
  <si>
    <t>HD 35843</t>
  </si>
  <si>
    <t>25296</t>
  </si>
  <si>
    <t>HIP 25359</t>
  </si>
  <si>
    <t>HD 360</t>
  </si>
  <si>
    <t>670</t>
  </si>
  <si>
    <t>HIP 671</t>
  </si>
  <si>
    <t>HD 36384</t>
  </si>
  <si>
    <t>26573</t>
  </si>
  <si>
    <t>HIP 26638</t>
  </si>
  <si>
    <t>HD 3651</t>
  </si>
  <si>
    <t>3087</t>
  </si>
  <si>
    <t>Gl 27</t>
  </si>
  <si>
    <t>HD 37124</t>
  </si>
  <si>
    <t>26316</t>
  </si>
  <si>
    <t>Gl 209</t>
  </si>
  <si>
    <t>HD 37605</t>
  </si>
  <si>
    <t>26599</t>
  </si>
  <si>
    <t>HIP 26664</t>
  </si>
  <si>
    <t>HD 3765</t>
  </si>
  <si>
    <t>3198</t>
  </si>
  <si>
    <t>Gl 28</t>
  </si>
  <si>
    <t>HD 38283</t>
  </si>
  <si>
    <t>26315</t>
  </si>
  <si>
    <t>Bubup</t>
  </si>
  <si>
    <t>HD 38529</t>
  </si>
  <si>
    <t>27187</t>
  </si>
  <si>
    <t>HIP 27253</t>
  </si>
  <si>
    <t>HD 38801</t>
  </si>
  <si>
    <t>27316</t>
  </si>
  <si>
    <t>HIP 27384</t>
  </si>
  <si>
    <t>HD 39091</t>
  </si>
  <si>
    <t>26330</t>
  </si>
  <si>
    <t>GJ 9189</t>
  </si>
  <si>
    <t>HD 39194</t>
  </si>
  <si>
    <t>27014</t>
  </si>
  <si>
    <t>Gl 217.2</t>
  </si>
  <si>
    <t>HD 39855</t>
  </si>
  <si>
    <t>27853</t>
  </si>
  <si>
    <t>HIP 27922</t>
  </si>
  <si>
    <t>HD 40307</t>
  </si>
  <si>
    <t>27818</t>
  </si>
  <si>
    <t>HIP 27887</t>
  </si>
  <si>
    <t>HD 40956</t>
  </si>
  <si>
    <t>28879</t>
  </si>
  <si>
    <t>HIP 28951</t>
  </si>
  <si>
    <t>HD 40979</t>
  </si>
  <si>
    <t>28696</t>
  </si>
  <si>
    <t>HIP 28767</t>
  </si>
  <si>
    <t>HD 41004 A</t>
  </si>
  <si>
    <t>HD 41004 B</t>
  </si>
  <si>
    <t>HD 4113</t>
  </si>
  <si>
    <t>3384</t>
  </si>
  <si>
    <t>HIP 3391</t>
  </si>
  <si>
    <t>HD 42012</t>
  </si>
  <si>
    <t>29169</t>
  </si>
  <si>
    <t>HIP 29242</t>
  </si>
  <si>
    <t>HD 4203</t>
  </si>
  <si>
    <t>3494</t>
  </si>
  <si>
    <t>HIP 3502</t>
  </si>
  <si>
    <t>HD 4208</t>
  </si>
  <si>
    <t>3472</t>
  </si>
  <si>
    <t>Cocibolca</t>
  </si>
  <si>
    <t>HD 42618</t>
  </si>
  <si>
    <t>29359</t>
  </si>
  <si>
    <t>GJ 3387</t>
  </si>
  <si>
    <t>HD 4308</t>
  </si>
  <si>
    <t>3490</t>
  </si>
  <si>
    <t>Gl 31.5</t>
  </si>
  <si>
    <t>HD 4313</t>
  </si>
  <si>
    <t>3566</t>
  </si>
  <si>
    <t>HIP 3574</t>
  </si>
  <si>
    <t>HD 43197</t>
  </si>
  <si>
    <t>29477</t>
  </si>
  <si>
    <t>Amadioha</t>
  </si>
  <si>
    <t>HD 43691</t>
  </si>
  <si>
    <t>29984</t>
  </si>
  <si>
    <t>HIP 30057</t>
  </si>
  <si>
    <t>HD 44219</t>
  </si>
  <si>
    <t>30041</t>
  </si>
  <si>
    <t>HIP 30114</t>
  </si>
  <si>
    <t>HD 45184</t>
  </si>
  <si>
    <t>30430</t>
  </si>
  <si>
    <t>GJ 3394</t>
  </si>
  <si>
    <t>HD 45350</t>
  </si>
  <si>
    <t>30788</t>
  </si>
  <si>
    <t>Lucilinburhuc</t>
  </si>
  <si>
    <t>HD 45364</t>
  </si>
  <si>
    <t>30506</t>
  </si>
  <si>
    <t>HIP 30579</t>
  </si>
  <si>
    <t>HD 45652</t>
  </si>
  <si>
    <t>30832</t>
  </si>
  <si>
    <t>Lusitânia</t>
  </si>
  <si>
    <t>HD 457</t>
  </si>
  <si>
    <t>724</t>
  </si>
  <si>
    <t>HIP 726</t>
  </si>
  <si>
    <t>HD 46375</t>
  </si>
  <si>
    <t>31169</t>
  </si>
  <si>
    <t>HIP 31246</t>
  </si>
  <si>
    <t>HD 47186</t>
  </si>
  <si>
    <t>31460</t>
  </si>
  <si>
    <t>HIP 31540</t>
  </si>
  <si>
    <t>HD 4732</t>
  </si>
  <si>
    <t>3825</t>
  </si>
  <si>
    <t>HIP 3834</t>
  </si>
  <si>
    <t>HD 47366</t>
  </si>
  <si>
    <t>31594</t>
  </si>
  <si>
    <t>HIP 31674</t>
  </si>
  <si>
    <t>HD 47536</t>
  </si>
  <si>
    <t>31608</t>
  </si>
  <si>
    <t>HIP 31688</t>
  </si>
  <si>
    <t>HD 4760</t>
  </si>
  <si>
    <t>3859</t>
  </si>
  <si>
    <t>HIP 3869</t>
  </si>
  <si>
    <t>HD 48265</t>
  </si>
  <si>
    <t>31812</t>
  </si>
  <si>
    <t>Nosaxa</t>
  </si>
  <si>
    <t>HD 48948</t>
  </si>
  <si>
    <t>32683</t>
  </si>
  <si>
    <t>Gl 247</t>
  </si>
  <si>
    <t>HD 4917</t>
  </si>
  <si>
    <t>3965</t>
  </si>
  <si>
    <t>HIP 3975</t>
  </si>
  <si>
    <t>HD 49674</t>
  </si>
  <si>
    <t>32829</t>
  </si>
  <si>
    <t>Nervia</t>
  </si>
  <si>
    <t>HD 50499</t>
  </si>
  <si>
    <t>32883</t>
  </si>
  <si>
    <t>HIP 32970</t>
  </si>
  <si>
    <t>HD 50554</t>
  </si>
  <si>
    <t>33125</t>
  </si>
  <si>
    <t>HIP 33212</t>
  </si>
  <si>
    <t>HD 51608</t>
  </si>
  <si>
    <t>33142</t>
  </si>
  <si>
    <t>Gl 253</t>
  </si>
  <si>
    <t>HD 52265</t>
  </si>
  <si>
    <t>33632</t>
  </si>
  <si>
    <t>Citalá</t>
  </si>
  <si>
    <t>HD 5278</t>
  </si>
  <si>
    <t>3901</t>
  </si>
  <si>
    <t>HIP 3911</t>
  </si>
  <si>
    <t>HD 5319</t>
  </si>
  <si>
    <t>4287</t>
  </si>
  <si>
    <t>HIP 4297</t>
  </si>
  <si>
    <t>HD 5388</t>
  </si>
  <si>
    <t>4301</t>
  </si>
  <si>
    <t>HIP 4311</t>
  </si>
  <si>
    <t>HD 55696</t>
  </si>
  <si>
    <t>34708</t>
  </si>
  <si>
    <t>HIP 34801</t>
  </si>
  <si>
    <t>HD 5583</t>
  </si>
  <si>
    <t>HD 5608</t>
  </si>
  <si>
    <t>4542</t>
  </si>
  <si>
    <t>HIP 4552</t>
  </si>
  <si>
    <t>HD 564</t>
  </si>
  <si>
    <t>799</t>
  </si>
  <si>
    <t>HIP 801</t>
  </si>
  <si>
    <t>HD 56414</t>
  </si>
  <si>
    <t>HD 56957</t>
  </si>
  <si>
    <t>35184</t>
  </si>
  <si>
    <t>HIP 35279</t>
  </si>
  <si>
    <t>HD 5891</t>
  </si>
  <si>
    <t>4705</t>
  </si>
  <si>
    <t>HIP 4715</t>
  </si>
  <si>
    <t>HD 59686 A</t>
  </si>
  <si>
    <t>HD 60292</t>
  </si>
  <si>
    <t>37090</t>
  </si>
  <si>
    <t>HIP 37196</t>
  </si>
  <si>
    <t>HD 60532</t>
  </si>
  <si>
    <t>36689</t>
  </si>
  <si>
    <t>Gl 279</t>
  </si>
  <si>
    <t>HD 6061</t>
  </si>
  <si>
    <t>HD 60779</t>
  </si>
  <si>
    <t>36870</t>
  </si>
  <si>
    <t>GJ 9237</t>
  </si>
  <si>
    <t>HD 62364</t>
  </si>
  <si>
    <t>36835</t>
  </si>
  <si>
    <t>HIP 36941</t>
  </si>
  <si>
    <t>HD 62509</t>
  </si>
  <si>
    <t>37718</t>
  </si>
  <si>
    <t>Pollux</t>
  </si>
  <si>
    <t>HD 62549</t>
  </si>
  <si>
    <t>37625</t>
  </si>
  <si>
    <t>HIP 37732</t>
  </si>
  <si>
    <t>HD 63433</t>
  </si>
  <si>
    <t>38120</t>
  </si>
  <si>
    <t>HIP 38228</t>
  </si>
  <si>
    <t>HD 63454</t>
  </si>
  <si>
    <t>37178</t>
  </si>
  <si>
    <t>Ceibo</t>
  </si>
  <si>
    <t>HD 63765</t>
  </si>
  <si>
    <t>37933</t>
  </si>
  <si>
    <t>Tapecue</t>
  </si>
  <si>
    <t>HD 63935</t>
  </si>
  <si>
    <t>38265</t>
  </si>
  <si>
    <t>HIP 38374</t>
  </si>
  <si>
    <t>HD 64114</t>
  </si>
  <si>
    <t>38283</t>
  </si>
  <si>
    <t>HIP 38392</t>
  </si>
  <si>
    <t>HD 64121</t>
  </si>
  <si>
    <t>38073</t>
  </si>
  <si>
    <t>HIP 38181</t>
  </si>
  <si>
    <t>HD 6434</t>
  </si>
  <si>
    <t>5044</t>
  </si>
  <si>
    <t>Nenque</t>
  </si>
  <si>
    <t>HD 65216</t>
  </si>
  <si>
    <t>38446</t>
  </si>
  <si>
    <t>HIP 38558</t>
  </si>
  <si>
    <t>HD 66141</t>
  </si>
  <si>
    <t>39200</t>
  </si>
  <si>
    <t>HIP 39311</t>
  </si>
  <si>
    <t>HD 66428</t>
  </si>
  <si>
    <t>39306</t>
  </si>
  <si>
    <t>HIP 39417</t>
  </si>
  <si>
    <t>HD 67087</t>
  </si>
  <si>
    <t>39654</t>
  </si>
  <si>
    <t>HIP 39767</t>
  </si>
  <si>
    <t>HD 6718</t>
  </si>
  <si>
    <t>5290</t>
  </si>
  <si>
    <t>HIP 5301</t>
  </si>
  <si>
    <t>HD 68402</t>
  </si>
  <si>
    <t>39478</t>
  </si>
  <si>
    <t>HIP 39589</t>
  </si>
  <si>
    <t>HD 68475</t>
  </si>
  <si>
    <t>39938</t>
  </si>
  <si>
    <t>HIP 40051</t>
  </si>
  <si>
    <t>HD 6860</t>
  </si>
  <si>
    <t>5436</t>
  </si>
  <si>
    <t>Mirach</t>
  </si>
  <si>
    <t>HD 68988</t>
  </si>
  <si>
    <t>40572</t>
  </si>
  <si>
    <t>Násti</t>
  </si>
  <si>
    <t>HD 69123</t>
  </si>
  <si>
    <t>40229</t>
  </si>
  <si>
    <t>HIP 40344</t>
  </si>
  <si>
    <t>HD 69830</t>
  </si>
  <si>
    <t>40578</t>
  </si>
  <si>
    <t>Gl 302</t>
  </si>
  <si>
    <t>HD 70573</t>
  </si>
  <si>
    <t>HD 70642</t>
  </si>
  <si>
    <t>40837</t>
  </si>
  <si>
    <t>Gl 304</t>
  </si>
  <si>
    <t>HD 715</t>
  </si>
  <si>
    <t>HD 7199</t>
  </si>
  <si>
    <t>5517</t>
  </si>
  <si>
    <t>Emiw</t>
  </si>
  <si>
    <t>HD 72490</t>
  </si>
  <si>
    <t>41878</t>
  </si>
  <si>
    <t>HIP 41997</t>
  </si>
  <si>
    <t>HD 72659</t>
  </si>
  <si>
    <t>41911</t>
  </si>
  <si>
    <t>HIP 42030</t>
  </si>
  <si>
    <t>HD 72892</t>
  </si>
  <si>
    <t>41979</t>
  </si>
  <si>
    <t>HIP 42098</t>
  </si>
  <si>
    <t>HD 73256</t>
  </si>
  <si>
    <t>42095</t>
  </si>
  <si>
    <t>HIP 42214</t>
  </si>
  <si>
    <t>HD 73267</t>
  </si>
  <si>
    <t>42083</t>
  </si>
  <si>
    <t>HIP 42202</t>
  </si>
  <si>
    <t>HD 73344</t>
  </si>
  <si>
    <t>42284</t>
  </si>
  <si>
    <t>HIP 42403</t>
  </si>
  <si>
    <t>HD 73526</t>
  </si>
  <si>
    <t>42163</t>
  </si>
  <si>
    <t>HIP 42282</t>
  </si>
  <si>
    <t>HD 73534</t>
  </si>
  <si>
    <t>42327</t>
  </si>
  <si>
    <t>Gakyid</t>
  </si>
  <si>
    <t>HD 73583</t>
  </si>
  <si>
    <t>42282</t>
  </si>
  <si>
    <t>HIP 42401</t>
  </si>
  <si>
    <t>HD 74156</t>
  </si>
  <si>
    <t>42604</t>
  </si>
  <si>
    <t>HIP 42723</t>
  </si>
  <si>
    <t>HD 7449</t>
  </si>
  <si>
    <t>5793</t>
  </si>
  <si>
    <t>HIP 5806</t>
  </si>
  <si>
    <t>HD 74698</t>
  </si>
  <si>
    <t>42413</t>
  </si>
  <si>
    <t>HIP 42532</t>
  </si>
  <si>
    <t>HD 75289</t>
  </si>
  <si>
    <t>43057</t>
  </si>
  <si>
    <t>HIP 43177</t>
  </si>
  <si>
    <t>HD 75302</t>
  </si>
  <si>
    <t>43176</t>
  </si>
  <si>
    <t>HIP 43297</t>
  </si>
  <si>
    <t>HD 75784</t>
  </si>
  <si>
    <t>43446</t>
  </si>
  <si>
    <t>HIP 43569</t>
  </si>
  <si>
    <t>HD 75898</t>
  </si>
  <si>
    <t>43551</t>
  </si>
  <si>
    <t>Stribor</t>
  </si>
  <si>
    <t>HD 76700</t>
  </si>
  <si>
    <t>43563</t>
  </si>
  <si>
    <t>HIP 43686</t>
  </si>
  <si>
    <t>HD 76920</t>
  </si>
  <si>
    <t>43679</t>
  </si>
  <si>
    <t>HIP 43803</t>
  </si>
  <si>
    <t>HD 77338</t>
  </si>
  <si>
    <t>44163</t>
  </si>
  <si>
    <t>HIP 44291</t>
  </si>
  <si>
    <t>HD 77946</t>
  </si>
  <si>
    <t>44618</t>
  </si>
  <si>
    <t>HIP 44746</t>
  </si>
  <si>
    <t>HD 79181</t>
  </si>
  <si>
    <t>45028</t>
  </si>
  <si>
    <t>HIP 45158</t>
  </si>
  <si>
    <t>HD 7924</t>
  </si>
  <si>
    <t>6365</t>
  </si>
  <si>
    <t>Gl 56.5</t>
  </si>
  <si>
    <t>HD 79498</t>
  </si>
  <si>
    <t>45275</t>
  </si>
  <si>
    <t>HIP 45406</t>
  </si>
  <si>
    <t>HD 80606</t>
  </si>
  <si>
    <t>45850</t>
  </si>
  <si>
    <t>HIP 45982</t>
  </si>
  <si>
    <t>HD 80653</t>
  </si>
  <si>
    <t>HD 80869</t>
  </si>
  <si>
    <t>45890</t>
  </si>
  <si>
    <t>HIP 46022</t>
  </si>
  <si>
    <t>HD 80883</t>
  </si>
  <si>
    <t>45618</t>
  </si>
  <si>
    <t>HIP 45749</t>
  </si>
  <si>
    <t>HD 80913</t>
  </si>
  <si>
    <t>45051</t>
  </si>
  <si>
    <t>HIP 45183</t>
  </si>
  <si>
    <t>HD 81040</t>
  </si>
  <si>
    <t>45944</t>
  </si>
  <si>
    <t>HIP 46076</t>
  </si>
  <si>
    <t>HD 81688</t>
  </si>
  <si>
    <t>46339</t>
  </si>
  <si>
    <t>Intercrus</t>
  </si>
  <si>
    <t>HD 81817</t>
  </si>
  <si>
    <t>47060</t>
  </si>
  <si>
    <t>HIP 47193</t>
  </si>
  <si>
    <t>HD 82886</t>
  </si>
  <si>
    <t>46954</t>
  </si>
  <si>
    <t>Illyrian</t>
  </si>
  <si>
    <t>HD 82943</t>
  </si>
  <si>
    <t>46874</t>
  </si>
  <si>
    <t>HIP 47007</t>
  </si>
  <si>
    <t>HD 8326</t>
  </si>
  <si>
    <t>6376</t>
  </si>
  <si>
    <t>GJ 3091A</t>
  </si>
  <si>
    <t>HD 83443</t>
  </si>
  <si>
    <t>47069</t>
  </si>
  <si>
    <t>Kalausi</t>
  </si>
  <si>
    <t>HD 8535</t>
  </si>
  <si>
    <t>6496</t>
  </si>
  <si>
    <t>HIP 6511</t>
  </si>
  <si>
    <t>HD 85390</t>
  </si>
  <si>
    <t>48099</t>
  </si>
  <si>
    <t>Natasha</t>
  </si>
  <si>
    <t>HD 8574</t>
  </si>
  <si>
    <t>6629</t>
  </si>
  <si>
    <t>Bélénos</t>
  </si>
  <si>
    <t>HD 86065</t>
  </si>
  <si>
    <t>48541</t>
  </si>
  <si>
    <t>HIP 48680</t>
  </si>
  <si>
    <t>HD 86081</t>
  </si>
  <si>
    <t>48571</t>
  </si>
  <si>
    <t>Bibhā</t>
  </si>
  <si>
    <t>HD 86226</t>
  </si>
  <si>
    <t>48600</t>
  </si>
  <si>
    <t>HIP 48739</t>
  </si>
  <si>
    <t>HD 86264</t>
  </si>
  <si>
    <t>48641</t>
  </si>
  <si>
    <t>HIP 48780</t>
  </si>
  <si>
    <t>HD 86728</t>
  </si>
  <si>
    <t>48941</t>
  </si>
  <si>
    <t>Gl 376</t>
  </si>
  <si>
    <t>HD 8673</t>
  </si>
  <si>
    <t>6688</t>
  </si>
  <si>
    <t>HIP 6702</t>
  </si>
  <si>
    <t>HD 86950</t>
  </si>
  <si>
    <t>48989</t>
  </si>
  <si>
    <t>HIP 49129</t>
  </si>
  <si>
    <t>HD 87646</t>
  </si>
  <si>
    <t>49381</t>
  </si>
  <si>
    <t>HIP 49522</t>
  </si>
  <si>
    <t>HD 87816</t>
  </si>
  <si>
    <t>49336</t>
  </si>
  <si>
    <t>HIP 49477</t>
  </si>
  <si>
    <t>HD 87883</t>
  </si>
  <si>
    <t>49558</t>
  </si>
  <si>
    <t>HIP 49699</t>
  </si>
  <si>
    <t>HD 88072</t>
  </si>
  <si>
    <t>49615</t>
  </si>
  <si>
    <t>HIP 49756</t>
  </si>
  <si>
    <t>HD 88133</t>
  </si>
  <si>
    <t>49672</t>
  </si>
  <si>
    <t>HIP 49813</t>
  </si>
  <si>
    <t>HD 88986</t>
  </si>
  <si>
    <t>50174</t>
  </si>
  <si>
    <t>24    LMi</t>
  </si>
  <si>
    <t>HD 89307</t>
  </si>
  <si>
    <t>50331</t>
  </si>
  <si>
    <t>HIP 50473</t>
  </si>
  <si>
    <t>HD 89345</t>
  </si>
  <si>
    <t>50354</t>
  </si>
  <si>
    <t>HIP 50496</t>
  </si>
  <si>
    <t>HD 89744</t>
  </si>
  <si>
    <t>50641</t>
  </si>
  <si>
    <t>GJ 9326</t>
  </si>
  <si>
    <t>HD 89839</t>
  </si>
  <si>
    <t>50509</t>
  </si>
  <si>
    <t>HIP 50653</t>
  </si>
  <si>
    <t>HD 90156</t>
  </si>
  <si>
    <t>50776</t>
  </si>
  <si>
    <t>GJ 3597</t>
  </si>
  <si>
    <t>HD 9174</t>
  </si>
  <si>
    <t>6979</t>
  </si>
  <si>
    <t>HIP 6993</t>
  </si>
  <si>
    <t>HD 92788</t>
  </si>
  <si>
    <t>52258</t>
  </si>
  <si>
    <t>HIP 52409</t>
  </si>
  <si>
    <t>HD 93083</t>
  </si>
  <si>
    <t>52370</t>
  </si>
  <si>
    <t>Macondo</t>
  </si>
  <si>
    <t>HD 93351</t>
  </si>
  <si>
    <t>52568</t>
  </si>
  <si>
    <t>HIP 52720</t>
  </si>
  <si>
    <t>HD 93385</t>
  </si>
  <si>
    <t>52524</t>
  </si>
  <si>
    <t>HIP 52676</t>
  </si>
  <si>
    <t>HD 93963 A</t>
  </si>
  <si>
    <t>HD 9446</t>
  </si>
  <si>
    <t>7231</t>
  </si>
  <si>
    <t>HIP 7245</t>
  </si>
  <si>
    <t>HD 94771</t>
  </si>
  <si>
    <t>53282</t>
  </si>
  <si>
    <t>HIP 53437</t>
  </si>
  <si>
    <t>HD 94834</t>
  </si>
  <si>
    <t>53390</t>
  </si>
  <si>
    <t>HIP 53545</t>
  </si>
  <si>
    <t>HD 94890</t>
  </si>
  <si>
    <t>53347</t>
  </si>
  <si>
    <t>Iot Ant</t>
  </si>
  <si>
    <t>HD 95086</t>
  </si>
  <si>
    <t>53369</t>
  </si>
  <si>
    <t>Aiolos</t>
  </si>
  <si>
    <t>HD 95089</t>
  </si>
  <si>
    <t>53510</t>
  </si>
  <si>
    <t>HIP 53666</t>
  </si>
  <si>
    <t>HD 95127</t>
  </si>
  <si>
    <t>53577</t>
  </si>
  <si>
    <t>HIP 53733</t>
  </si>
  <si>
    <t>HD 95338</t>
  </si>
  <si>
    <t>53561</t>
  </si>
  <si>
    <t>HIP 53719</t>
  </si>
  <si>
    <t>HD 95544</t>
  </si>
  <si>
    <t>54045</t>
  </si>
  <si>
    <t>HIP 54203</t>
  </si>
  <si>
    <t>HD 95872</t>
  </si>
  <si>
    <t>HD 96063</t>
  </si>
  <si>
    <t>54001</t>
  </si>
  <si>
    <t>Dingolay</t>
  </si>
  <si>
    <t>HD 96127</t>
  </si>
  <si>
    <t>54074</t>
  </si>
  <si>
    <t>HIP 54232</t>
  </si>
  <si>
    <t>HD 96167</t>
  </si>
  <si>
    <t>54037</t>
  </si>
  <si>
    <t>HIP 54195</t>
  </si>
  <si>
    <t>HD 96700</t>
  </si>
  <si>
    <t>54241</t>
  </si>
  <si>
    <t>Gl 412.2</t>
  </si>
  <si>
    <t>HD 96992</t>
  </si>
  <si>
    <t>54436</t>
  </si>
  <si>
    <t>HIP 54595</t>
  </si>
  <si>
    <t>HD 97037</t>
  </si>
  <si>
    <t>54423</t>
  </si>
  <si>
    <t>HIP 54582</t>
  </si>
  <si>
    <t>HD 97048</t>
  </si>
  <si>
    <t>54254</t>
  </si>
  <si>
    <t>HIP 54413</t>
  </si>
  <si>
    <t>HD 97658</t>
  </si>
  <si>
    <t>54745</t>
  </si>
  <si>
    <t>GJ 3651</t>
  </si>
  <si>
    <t>HD 98219</t>
  </si>
  <si>
    <t>55011</t>
  </si>
  <si>
    <t>Hunahpú</t>
  </si>
  <si>
    <t>HD 98649</t>
  </si>
  <si>
    <t>55246</t>
  </si>
  <si>
    <t>HIP 55409</t>
  </si>
  <si>
    <t>HD 98736</t>
  </si>
  <si>
    <t>55321</t>
  </si>
  <si>
    <t>Gl 426A</t>
  </si>
  <si>
    <t>HD 99109</t>
  </si>
  <si>
    <t>55498</t>
  </si>
  <si>
    <t>Shama</t>
  </si>
  <si>
    <t>HD 99283</t>
  </si>
  <si>
    <t>55631</t>
  </si>
  <si>
    <t>HIP 55797</t>
  </si>
  <si>
    <t>HD 99492</t>
  </si>
  <si>
    <t>55681</t>
  </si>
  <si>
    <t>Gl 429B</t>
  </si>
  <si>
    <t>HD 99706</t>
  </si>
  <si>
    <t>55827</t>
  </si>
  <si>
    <t>HIP 55994</t>
  </si>
  <si>
    <t>HIP 10090</t>
  </si>
  <si>
    <t>10067</t>
  </si>
  <si>
    <t>HIP 105854</t>
  </si>
  <si>
    <t>105513</t>
  </si>
  <si>
    <t>HIP 107772</t>
  </si>
  <si>
    <t>107429</t>
  </si>
  <si>
    <t>HIP 107773</t>
  </si>
  <si>
    <t>107430</t>
  </si>
  <si>
    <t>HIP 109384</t>
  </si>
  <si>
    <t>109038</t>
  </si>
  <si>
    <t>HIP 109600</t>
  </si>
  <si>
    <t>109254</t>
  </si>
  <si>
    <t>HIP 111909</t>
  </si>
  <si>
    <t>111556</t>
  </si>
  <si>
    <t>HIP 113103</t>
  </si>
  <si>
    <t>112743</t>
  </si>
  <si>
    <t>HIP 114933</t>
  </si>
  <si>
    <t>114571</t>
  </si>
  <si>
    <t>HIP 116454</t>
  </si>
  <si>
    <t>116088</t>
  </si>
  <si>
    <t>HIP 12961</t>
  </si>
  <si>
    <t>12928</t>
  </si>
  <si>
    <t>Koeia</t>
  </si>
  <si>
    <t>HIP 14810</t>
  </si>
  <si>
    <t>14774</t>
  </si>
  <si>
    <t>HIP 18606</t>
  </si>
  <si>
    <t>18559</t>
  </si>
  <si>
    <t>HIP 19976</t>
  </si>
  <si>
    <t>19926</t>
  </si>
  <si>
    <t>HIP 21152</t>
  </si>
  <si>
    <t>21100</t>
  </si>
  <si>
    <t>HIP 34222</t>
  </si>
  <si>
    <t>34134</t>
  </si>
  <si>
    <t>Gl 265A</t>
  </si>
  <si>
    <t>HIP 35173</t>
  </si>
  <si>
    <t>35080</t>
  </si>
  <si>
    <t>HIP 35965</t>
  </si>
  <si>
    <t>35866</t>
  </si>
  <si>
    <t>HIP 38594</t>
  </si>
  <si>
    <t>38481</t>
  </si>
  <si>
    <t>HIP 39017</t>
  </si>
  <si>
    <t>38907</t>
  </si>
  <si>
    <t>HIP 39330</t>
  </si>
  <si>
    <t>39218</t>
  </si>
  <si>
    <t>HIP 41378</t>
  </si>
  <si>
    <t>41262</t>
  </si>
  <si>
    <t>HIP 4845</t>
  </si>
  <si>
    <t>4835</t>
  </si>
  <si>
    <t>GJ 3072</t>
  </si>
  <si>
    <t>HIP 48714</t>
  </si>
  <si>
    <t>48575</t>
  </si>
  <si>
    <t>Gl 373</t>
  </si>
  <si>
    <t>HIP 5158</t>
  </si>
  <si>
    <t>5148</t>
  </si>
  <si>
    <t>HIP 54373</t>
  </si>
  <si>
    <t>54214</t>
  </si>
  <si>
    <t>HIP 54515</t>
  </si>
  <si>
    <t>54356</t>
  </si>
  <si>
    <t>HIP 54597</t>
  </si>
  <si>
    <t>54438</t>
  </si>
  <si>
    <t>HIP 55507</t>
  </si>
  <si>
    <t>55342</t>
  </si>
  <si>
    <t>GJ 3656</t>
  </si>
  <si>
    <t>HIP 56640</t>
  </si>
  <si>
    <t>56471</t>
  </si>
  <si>
    <t>HIP 56998</t>
  </si>
  <si>
    <t>56827</t>
  </si>
  <si>
    <t>Gl 435</t>
  </si>
  <si>
    <t>HIP 57274</t>
  </si>
  <si>
    <t>57102</t>
  </si>
  <si>
    <t>Gl 439</t>
  </si>
  <si>
    <t>HIP 5763</t>
  </si>
  <si>
    <t>5751</t>
  </si>
  <si>
    <t>HIP 63242</t>
  </si>
  <si>
    <t>63040</t>
  </si>
  <si>
    <t>HIP 65 A</t>
  </si>
  <si>
    <t>HIP 65407</t>
  </si>
  <si>
    <t>65202</t>
  </si>
  <si>
    <t>HIP 65426</t>
  </si>
  <si>
    <t>65221</t>
  </si>
  <si>
    <t>Matza</t>
  </si>
  <si>
    <t>HIP 65891</t>
  </si>
  <si>
    <t>65684</t>
  </si>
  <si>
    <t>HIP 66074</t>
  </si>
  <si>
    <t>65866</t>
  </si>
  <si>
    <t>GJ 9452</t>
  </si>
  <si>
    <t>HIP 67522</t>
  </si>
  <si>
    <t>67309</t>
  </si>
  <si>
    <t>HIP 67537</t>
  </si>
  <si>
    <t>67324</t>
  </si>
  <si>
    <t>HIP 67851</t>
  </si>
  <si>
    <t>67637</t>
  </si>
  <si>
    <t>HIP 70849</t>
  </si>
  <si>
    <t>70625</t>
  </si>
  <si>
    <t>Gl 550.3</t>
  </si>
  <si>
    <t>HIP 71135</t>
  </si>
  <si>
    <t>70909</t>
  </si>
  <si>
    <t>HIP 74890</t>
  </si>
  <si>
    <t>74661</t>
  </si>
  <si>
    <t>HIP 75092</t>
  </si>
  <si>
    <t>74863</t>
  </si>
  <si>
    <t>HIP 77900</t>
  </si>
  <si>
    <t>77664</t>
  </si>
  <si>
    <t>HIP 78530</t>
  </si>
  <si>
    <t>78292</t>
  </si>
  <si>
    <t>HIP 79098 AB</t>
  </si>
  <si>
    <t>HIP 79431</t>
  </si>
  <si>
    <t>79191</t>
  </si>
  <si>
    <t>Sharjah</t>
  </si>
  <si>
    <t>HIP 81208 C</t>
  </si>
  <si>
    <t>HIP 8152</t>
  </si>
  <si>
    <t>8137</t>
  </si>
  <si>
    <t>HIP 81991</t>
  </si>
  <si>
    <t>81741</t>
  </si>
  <si>
    <t>HIP 8541</t>
  </si>
  <si>
    <t>8524</t>
  </si>
  <si>
    <t>HIP 86221</t>
  </si>
  <si>
    <t>85958</t>
  </si>
  <si>
    <t>HIP 8923</t>
  </si>
  <si>
    <t>8904</t>
  </si>
  <si>
    <t>HIP 90988</t>
  </si>
  <si>
    <t>90706</t>
  </si>
  <si>
    <t>HIP 91258</t>
  </si>
  <si>
    <t>90975</t>
  </si>
  <si>
    <t>HIP 94235</t>
  </si>
  <si>
    <t>93940</t>
  </si>
  <si>
    <t>HIP 948</t>
  </si>
  <si>
    <t>946</t>
  </si>
  <si>
    <t>HIP 9618</t>
  </si>
  <si>
    <t>9597</t>
  </si>
  <si>
    <t>HIP 97166</t>
  </si>
  <si>
    <t>96860</t>
  </si>
  <si>
    <t>HIP 97233</t>
  </si>
  <si>
    <t>96925</t>
  </si>
  <si>
    <t>HIP 98599</t>
  </si>
  <si>
    <t>98288</t>
  </si>
  <si>
    <t>HIP 99770</t>
  </si>
  <si>
    <t>99451</t>
  </si>
  <si>
    <t>29    Cyg</t>
  </si>
  <si>
    <t>HN Peg</t>
  </si>
  <si>
    <t>107007</t>
  </si>
  <si>
    <t>Gl 836.7</t>
  </si>
  <si>
    <t>HR 2562</t>
  </si>
  <si>
    <t>32689</t>
  </si>
  <si>
    <t>HIP 32775</t>
  </si>
  <si>
    <t>HR 5183</t>
  </si>
  <si>
    <t>67034</t>
  </si>
  <si>
    <t>HIP 67246</t>
  </si>
  <si>
    <t>HR 810</t>
  </si>
  <si>
    <t>12620</t>
  </si>
  <si>
    <t>Gl 108</t>
  </si>
  <si>
    <t>HR 858</t>
  </si>
  <si>
    <t>13329</t>
  </si>
  <si>
    <t>HIP 13363</t>
  </si>
  <si>
    <t>HR 8799</t>
  </si>
  <si>
    <t>113828</t>
  </si>
  <si>
    <t>HIP 114189</t>
  </si>
  <si>
    <t>HS Psc</t>
  </si>
  <si>
    <t>HU Aqr</t>
  </si>
  <si>
    <t>IC 4651 9122</t>
  </si>
  <si>
    <t>IRAS 04125+2902</t>
  </si>
  <si>
    <t>ISO-Oph 96</t>
  </si>
  <si>
    <t>ITG 15 A</t>
  </si>
  <si>
    <t>K2-10</t>
  </si>
  <si>
    <t>K2-100</t>
  </si>
  <si>
    <t>K2-101</t>
  </si>
  <si>
    <t>K2-102</t>
  </si>
  <si>
    <t>K2-104</t>
  </si>
  <si>
    <t>K2-105</t>
  </si>
  <si>
    <t>K2-107</t>
  </si>
  <si>
    <t>K2-108</t>
  </si>
  <si>
    <t>K2-11</t>
  </si>
  <si>
    <t>K2-110</t>
  </si>
  <si>
    <t>K2-111</t>
  </si>
  <si>
    <t>K2-113</t>
  </si>
  <si>
    <t>K2-114</t>
  </si>
  <si>
    <t>K2-115</t>
  </si>
  <si>
    <t>K2-116</t>
  </si>
  <si>
    <t>K2-117</t>
  </si>
  <si>
    <t>K2-118</t>
  </si>
  <si>
    <t>K2-119</t>
  </si>
  <si>
    <t>K2-12</t>
  </si>
  <si>
    <t>K2-121</t>
  </si>
  <si>
    <t>K2-122</t>
  </si>
  <si>
    <t>K2-123</t>
  </si>
  <si>
    <t>K2-124</t>
  </si>
  <si>
    <t>K2-125</t>
  </si>
  <si>
    <t>K2-126</t>
  </si>
  <si>
    <t>K2-127</t>
  </si>
  <si>
    <t>K2-128</t>
  </si>
  <si>
    <t>K2-129</t>
  </si>
  <si>
    <t>K2-13</t>
  </si>
  <si>
    <t>K2-130</t>
  </si>
  <si>
    <t>K2-131</t>
  </si>
  <si>
    <t>K2-132</t>
  </si>
  <si>
    <t>K2-133</t>
  </si>
  <si>
    <t>K2-136</t>
  </si>
  <si>
    <t>K2-137</t>
  </si>
  <si>
    <t>K2-138</t>
  </si>
  <si>
    <t>K2-139</t>
  </si>
  <si>
    <t>K2-14</t>
  </si>
  <si>
    <t>K2-140</t>
  </si>
  <si>
    <t>K2-141</t>
  </si>
  <si>
    <t>K2-146</t>
  </si>
  <si>
    <t>K2-147</t>
  </si>
  <si>
    <t>K2-148</t>
  </si>
  <si>
    <t>K2-149</t>
  </si>
  <si>
    <t>K2-15</t>
  </si>
  <si>
    <t>K2-150</t>
  </si>
  <si>
    <t>K2-151</t>
  </si>
  <si>
    <t>K2-152</t>
  </si>
  <si>
    <t>K2-153</t>
  </si>
  <si>
    <t>K2-154</t>
  </si>
  <si>
    <t>K2-155</t>
  </si>
  <si>
    <t>K2-156</t>
  </si>
  <si>
    <t>K2-157</t>
  </si>
  <si>
    <t>K2-158</t>
  </si>
  <si>
    <t>K2-159</t>
  </si>
  <si>
    <t>K2-16</t>
  </si>
  <si>
    <t>K2-160</t>
  </si>
  <si>
    <t>K2-161</t>
  </si>
  <si>
    <t>K2-162</t>
  </si>
  <si>
    <t>K2-163</t>
  </si>
  <si>
    <t>K2-164</t>
  </si>
  <si>
    <t>K2-165</t>
  </si>
  <si>
    <t>K2-166</t>
  </si>
  <si>
    <t>K2-167</t>
  </si>
  <si>
    <t>K2-168</t>
  </si>
  <si>
    <t>K2-169</t>
  </si>
  <si>
    <t>K2-17</t>
  </si>
  <si>
    <t>K2-170</t>
  </si>
  <si>
    <t>K2-171</t>
  </si>
  <si>
    <t>K2-172</t>
  </si>
  <si>
    <t>K2-173</t>
  </si>
  <si>
    <t>K2-174</t>
  </si>
  <si>
    <t>K2-175</t>
  </si>
  <si>
    <t>K2-176</t>
  </si>
  <si>
    <t>K2-177</t>
  </si>
  <si>
    <t>K2-178</t>
  </si>
  <si>
    <t>K2-179</t>
  </si>
  <si>
    <t>K2-18</t>
  </si>
  <si>
    <t>K2-180</t>
  </si>
  <si>
    <t>K2-181</t>
  </si>
  <si>
    <t>K2-182</t>
  </si>
  <si>
    <t>K2-183</t>
  </si>
  <si>
    <t>K2-184</t>
  </si>
  <si>
    <t>K2-185</t>
  </si>
  <si>
    <t>K2-186</t>
  </si>
  <si>
    <t>K2-187</t>
  </si>
  <si>
    <t>K2-188</t>
  </si>
  <si>
    <t>K2-189</t>
  </si>
  <si>
    <t>K2-19</t>
  </si>
  <si>
    <t>K2-190</t>
  </si>
  <si>
    <t>K2-191</t>
  </si>
  <si>
    <t>K2-192</t>
  </si>
  <si>
    <t>K2-193</t>
  </si>
  <si>
    <t>K2-194</t>
  </si>
  <si>
    <t>K2-195</t>
  </si>
  <si>
    <t>K2-196</t>
  </si>
  <si>
    <t>K2-197</t>
  </si>
  <si>
    <t>K2-198</t>
  </si>
  <si>
    <t>K2-199</t>
  </si>
  <si>
    <t>K2-200</t>
  </si>
  <si>
    <t>K2-201</t>
  </si>
  <si>
    <t>K2-2016-BLG-0005L</t>
  </si>
  <si>
    <t>K2-202</t>
  </si>
  <si>
    <t>K2-203</t>
  </si>
  <si>
    <t>K2-204</t>
  </si>
  <si>
    <t>K2-205</t>
  </si>
  <si>
    <t>K2-206</t>
  </si>
  <si>
    <t>K2-207</t>
  </si>
  <si>
    <t>K2-208</t>
  </si>
  <si>
    <t>K2-209</t>
  </si>
  <si>
    <t>K2-21</t>
  </si>
  <si>
    <t>K2-210</t>
  </si>
  <si>
    <t>K2-211</t>
  </si>
  <si>
    <t>K2-212</t>
  </si>
  <si>
    <t>K2-213</t>
  </si>
  <si>
    <t>K2-214</t>
  </si>
  <si>
    <t>K2-215</t>
  </si>
  <si>
    <t>K2-216</t>
  </si>
  <si>
    <t>K2-217</t>
  </si>
  <si>
    <t>K2-218</t>
  </si>
  <si>
    <t>K2-219</t>
  </si>
  <si>
    <t>K2-22</t>
  </si>
  <si>
    <t>K2-220</t>
  </si>
  <si>
    <t>K2-221</t>
  </si>
  <si>
    <t>K2-222</t>
  </si>
  <si>
    <t>K2-223</t>
  </si>
  <si>
    <t>K2-224</t>
  </si>
  <si>
    <t>K2-225</t>
  </si>
  <si>
    <t>K2-226</t>
  </si>
  <si>
    <t>K2-227</t>
  </si>
  <si>
    <t>K2-228</t>
  </si>
  <si>
    <t>K2-229</t>
  </si>
  <si>
    <t>K2-230</t>
  </si>
  <si>
    <t>K2-231</t>
  </si>
  <si>
    <t>K2-232</t>
  </si>
  <si>
    <t>K2-233</t>
  </si>
  <si>
    <t>K2-237</t>
  </si>
  <si>
    <t>K2-238</t>
  </si>
  <si>
    <t>K2-239</t>
  </si>
  <si>
    <t>K2-24</t>
  </si>
  <si>
    <t>K2-240</t>
  </si>
  <si>
    <t>K2-241</t>
  </si>
  <si>
    <t>K2-242</t>
  </si>
  <si>
    <t>K2-243</t>
  </si>
  <si>
    <t>K2-244</t>
  </si>
  <si>
    <t>K2-245</t>
  </si>
  <si>
    <t>K2-246</t>
  </si>
  <si>
    <t>K2-247</t>
  </si>
  <si>
    <t>K2-248</t>
  </si>
  <si>
    <t>K2-249</t>
  </si>
  <si>
    <t>K2-25</t>
  </si>
  <si>
    <t>K2-250</t>
  </si>
  <si>
    <t>K2-251</t>
  </si>
  <si>
    <t>K2-252</t>
  </si>
  <si>
    <t>K2-253</t>
  </si>
  <si>
    <t>K2-254</t>
  </si>
  <si>
    <t>K2-255</t>
  </si>
  <si>
    <t>K2-257</t>
  </si>
  <si>
    <t>K2-258</t>
  </si>
  <si>
    <t>K2-259</t>
  </si>
  <si>
    <t>K2-26</t>
  </si>
  <si>
    <t>K2-260</t>
  </si>
  <si>
    <t>K2-261</t>
  </si>
  <si>
    <t>K2-263</t>
  </si>
  <si>
    <t>K2-264</t>
  </si>
  <si>
    <t>K2-265</t>
  </si>
  <si>
    <t>K2-266</t>
  </si>
  <si>
    <t>K2-268</t>
  </si>
  <si>
    <t>K2-269</t>
  </si>
  <si>
    <t>K2-27</t>
  </si>
  <si>
    <t>K2-270</t>
  </si>
  <si>
    <t>K2-271</t>
  </si>
  <si>
    <t>K2-272</t>
  </si>
  <si>
    <t>K2-273</t>
  </si>
  <si>
    <t>K2-274</t>
  </si>
  <si>
    <t>K2-275</t>
  </si>
  <si>
    <t>K2-276</t>
  </si>
  <si>
    <t>K2-277</t>
  </si>
  <si>
    <t>K2-278</t>
  </si>
  <si>
    <t>K2-279</t>
  </si>
  <si>
    <t>K2-28</t>
  </si>
  <si>
    <t>K2-280</t>
  </si>
  <si>
    <t>K2-281</t>
  </si>
  <si>
    <t>K2-282</t>
  </si>
  <si>
    <t>K2-283</t>
  </si>
  <si>
    <t>K2-284</t>
  </si>
  <si>
    <t>K2-285</t>
  </si>
  <si>
    <t>K2-286</t>
  </si>
  <si>
    <t>K2-287</t>
  </si>
  <si>
    <t>K2-288 B</t>
  </si>
  <si>
    <t>K2-289</t>
  </si>
  <si>
    <t>K2-29</t>
  </si>
  <si>
    <t>K2-290</t>
  </si>
  <si>
    <t>K2-291</t>
  </si>
  <si>
    <t>K2-292</t>
  </si>
  <si>
    <t>K2-293</t>
  </si>
  <si>
    <t>K2-294</t>
  </si>
  <si>
    <t>K2-295</t>
  </si>
  <si>
    <t>K2-3</t>
  </si>
  <si>
    <t>K2-30</t>
  </si>
  <si>
    <t>K2-308</t>
  </si>
  <si>
    <t>K2-31</t>
  </si>
  <si>
    <t>K2-315</t>
  </si>
  <si>
    <t>K2-316</t>
  </si>
  <si>
    <t>K2-317</t>
  </si>
  <si>
    <t>K2-318</t>
  </si>
  <si>
    <t>K2-319</t>
  </si>
  <si>
    <t>K2-32</t>
  </si>
  <si>
    <t>K2-320</t>
  </si>
  <si>
    <t>K2-321</t>
  </si>
  <si>
    <t>K2-322</t>
  </si>
  <si>
    <t>K2-323</t>
  </si>
  <si>
    <t>K2-324</t>
  </si>
  <si>
    <t>K2-325</t>
  </si>
  <si>
    <t>K2-326</t>
  </si>
  <si>
    <t>K2-329</t>
  </si>
  <si>
    <t>K2-33</t>
  </si>
  <si>
    <t>K2-330</t>
  </si>
  <si>
    <t>K2-331</t>
  </si>
  <si>
    <t>K2-332</t>
  </si>
  <si>
    <t>K2-333</t>
  </si>
  <si>
    <t>K2-334</t>
  </si>
  <si>
    <t>K2-335</t>
  </si>
  <si>
    <t>K2-336</t>
  </si>
  <si>
    <t>K2-337</t>
  </si>
  <si>
    <t>K2-338</t>
  </si>
  <si>
    <t>K2-339</t>
  </si>
  <si>
    <t>K2-34</t>
  </si>
  <si>
    <t>K2-340</t>
  </si>
  <si>
    <t>K2-341</t>
  </si>
  <si>
    <t>K2-342</t>
  </si>
  <si>
    <t>K2-343</t>
  </si>
  <si>
    <t>K2-344</t>
  </si>
  <si>
    <t>K2-345</t>
  </si>
  <si>
    <t>K2-346</t>
  </si>
  <si>
    <t>K2-347</t>
  </si>
  <si>
    <t>K2-348</t>
  </si>
  <si>
    <t>K2-349</t>
  </si>
  <si>
    <t>K2-35</t>
  </si>
  <si>
    <t>K2-350</t>
  </si>
  <si>
    <t>K2-351</t>
  </si>
  <si>
    <t>K2-352</t>
  </si>
  <si>
    <t>K2-353</t>
  </si>
  <si>
    <t>K2-354</t>
  </si>
  <si>
    <t>K2-355</t>
  </si>
  <si>
    <t>K2-356</t>
  </si>
  <si>
    <t>K2-357</t>
  </si>
  <si>
    <t>K2-358</t>
  </si>
  <si>
    <t>K2-36</t>
  </si>
  <si>
    <t>K2-365</t>
  </si>
  <si>
    <t>K2-366</t>
  </si>
  <si>
    <t>K2-367</t>
  </si>
  <si>
    <t>K2-368</t>
  </si>
  <si>
    <t>K2-369</t>
  </si>
  <si>
    <t>K2-37</t>
  </si>
  <si>
    <t>K2-370</t>
  </si>
  <si>
    <t>K2-371</t>
  </si>
  <si>
    <t>K2-372</t>
  </si>
  <si>
    <t>K2-373</t>
  </si>
  <si>
    <t>K2-374</t>
  </si>
  <si>
    <t>K2-375</t>
  </si>
  <si>
    <t>K2-376</t>
  </si>
  <si>
    <t>K2-377</t>
  </si>
  <si>
    <t>K2-378</t>
  </si>
  <si>
    <t>K2-379</t>
  </si>
  <si>
    <t>K2-38</t>
  </si>
  <si>
    <t>K2-380</t>
  </si>
  <si>
    <t>K2-381</t>
  </si>
  <si>
    <t>K2-382</t>
  </si>
  <si>
    <t>K2-383</t>
  </si>
  <si>
    <t>K2-384</t>
  </si>
  <si>
    <t>K2-385</t>
  </si>
  <si>
    <t>K2-386</t>
  </si>
  <si>
    <t>K2-387</t>
  </si>
  <si>
    <t>K2-388</t>
  </si>
  <si>
    <t>K2-389</t>
  </si>
  <si>
    <t>K2-39</t>
  </si>
  <si>
    <t>K2-390</t>
  </si>
  <si>
    <t>K2-391</t>
  </si>
  <si>
    <t>K2-392</t>
  </si>
  <si>
    <t>K2-393</t>
  </si>
  <si>
    <t>K2-394</t>
  </si>
  <si>
    <t>K2-395</t>
  </si>
  <si>
    <t>K2-396</t>
  </si>
  <si>
    <t>K2-397</t>
  </si>
  <si>
    <t>K2-398</t>
  </si>
  <si>
    <t>K2-4</t>
  </si>
  <si>
    <t>K2-400</t>
  </si>
  <si>
    <t>K2-401</t>
  </si>
  <si>
    <t>K2-402</t>
  </si>
  <si>
    <t>K2-403</t>
  </si>
  <si>
    <t>K2-404</t>
  </si>
  <si>
    <t>K2-405</t>
  </si>
  <si>
    <t>K2-406</t>
  </si>
  <si>
    <t>K2-407</t>
  </si>
  <si>
    <t>K2-408</t>
  </si>
  <si>
    <t>K2-409</t>
  </si>
  <si>
    <t>K2-411</t>
  </si>
  <si>
    <t>K2-412</t>
  </si>
  <si>
    <t>K2-413</t>
  </si>
  <si>
    <t>K2-414</t>
  </si>
  <si>
    <t>K2-415</t>
  </si>
  <si>
    <t>K2-416</t>
  </si>
  <si>
    <t>K2-417</t>
  </si>
  <si>
    <t>K2-419 A</t>
  </si>
  <si>
    <t>K2-42</t>
  </si>
  <si>
    <t>K2-43</t>
  </si>
  <si>
    <t>K2-44</t>
  </si>
  <si>
    <t>K2-45</t>
  </si>
  <si>
    <t>K2-46</t>
  </si>
  <si>
    <t>K2-47</t>
  </si>
  <si>
    <t>K2-48</t>
  </si>
  <si>
    <t>K2-49</t>
  </si>
  <si>
    <t>K2-5</t>
  </si>
  <si>
    <t>K2-50</t>
  </si>
  <si>
    <t>K2-52</t>
  </si>
  <si>
    <t>K2-53</t>
  </si>
  <si>
    <t>K2-54</t>
  </si>
  <si>
    <t>K2-55</t>
  </si>
  <si>
    <t>K2-57</t>
  </si>
  <si>
    <t>K2-58</t>
  </si>
  <si>
    <t>K2-59</t>
  </si>
  <si>
    <t>K2-6</t>
  </si>
  <si>
    <t>K2-60</t>
  </si>
  <si>
    <t>K2-61</t>
  </si>
  <si>
    <t>K2-62</t>
  </si>
  <si>
    <t>K2-63</t>
  </si>
  <si>
    <t>K2-64</t>
  </si>
  <si>
    <t>K2-65</t>
  </si>
  <si>
    <t>K2-66</t>
  </si>
  <si>
    <t>K2-68</t>
  </si>
  <si>
    <t>K2-69</t>
  </si>
  <si>
    <t>K2-7</t>
  </si>
  <si>
    <t>K2-70</t>
  </si>
  <si>
    <t>K2-71</t>
  </si>
  <si>
    <t>K2-72</t>
  </si>
  <si>
    <t>K2-73</t>
  </si>
  <si>
    <t>K2-74</t>
  </si>
  <si>
    <t>K2-75</t>
  </si>
  <si>
    <t>K2-77</t>
  </si>
  <si>
    <t>K2-79</t>
  </si>
  <si>
    <t>K2-8</t>
  </si>
  <si>
    <t>K2-80</t>
  </si>
  <si>
    <t>K2-81</t>
  </si>
  <si>
    <t>K2-83</t>
  </si>
  <si>
    <t>K2-84</t>
  </si>
  <si>
    <t>K2-85</t>
  </si>
  <si>
    <t>K2-86</t>
  </si>
  <si>
    <t>K2-87</t>
  </si>
  <si>
    <t>K2-88</t>
  </si>
  <si>
    <t>K2-89</t>
  </si>
  <si>
    <t>K2-9</t>
  </si>
  <si>
    <t>K2-90</t>
  </si>
  <si>
    <t>K2-91</t>
  </si>
  <si>
    <t>K2-95</t>
  </si>
  <si>
    <t>K2-97</t>
  </si>
  <si>
    <t>K2-98</t>
  </si>
  <si>
    <t>K2-99</t>
  </si>
  <si>
    <t>KELT-1</t>
  </si>
  <si>
    <t>KELT-10</t>
  </si>
  <si>
    <t>KELT-11</t>
  </si>
  <si>
    <t>KELT-12</t>
  </si>
  <si>
    <t>KELT-14</t>
  </si>
  <si>
    <t>KELT-15</t>
  </si>
  <si>
    <t>KELT-16</t>
  </si>
  <si>
    <t>KELT-17</t>
  </si>
  <si>
    <t>KELT-18</t>
  </si>
  <si>
    <t>KELT-19 A</t>
  </si>
  <si>
    <t>KELT-2 A</t>
  </si>
  <si>
    <t>KELT-20</t>
  </si>
  <si>
    <t>KELT-21</t>
  </si>
  <si>
    <t>KELT-23 A</t>
  </si>
  <si>
    <t>KELT-24</t>
  </si>
  <si>
    <t>KELT-3</t>
  </si>
  <si>
    <t>KELT-4 A</t>
  </si>
  <si>
    <t>KELT-6</t>
  </si>
  <si>
    <t>KELT-7</t>
  </si>
  <si>
    <t>KELT-8</t>
  </si>
  <si>
    <t>KELT-9</t>
  </si>
  <si>
    <t>KIC 10001893</t>
  </si>
  <si>
    <t>KIC 10068024</t>
  </si>
  <si>
    <t>KIC 10525077</t>
  </si>
  <si>
    <t>KIC 3526061</t>
  </si>
  <si>
    <t>KIC 3558849</t>
  </si>
  <si>
    <t>KIC 5437945</t>
  </si>
  <si>
    <t>KIC 5479689</t>
  </si>
  <si>
    <t>KIC 7917485</t>
  </si>
  <si>
    <t>KIC 8121913</t>
  </si>
  <si>
    <t>KIC 9663113</t>
  </si>
  <si>
    <t>KMT-2016-BLG-0212L</t>
  </si>
  <si>
    <t>KMT-2016-BLG-1105L</t>
  </si>
  <si>
    <t>KMT-2016-BLG-1107L</t>
  </si>
  <si>
    <t>KMT-2016-BLG-1337L</t>
  </si>
  <si>
    <t>KMT-2016-BLG-1397L</t>
  </si>
  <si>
    <t>KMT-2016-BLG-1820L</t>
  </si>
  <si>
    <t>KMT-2016-BLG-1836L</t>
  </si>
  <si>
    <t>KMT-2016-BLG-2142L</t>
  </si>
  <si>
    <t>KMT-2016-BLG-2321L</t>
  </si>
  <si>
    <t>KMT-2016-BLG-2364L</t>
  </si>
  <si>
    <t>KMT-2016-BLG-2397L</t>
  </si>
  <si>
    <t>KMT-2016-BLG-2605L</t>
  </si>
  <si>
    <t>KMT-2017-BLG-0165L</t>
  </si>
  <si>
    <t>KMT-2017-BLG-0428L</t>
  </si>
  <si>
    <t>KMT-2017-BLG-0673L</t>
  </si>
  <si>
    <t>KMT-2017-BLG-0849L</t>
  </si>
  <si>
    <t>KMT-2017-BLG-1003L</t>
  </si>
  <si>
    <t>KMT-2017-BLG-1038L</t>
  </si>
  <si>
    <t>KMT-2017-BLG-1057L</t>
  </si>
  <si>
    <t>KMT-2017-BLG-1146L</t>
  </si>
  <si>
    <t>KMT-2017-BLG-1194L</t>
  </si>
  <si>
    <t>KMT-2017-BLG-2197L</t>
  </si>
  <si>
    <t>KMT-2017-BLG-2331L</t>
  </si>
  <si>
    <t>KMT-2017-BLG-2509L</t>
  </si>
  <si>
    <t>KMT-2018-BLG-0029L</t>
  </si>
  <si>
    <t>KMT-2018-BLG-0030L</t>
  </si>
  <si>
    <t>KMT-2018-BLG-0087L</t>
  </si>
  <si>
    <t>KMT-2018-BLG-0247L</t>
  </si>
  <si>
    <t>KMT-2018-BLG-0748L</t>
  </si>
  <si>
    <t>KMT-2018-BLG-0885L</t>
  </si>
  <si>
    <t>KMT-2018-BLG-1025L</t>
  </si>
  <si>
    <t>KMT-2018-BLG-1292L</t>
  </si>
  <si>
    <t>KMT-2018-BLG-1743L</t>
  </si>
  <si>
    <t>KMT-2018-BLG-1976L</t>
  </si>
  <si>
    <t>KMT-2018-BLG-1988L</t>
  </si>
  <si>
    <t>KMT-2018-BLG-1990L</t>
  </si>
  <si>
    <t>KMT-2018-BLG-1996L</t>
  </si>
  <si>
    <t>KMT-2018-BLG-2602L</t>
  </si>
  <si>
    <t>KMT-2019-BLG-0253L</t>
  </si>
  <si>
    <t>KMT-2019-BLG-0297L</t>
  </si>
  <si>
    <t>KMT-2019-BLG-0298L</t>
  </si>
  <si>
    <t>KMT-2019-BLG-0335L</t>
  </si>
  <si>
    <t>KMT-2019-BLG-0371L</t>
  </si>
  <si>
    <t>KMT-2019-BLG-0414L</t>
  </si>
  <si>
    <t>KMT-2019-BLG-0578L</t>
  </si>
  <si>
    <t>KMT-2019-BLG-0842L</t>
  </si>
  <si>
    <t>KMT-2019-BLG-0953L</t>
  </si>
  <si>
    <t>KMT-2019-BLG-1042L</t>
  </si>
  <si>
    <t>KMT-2019-BLG-1216L</t>
  </si>
  <si>
    <t>KMT-2019-BLG-1339L</t>
  </si>
  <si>
    <t>KMT-2019-BLG-1367L</t>
  </si>
  <si>
    <t>KMT-2019-BLG-1552L</t>
  </si>
  <si>
    <t>KMT-2019-BLG-1715L</t>
  </si>
  <si>
    <t>KMT-2019-BLG-1806L</t>
  </si>
  <si>
    <t>KMT-2019-BLG-1953L</t>
  </si>
  <si>
    <t>KMT-2019-BLG-2783L</t>
  </si>
  <si>
    <t>KMT-2019-BLG-2974L</t>
  </si>
  <si>
    <t>KMT-2020-BLG-0202L</t>
  </si>
  <si>
    <t>KMT-2020-BLG-0414L</t>
  </si>
  <si>
    <t>KMT-2021-BLG-0119L</t>
  </si>
  <si>
    <t>KMT-2021-BLG-0171L</t>
  </si>
  <si>
    <t>KMT-2021-BLG-0192L</t>
  </si>
  <si>
    <t>KMT-2021-BLG-0240L</t>
  </si>
  <si>
    <t>KMT-2021-BLG-0320L</t>
  </si>
  <si>
    <t>KMT-2021-BLG-0322L</t>
  </si>
  <si>
    <t>KMT-2021-BLG-0712L</t>
  </si>
  <si>
    <t>KMT-2021-BLG-0736L</t>
  </si>
  <si>
    <t>KMT-2021-BLG-0748L</t>
  </si>
  <si>
    <t>KMT-2021-BLG-0852L</t>
  </si>
  <si>
    <t>KMT-2021-BLG-0909L</t>
  </si>
  <si>
    <t>KMT-2021-BLG-0912L</t>
  </si>
  <si>
    <t>KMT-2021-BLG-1077L</t>
  </si>
  <si>
    <t>KMT-2021-BLG-1105L</t>
  </si>
  <si>
    <t>KMT-2021-BLG-1150L</t>
  </si>
  <si>
    <t>KMT-2021-BLG-1253L</t>
  </si>
  <si>
    <t>KMT-2021-BLG-1303L</t>
  </si>
  <si>
    <t>KMT-2021-BLG-1372L</t>
  </si>
  <si>
    <t>KMT-2021-BLG-1391L</t>
  </si>
  <si>
    <t>KMT-2021-BLG-1547L</t>
  </si>
  <si>
    <t>KMT-2021-BLG-1554L</t>
  </si>
  <si>
    <t>KMT-2021-BLG-1689L</t>
  </si>
  <si>
    <t>KMT-2021-BLG-1770L</t>
  </si>
  <si>
    <t>KMT-2021-BLG-1898L</t>
  </si>
  <si>
    <t>KMT-2021-BLG-2010L</t>
  </si>
  <si>
    <t>KMT-2021-BLG-2294L</t>
  </si>
  <si>
    <t>KMT-2021-BLG-2478L</t>
  </si>
  <si>
    <t>KMT-2021-BLG-2609L</t>
  </si>
  <si>
    <t>KMT-2022-BLG-0303L</t>
  </si>
  <si>
    <t>KMT-2022-BLG-0371L</t>
  </si>
  <si>
    <t>KMT-2022-BLG-0440L</t>
  </si>
  <si>
    <t>KMT-2022-BLG-1013L</t>
  </si>
  <si>
    <t>KMT-2022-BLG-1551L</t>
  </si>
  <si>
    <t>KMT-2022-BLG-1790L</t>
  </si>
  <si>
    <t>KMT-2022-BLG-1818L</t>
  </si>
  <si>
    <t>KMT-2022-BLG-2076L</t>
  </si>
  <si>
    <t>KMT-2022-BLG-2286L</t>
  </si>
  <si>
    <t>KMT-2023-BLG-0119L</t>
  </si>
  <si>
    <t>KMT-2023-BLG-0332L</t>
  </si>
  <si>
    <t>KMT-2023-BLG-0416L</t>
  </si>
  <si>
    <t>KMT-2023-BLG-0466L</t>
  </si>
  <si>
    <t>KMT-2023-BLG-0469L</t>
  </si>
  <si>
    <t>KMT-2023-BLG-0548L</t>
  </si>
  <si>
    <t>KMT-2023-BLG-0735L</t>
  </si>
  <si>
    <t>KMT-2023-BLG-0830L</t>
  </si>
  <si>
    <t>KMT-2023-BLG-0949L</t>
  </si>
  <si>
    <t>KMT-2023-BLG-1431L</t>
  </si>
  <si>
    <t>KMT-2023-BLG-1454L</t>
  </si>
  <si>
    <t>KMT-2023-BLG-1592L</t>
  </si>
  <si>
    <t>KMT-2023-BLG-1642L</t>
  </si>
  <si>
    <t>KMT-2023-BLG-1743L</t>
  </si>
  <si>
    <t>KMT-2023-BLG-1866L</t>
  </si>
  <si>
    <t>KMT-2023-BLG-1896L</t>
  </si>
  <si>
    <t>KMT-2023-BLG-2209L</t>
  </si>
  <si>
    <t>KMT-2024-BLG-0176L</t>
  </si>
  <si>
    <t>KMT-2024-BLG-0349L</t>
  </si>
  <si>
    <t>KMT-2024-BLG-0404L</t>
  </si>
  <si>
    <t>KMT-2024-BLG-1005L</t>
  </si>
  <si>
    <t>KMT-2024-BLG-1044L</t>
  </si>
  <si>
    <t>KMT-2024-BLG-1209L</t>
  </si>
  <si>
    <t>KMT-2024-BLG-1281L</t>
  </si>
  <si>
    <t>KMT-2024-BLG-1870L</t>
  </si>
  <si>
    <t>KMT-2024-BLG-2005L</t>
  </si>
  <si>
    <t>KMT-2024-BLG-2059L</t>
  </si>
  <si>
    <t>KMT-2024-BLG-2087L</t>
  </si>
  <si>
    <t>KMT-2024-BLG-2242L</t>
  </si>
  <si>
    <t>KMT-2025-BLG-0026L</t>
  </si>
  <si>
    <t>KMT-2025-BLG-0030L</t>
  </si>
  <si>
    <t>KMT-2025-BLG-0121L</t>
  </si>
  <si>
    <t>KMT-2025-BLG-0481L</t>
  </si>
  <si>
    <t>KMT-2025-BLG-0975L</t>
  </si>
  <si>
    <t>KMT-2025-BLG-1160L</t>
  </si>
  <si>
    <t>KMT-2025-BLG-1616L</t>
  </si>
  <si>
    <t>KMT-2025-BLG-2272L</t>
  </si>
  <si>
    <t>KOBE-1</t>
  </si>
  <si>
    <t>KOI-12</t>
  </si>
  <si>
    <t>KOI-1257</t>
  </si>
  <si>
    <t>KOI-13</t>
  </si>
  <si>
    <t>KOI-134</t>
  </si>
  <si>
    <t>KOI-142</t>
  </si>
  <si>
    <t>KOI-1599</t>
  </si>
  <si>
    <t>KOI-1783</t>
  </si>
  <si>
    <t>KOI-217</t>
  </si>
  <si>
    <t>KOI-2513</t>
  </si>
  <si>
    <t>KOI-319</t>
  </si>
  <si>
    <t>KOI-3503</t>
  </si>
  <si>
    <t>KOI-351</t>
  </si>
  <si>
    <t>KOI-3680</t>
  </si>
  <si>
    <t>KOI-4777</t>
  </si>
  <si>
    <t>KOI-4978</t>
  </si>
  <si>
    <t>KOI-55</t>
  </si>
  <si>
    <t>KOI-7368</t>
  </si>
  <si>
    <t>KOI-7892</t>
  </si>
  <si>
    <t>KOI-7913 A</t>
  </si>
  <si>
    <t>KOI-94</t>
  </si>
  <si>
    <t>KOI-984</t>
  </si>
  <si>
    <t>KPS-1</t>
  </si>
  <si>
    <t>Gl 191; https://simbad.u-strasbg.fr/simbad/sim-basic?Ident=Kapteyn%27s+&amp;submit=SIMBAD+search; Kapteyn's Star in HYG</t>
  </si>
  <si>
    <t>Kepler-10</t>
  </si>
  <si>
    <t>Kepler-100</t>
  </si>
  <si>
    <t>Kepler-1000</t>
  </si>
  <si>
    <t>Kepler-1001</t>
  </si>
  <si>
    <t>Kepler-1002</t>
  </si>
  <si>
    <t>Kepler-1003</t>
  </si>
  <si>
    <t>Kepler-1004</t>
  </si>
  <si>
    <t>Kepler-1005</t>
  </si>
  <si>
    <t>Kepler-1006</t>
  </si>
  <si>
    <t>Kepler-1007</t>
  </si>
  <si>
    <t>Kepler-1008</t>
  </si>
  <si>
    <t>Kepler-1009</t>
  </si>
  <si>
    <t>Kepler-101</t>
  </si>
  <si>
    <t>Kepler-1010</t>
  </si>
  <si>
    <t>Kepler-1011</t>
  </si>
  <si>
    <t>Kepler-1012</t>
  </si>
  <si>
    <t>Kepler-1013</t>
  </si>
  <si>
    <t>Kepler-1014</t>
  </si>
  <si>
    <t>Kepler-1015</t>
  </si>
  <si>
    <t>Kepler-1016</t>
  </si>
  <si>
    <t>Kepler-1017</t>
  </si>
  <si>
    <t>Kepler-1018</t>
  </si>
  <si>
    <t>Kepler-1019</t>
  </si>
  <si>
    <t>Kepler-102</t>
  </si>
  <si>
    <t>Kepler-1020</t>
  </si>
  <si>
    <t>Kepler-1021</t>
  </si>
  <si>
    <t>Kepler-1022</t>
  </si>
  <si>
    <t>Kepler-1023</t>
  </si>
  <si>
    <t>Kepler-1024</t>
  </si>
  <si>
    <t>Kepler-1025</t>
  </si>
  <si>
    <t>Kepler-1026</t>
  </si>
  <si>
    <t>Kepler-1027</t>
  </si>
  <si>
    <t>Kepler-1028</t>
  </si>
  <si>
    <t>Kepler-1029</t>
  </si>
  <si>
    <t>Kepler-103</t>
  </si>
  <si>
    <t>Kepler-1030</t>
  </si>
  <si>
    <t>Kepler-1031</t>
  </si>
  <si>
    <t>Kepler-1032</t>
  </si>
  <si>
    <t>Kepler-1033</t>
  </si>
  <si>
    <t>Kepler-1034</t>
  </si>
  <si>
    <t>Kepler-1035</t>
  </si>
  <si>
    <t>Kepler-1036</t>
  </si>
  <si>
    <t>Kepler-1037</t>
  </si>
  <si>
    <t>Kepler-1038</t>
  </si>
  <si>
    <t>Kepler-1039</t>
  </si>
  <si>
    <t>Kepler-104</t>
  </si>
  <si>
    <t>Kepler-1040</t>
  </si>
  <si>
    <t>Kepler-1041</t>
  </si>
  <si>
    <t>Kepler-1042</t>
  </si>
  <si>
    <t>Kepler-1043</t>
  </si>
  <si>
    <t>Kepler-1044</t>
  </si>
  <si>
    <t>Kepler-1045</t>
  </si>
  <si>
    <t>Kepler-1046</t>
  </si>
  <si>
    <t>Kepler-1047</t>
  </si>
  <si>
    <t>Kepler-1048</t>
  </si>
  <si>
    <t>Kepler-1049</t>
  </si>
  <si>
    <t>Kepler-105</t>
  </si>
  <si>
    <t>Kepler-1050</t>
  </si>
  <si>
    <t>Kepler-1051</t>
  </si>
  <si>
    <t>Kepler-1052</t>
  </si>
  <si>
    <t>Kepler-1053</t>
  </si>
  <si>
    <t>Kepler-1054</t>
  </si>
  <si>
    <t>Kepler-1055</t>
  </si>
  <si>
    <t>Kepler-1056</t>
  </si>
  <si>
    <t>Kepler-1057</t>
  </si>
  <si>
    <t>Kepler-1058</t>
  </si>
  <si>
    <t>Kepler-1059</t>
  </si>
  <si>
    <t>Kepler-106</t>
  </si>
  <si>
    <t>Kepler-1060</t>
  </si>
  <si>
    <t>Kepler-1061</t>
  </si>
  <si>
    <t>Kepler-1062</t>
  </si>
  <si>
    <t>Kepler-1063</t>
  </si>
  <si>
    <t>Kepler-1064</t>
  </si>
  <si>
    <t>Kepler-1065</t>
  </si>
  <si>
    <t>Kepler-1066</t>
  </si>
  <si>
    <t>Kepler-1067</t>
  </si>
  <si>
    <t>Kepler-1068</t>
  </si>
  <si>
    <t>Kepler-1069</t>
  </si>
  <si>
    <t>Kepler-107</t>
  </si>
  <si>
    <t>Kepler-1070</t>
  </si>
  <si>
    <t>Kepler-1071</t>
  </si>
  <si>
    <t>Kepler-1072</t>
  </si>
  <si>
    <t>Kepler-1073</t>
  </si>
  <si>
    <t>Kepler-1074</t>
  </si>
  <si>
    <t>Kepler-1075</t>
  </si>
  <si>
    <t>Kepler-1076</t>
  </si>
  <si>
    <t>Kepler-1077</t>
  </si>
  <si>
    <t>Kepler-1078</t>
  </si>
  <si>
    <t>Kepler-1079</t>
  </si>
  <si>
    <t>Kepler-108</t>
  </si>
  <si>
    <t>Kepler-1080</t>
  </si>
  <si>
    <t>Kepler-1081</t>
  </si>
  <si>
    <t>Kepler-1082</t>
  </si>
  <si>
    <t>Kepler-1083</t>
  </si>
  <si>
    <t>Kepler-1084</t>
  </si>
  <si>
    <t>Kepler-1085</t>
  </si>
  <si>
    <t>Kepler-1086</t>
  </si>
  <si>
    <t>Kepler-1087</t>
  </si>
  <si>
    <t>Kepler-1088</t>
  </si>
  <si>
    <t>Kepler-1089</t>
  </si>
  <si>
    <t>Kepler-109</t>
  </si>
  <si>
    <t>Kepler-1090</t>
  </si>
  <si>
    <t>Kepler-1091</t>
  </si>
  <si>
    <t>Kepler-1092</t>
  </si>
  <si>
    <t>Kepler-1093</t>
  </si>
  <si>
    <t>Kepler-1094</t>
  </si>
  <si>
    <t>Kepler-1095</t>
  </si>
  <si>
    <t>Kepler-1096</t>
  </si>
  <si>
    <t>Kepler-1097</t>
  </si>
  <si>
    <t>Kepler-1098</t>
  </si>
  <si>
    <t>Kepler-1099</t>
  </si>
  <si>
    <t>Kepler-11</t>
  </si>
  <si>
    <t>Kepler-110</t>
  </si>
  <si>
    <t>Kepler-1100</t>
  </si>
  <si>
    <t>Kepler-1101</t>
  </si>
  <si>
    <t>Kepler-1102</t>
  </si>
  <si>
    <t>Kepler-1103</t>
  </si>
  <si>
    <t>Kepler-1104</t>
  </si>
  <si>
    <t>Kepler-1105</t>
  </si>
  <si>
    <t>Kepler-1106</t>
  </si>
  <si>
    <t>Kepler-1107</t>
  </si>
  <si>
    <t>Kepler-1108</t>
  </si>
  <si>
    <t>Kepler-1109</t>
  </si>
  <si>
    <t>Kepler-111</t>
  </si>
  <si>
    <t>Kepler-1110</t>
  </si>
  <si>
    <t>Kepler-1111</t>
  </si>
  <si>
    <t>Kepler-1112</t>
  </si>
  <si>
    <t>Kepler-1113</t>
  </si>
  <si>
    <t>Kepler-1114</t>
  </si>
  <si>
    <t>Kepler-1115</t>
  </si>
  <si>
    <t>Kepler-1116</t>
  </si>
  <si>
    <t>Kepler-1117</t>
  </si>
  <si>
    <t>Kepler-1118</t>
  </si>
  <si>
    <t>Kepler-1119</t>
  </si>
  <si>
    <t>Kepler-112</t>
  </si>
  <si>
    <t>Kepler-1120</t>
  </si>
  <si>
    <t>Kepler-1121</t>
  </si>
  <si>
    <t>Kepler-1122</t>
  </si>
  <si>
    <t>Kepler-1123</t>
  </si>
  <si>
    <t>Kepler-1124</t>
  </si>
  <si>
    <t>Kepler-1125</t>
  </si>
  <si>
    <t>Kepler-1126</t>
  </si>
  <si>
    <t>Kepler-1127</t>
  </si>
  <si>
    <t>Kepler-1128</t>
  </si>
  <si>
    <t>Kepler-1129</t>
  </si>
  <si>
    <t>Kepler-113</t>
  </si>
  <si>
    <t>Kepler-1130</t>
  </si>
  <si>
    <t>Kepler-1131</t>
  </si>
  <si>
    <t>Kepler-1132</t>
  </si>
  <si>
    <t>Kepler-1133</t>
  </si>
  <si>
    <t>Kepler-1134</t>
  </si>
  <si>
    <t>Kepler-1135</t>
  </si>
  <si>
    <t>Kepler-1136</t>
  </si>
  <si>
    <t>Kepler-1137</t>
  </si>
  <si>
    <t>Kepler-1138</t>
  </si>
  <si>
    <t>Kepler-1139</t>
  </si>
  <si>
    <t>Kepler-114</t>
  </si>
  <si>
    <t>Kepler-1140</t>
  </si>
  <si>
    <t>Kepler-1141</t>
  </si>
  <si>
    <t>Kepler-1142</t>
  </si>
  <si>
    <t>Kepler-1143</t>
  </si>
  <si>
    <t>Kepler-1144</t>
  </si>
  <si>
    <t>Kepler-1145</t>
  </si>
  <si>
    <t>Kepler-1146</t>
  </si>
  <si>
    <t>Kepler-1147</t>
  </si>
  <si>
    <t>Kepler-1148</t>
  </si>
  <si>
    <t>Kepler-1149</t>
  </si>
  <si>
    <t>Kepler-115</t>
  </si>
  <si>
    <t>Kepler-1150</t>
  </si>
  <si>
    <t>Kepler-1151</t>
  </si>
  <si>
    <t>Kepler-1152</t>
  </si>
  <si>
    <t>Kepler-1153</t>
  </si>
  <si>
    <t>Kepler-1154</t>
  </si>
  <si>
    <t>Kepler-1155</t>
  </si>
  <si>
    <t>Kepler-1156</t>
  </si>
  <si>
    <t>Kepler-1157</t>
  </si>
  <si>
    <t>Kepler-1158</t>
  </si>
  <si>
    <t>Kepler-1159</t>
  </si>
  <si>
    <t>Kepler-116</t>
  </si>
  <si>
    <t>Kepler-1160</t>
  </si>
  <si>
    <t>Kepler-1161</t>
  </si>
  <si>
    <t>Kepler-1162</t>
  </si>
  <si>
    <t>Kepler-1163</t>
  </si>
  <si>
    <t>Kepler-1164</t>
  </si>
  <si>
    <t>Kepler-1165</t>
  </si>
  <si>
    <t>Kepler-1166</t>
  </si>
  <si>
    <t>Kepler-1167</t>
  </si>
  <si>
    <t>Kepler-1168</t>
  </si>
  <si>
    <t>Kepler-1169</t>
  </si>
  <si>
    <t>Kepler-117</t>
  </si>
  <si>
    <t>Kepler-1170</t>
  </si>
  <si>
    <t>Kepler-1171</t>
  </si>
  <si>
    <t>Kepler-1172</t>
  </si>
  <si>
    <t>Kepler-1173</t>
  </si>
  <si>
    <t>Kepler-1174</t>
  </si>
  <si>
    <t>Kepler-1175</t>
  </si>
  <si>
    <t>Kepler-1176</t>
  </si>
  <si>
    <t>Kepler-1177</t>
  </si>
  <si>
    <t>Kepler-1178</t>
  </si>
  <si>
    <t>Kepler-1179</t>
  </si>
  <si>
    <t>Kepler-118</t>
  </si>
  <si>
    <t>Kepler-1180</t>
  </si>
  <si>
    <t>Kepler-1181</t>
  </si>
  <si>
    <t>Kepler-1182</t>
  </si>
  <si>
    <t>Kepler-1183</t>
  </si>
  <si>
    <t>Kepler-1184</t>
  </si>
  <si>
    <t>Kepler-1185</t>
  </si>
  <si>
    <t>Kepler-1186</t>
  </si>
  <si>
    <t>Kepler-1187</t>
  </si>
  <si>
    <t>Kepler-1188</t>
  </si>
  <si>
    <t>Kepler-1189</t>
  </si>
  <si>
    <t>Kepler-119</t>
  </si>
  <si>
    <t>Kepler-1190</t>
  </si>
  <si>
    <t>Kepler-1191</t>
  </si>
  <si>
    <t>Kepler-1192</t>
  </si>
  <si>
    <t>Kepler-1193</t>
  </si>
  <si>
    <t>Kepler-1194</t>
  </si>
  <si>
    <t>Kepler-1195</t>
  </si>
  <si>
    <t>Kepler-1196</t>
  </si>
  <si>
    <t>Kepler-1197</t>
  </si>
  <si>
    <t>Kepler-1198</t>
  </si>
  <si>
    <t>Kepler-1199</t>
  </si>
  <si>
    <t>Kepler-12</t>
  </si>
  <si>
    <t>Kepler-120</t>
  </si>
  <si>
    <t>Kepler-1200</t>
  </si>
  <si>
    <t>Kepler-1201</t>
  </si>
  <si>
    <t>Kepler-1202</t>
  </si>
  <si>
    <t>Kepler-1203</t>
  </si>
  <si>
    <t>Kepler-1204</t>
  </si>
  <si>
    <t>Kepler-1205</t>
  </si>
  <si>
    <t>Kepler-1206</t>
  </si>
  <si>
    <t>Kepler-1207</t>
  </si>
  <si>
    <t>Kepler-1208</t>
  </si>
  <si>
    <t>Kepler-1209</t>
  </si>
  <si>
    <t>Kepler-121</t>
  </si>
  <si>
    <t>Kepler-1210</t>
  </si>
  <si>
    <t>Kepler-1211</t>
  </si>
  <si>
    <t>Kepler-1212</t>
  </si>
  <si>
    <t>Kepler-1213</t>
  </si>
  <si>
    <t>Kepler-1214</t>
  </si>
  <si>
    <t>Kepler-1215</t>
  </si>
  <si>
    <t>Kepler-1216</t>
  </si>
  <si>
    <t>Kepler-1217</t>
  </si>
  <si>
    <t>Kepler-1218</t>
  </si>
  <si>
    <t>Kepler-1219</t>
  </si>
  <si>
    <t>Kepler-122</t>
  </si>
  <si>
    <t>Kepler-1220</t>
  </si>
  <si>
    <t>Kepler-1221</t>
  </si>
  <si>
    <t>Kepler-1222</t>
  </si>
  <si>
    <t>Kepler-1223</t>
  </si>
  <si>
    <t>Kepler-1224</t>
  </si>
  <si>
    <t>Kepler-1225</t>
  </si>
  <si>
    <t>Kepler-1226</t>
  </si>
  <si>
    <t>Kepler-1227</t>
  </si>
  <si>
    <t>Kepler-1228</t>
  </si>
  <si>
    <t>Kepler-1229</t>
  </si>
  <si>
    <t>Kepler-123</t>
  </si>
  <si>
    <t>Kepler-1230</t>
  </si>
  <si>
    <t>Kepler-1231</t>
  </si>
  <si>
    <t>Kepler-1232</t>
  </si>
  <si>
    <t>Kepler-1233</t>
  </si>
  <si>
    <t>Kepler-1234</t>
  </si>
  <si>
    <t>Kepler-1235</t>
  </si>
  <si>
    <t>Kepler-1236</t>
  </si>
  <si>
    <t>Kepler-1237</t>
  </si>
  <si>
    <t>Kepler-1238</t>
  </si>
  <si>
    <t>Kepler-1239</t>
  </si>
  <si>
    <t>Kepler-124</t>
  </si>
  <si>
    <t>Kepler-1240</t>
  </si>
  <si>
    <t>Kepler-1241</t>
  </si>
  <si>
    <t>Kepler-1242</t>
  </si>
  <si>
    <t>Kepler-1243</t>
  </si>
  <si>
    <t>Kepler-1244</t>
  </si>
  <si>
    <t>Kepler-1245</t>
  </si>
  <si>
    <t>Kepler-1246</t>
  </si>
  <si>
    <t>Kepler-1247</t>
  </si>
  <si>
    <t>Kepler-1248</t>
  </si>
  <si>
    <t>Kepler-1249</t>
  </si>
  <si>
    <t>Kepler-125</t>
  </si>
  <si>
    <t>Kepler-1250</t>
  </si>
  <si>
    <t>Kepler-1251</t>
  </si>
  <si>
    <t>Kepler-1252</t>
  </si>
  <si>
    <t>Kepler-1253</t>
  </si>
  <si>
    <t>Kepler-1254</t>
  </si>
  <si>
    <t>Kepler-1255</t>
  </si>
  <si>
    <t>Kepler-1256</t>
  </si>
  <si>
    <t>Kepler-1257</t>
  </si>
  <si>
    <t>Kepler-1258</t>
  </si>
  <si>
    <t>Kepler-1259</t>
  </si>
  <si>
    <t>Kepler-126</t>
  </si>
  <si>
    <t>Kepler-1260</t>
  </si>
  <si>
    <t>Kepler-1261</t>
  </si>
  <si>
    <t>Kepler-1262</t>
  </si>
  <si>
    <t>Kepler-1263</t>
  </si>
  <si>
    <t>Kepler-1264</t>
  </si>
  <si>
    <t>Kepler-1265</t>
  </si>
  <si>
    <t>Kepler-1266</t>
  </si>
  <si>
    <t>Kepler-1267</t>
  </si>
  <si>
    <t>Kepler-1268</t>
  </si>
  <si>
    <t>Kepler-1269</t>
  </si>
  <si>
    <t>Kepler-127</t>
  </si>
  <si>
    <t>Kepler-1270</t>
  </si>
  <si>
    <t>Kepler-1271</t>
  </si>
  <si>
    <t>Kepler-1272</t>
  </si>
  <si>
    <t>Kepler-1273</t>
  </si>
  <si>
    <t>Kepler-1274</t>
  </si>
  <si>
    <t>Kepler-1275</t>
  </si>
  <si>
    <t>Kepler-1276</t>
  </si>
  <si>
    <t>Kepler-1277</t>
  </si>
  <si>
    <t>Kepler-1278</t>
  </si>
  <si>
    <t>Kepler-1279</t>
  </si>
  <si>
    <t>Kepler-128</t>
  </si>
  <si>
    <t>Kepler-1280</t>
  </si>
  <si>
    <t>Kepler-1281</t>
  </si>
  <si>
    <t>Kepler-1282</t>
  </si>
  <si>
    <t>Kepler-1283</t>
  </si>
  <si>
    <t>Kepler-1284</t>
  </si>
  <si>
    <t>Kepler-1285</t>
  </si>
  <si>
    <t>Kepler-1286</t>
  </si>
  <si>
    <t>Kepler-1287</t>
  </si>
  <si>
    <t>Kepler-1288</t>
  </si>
  <si>
    <t>Kepler-1289</t>
  </si>
  <si>
    <t>Kepler-129</t>
  </si>
  <si>
    <t>Kepler-1290</t>
  </si>
  <si>
    <t>Kepler-1291</t>
  </si>
  <si>
    <t>Kepler-1292</t>
  </si>
  <si>
    <t>Kepler-1293</t>
  </si>
  <si>
    <t>Kepler-1294</t>
  </si>
  <si>
    <t>Kepler-1295</t>
  </si>
  <si>
    <t>Kepler-1296</t>
  </si>
  <si>
    <t>Kepler-1297</t>
  </si>
  <si>
    <t>Kepler-1298</t>
  </si>
  <si>
    <t>Kepler-1299</t>
  </si>
  <si>
    <t>Kepler-130</t>
  </si>
  <si>
    <t>Kepler-1300</t>
  </si>
  <si>
    <t>Kepler-1301</t>
  </si>
  <si>
    <t>Kepler-1302</t>
  </si>
  <si>
    <t>Kepler-1303</t>
  </si>
  <si>
    <t>Kepler-1304</t>
  </si>
  <si>
    <t>Kepler-1305</t>
  </si>
  <si>
    <t>Kepler-1306</t>
  </si>
  <si>
    <t>Kepler-1307</t>
  </si>
  <si>
    <t>Kepler-1308</t>
  </si>
  <si>
    <t>Kepler-1309</t>
  </si>
  <si>
    <t>Kepler-131</t>
  </si>
  <si>
    <t>Kepler-1310</t>
  </si>
  <si>
    <t>Kepler-1311</t>
  </si>
  <si>
    <t>Kepler-1312</t>
  </si>
  <si>
    <t>Kepler-1313</t>
  </si>
  <si>
    <t>Kepler-1314</t>
  </si>
  <si>
    <t>Kepler-1315</t>
  </si>
  <si>
    <t>Kepler-1316</t>
  </si>
  <si>
    <t>Kepler-1317</t>
  </si>
  <si>
    <t>Kepler-1318</t>
  </si>
  <si>
    <t>Kepler-1319</t>
  </si>
  <si>
    <t>Kepler-132</t>
  </si>
  <si>
    <t>Kepler-1320</t>
  </si>
  <si>
    <t>Kepler-1321</t>
  </si>
  <si>
    <t>Kepler-1322</t>
  </si>
  <si>
    <t>Kepler-1323</t>
  </si>
  <si>
    <t>Kepler-1324</t>
  </si>
  <si>
    <t>Kepler-1325</t>
  </si>
  <si>
    <t>Kepler-1326</t>
  </si>
  <si>
    <t>Kepler-1327</t>
  </si>
  <si>
    <t>Kepler-1328</t>
  </si>
  <si>
    <t>Kepler-1329</t>
  </si>
  <si>
    <t>Kepler-133</t>
  </si>
  <si>
    <t>Kepler-1330</t>
  </si>
  <si>
    <t>Kepler-1331</t>
  </si>
  <si>
    <t>Kepler-1332</t>
  </si>
  <si>
    <t>Kepler-1333</t>
  </si>
  <si>
    <t>Kepler-1334</t>
  </si>
  <si>
    <t>Kepler-1335</t>
  </si>
  <si>
    <t>Kepler-1336</t>
  </si>
  <si>
    <t>Kepler-1337</t>
  </si>
  <si>
    <t>Kepler-1338</t>
  </si>
  <si>
    <t>Kepler-1339</t>
  </si>
  <si>
    <t>Kepler-134</t>
  </si>
  <si>
    <t>Kepler-1340</t>
  </si>
  <si>
    <t>Kepler-1341</t>
  </si>
  <si>
    <t>Kepler-1342</t>
  </si>
  <si>
    <t>Kepler-1343</t>
  </si>
  <si>
    <t>Kepler-1344</t>
  </si>
  <si>
    <t>Kepler-1345</t>
  </si>
  <si>
    <t>Kepler-1346</t>
  </si>
  <si>
    <t>Kepler-1347</t>
  </si>
  <si>
    <t>Kepler-1348</t>
  </si>
  <si>
    <t>Kepler-1349</t>
  </si>
  <si>
    <t>Kepler-135</t>
  </si>
  <si>
    <t>Kepler-1350</t>
  </si>
  <si>
    <t>Kepler-1351</t>
  </si>
  <si>
    <t>Kepler-1352</t>
  </si>
  <si>
    <t>Kepler-1353</t>
  </si>
  <si>
    <t>Kepler-1354</t>
  </si>
  <si>
    <t>Kepler-1355</t>
  </si>
  <si>
    <t>Kepler-1356</t>
  </si>
  <si>
    <t>Kepler-1357</t>
  </si>
  <si>
    <t>Kepler-1358</t>
  </si>
  <si>
    <t>Kepler-1359</t>
  </si>
  <si>
    <t>Kepler-136</t>
  </si>
  <si>
    <t>Kepler-1360</t>
  </si>
  <si>
    <t>Kepler-1361</t>
  </si>
  <si>
    <t>Kepler-1362</t>
  </si>
  <si>
    <t>Kepler-1363</t>
  </si>
  <si>
    <t>Kepler-1364</t>
  </si>
  <si>
    <t>Kepler-1365</t>
  </si>
  <si>
    <t>Kepler-1366</t>
  </si>
  <si>
    <t>Kepler-1367</t>
  </si>
  <si>
    <t>Kepler-1368</t>
  </si>
  <si>
    <t>Kepler-1369</t>
  </si>
  <si>
    <t>Kepler-137</t>
  </si>
  <si>
    <t>Kepler-1370</t>
  </si>
  <si>
    <t>Kepler-1371</t>
  </si>
  <si>
    <t>Kepler-1372</t>
  </si>
  <si>
    <t>Kepler-1373</t>
  </si>
  <si>
    <t>Kepler-1374</t>
  </si>
  <si>
    <t>Kepler-1375</t>
  </si>
  <si>
    <t>Kepler-1376</t>
  </si>
  <si>
    <t>Kepler-1377</t>
  </si>
  <si>
    <t>Kepler-1378</t>
  </si>
  <si>
    <t>Kepler-1379</t>
  </si>
  <si>
    <t>Kepler-138</t>
  </si>
  <si>
    <t>Kepler-1380</t>
  </si>
  <si>
    <t>Kepler-1381</t>
  </si>
  <si>
    <t>Kepler-1382</t>
  </si>
  <si>
    <t>Kepler-1383</t>
  </si>
  <si>
    <t>Kepler-1384</t>
  </si>
  <si>
    <t>Kepler-1385</t>
  </si>
  <si>
    <t>Kepler-1386</t>
  </si>
  <si>
    <t>Kepler-1387</t>
  </si>
  <si>
    <t>Kepler-1388</t>
  </si>
  <si>
    <t>Kepler-1389</t>
  </si>
  <si>
    <t>Kepler-139</t>
  </si>
  <si>
    <t>Kepler-1390</t>
  </si>
  <si>
    <t>Kepler-1391</t>
  </si>
  <si>
    <t>Kepler-1392</t>
  </si>
  <si>
    <t>Kepler-1393</t>
  </si>
  <si>
    <t>Kepler-1394</t>
  </si>
  <si>
    <t>Kepler-1395</t>
  </si>
  <si>
    <t>Kepler-1396</t>
  </si>
  <si>
    <t>Kepler-1397</t>
  </si>
  <si>
    <t>Kepler-1398</t>
  </si>
  <si>
    <t>Kepler-1399</t>
  </si>
  <si>
    <t>Kepler-14</t>
  </si>
  <si>
    <t>Kepler-140</t>
  </si>
  <si>
    <t>Kepler-1400</t>
  </si>
  <si>
    <t>Kepler-1401</t>
  </si>
  <si>
    <t>Kepler-1402</t>
  </si>
  <si>
    <t>Kepler-1403</t>
  </si>
  <si>
    <t>Kepler-1404</t>
  </si>
  <si>
    <t>Kepler-1405</t>
  </si>
  <si>
    <t>Kepler-1406</t>
  </si>
  <si>
    <t>Kepler-1407</t>
  </si>
  <si>
    <t>Kepler-1408</t>
  </si>
  <si>
    <t>Kepler-1409</t>
  </si>
  <si>
    <t>Kepler-141</t>
  </si>
  <si>
    <t>Kepler-1410</t>
  </si>
  <si>
    <t>Kepler-1411</t>
  </si>
  <si>
    <t>Kepler-1412</t>
  </si>
  <si>
    <t>Kepler-1413</t>
  </si>
  <si>
    <t>Kepler-1414</t>
  </si>
  <si>
    <t>Kepler-1415</t>
  </si>
  <si>
    <t>Kepler-1416</t>
  </si>
  <si>
    <t>Kepler-1417</t>
  </si>
  <si>
    <t>Kepler-1418</t>
  </si>
  <si>
    <t>Kepler-1419</t>
  </si>
  <si>
    <t>Kepler-142</t>
  </si>
  <si>
    <t>Kepler-1420</t>
  </si>
  <si>
    <t>Kepler-1421</t>
  </si>
  <si>
    <t>Kepler-1422</t>
  </si>
  <si>
    <t>Kepler-1423</t>
  </si>
  <si>
    <t>Kepler-1424</t>
  </si>
  <si>
    <t>Kepler-1425</t>
  </si>
  <si>
    <t>Kepler-1426</t>
  </si>
  <si>
    <t>Kepler-1427</t>
  </si>
  <si>
    <t>Kepler-1428</t>
  </si>
  <si>
    <t>Kepler-1429</t>
  </si>
  <si>
    <t>Kepler-143</t>
  </si>
  <si>
    <t>Kepler-1430</t>
  </si>
  <si>
    <t>Kepler-1431</t>
  </si>
  <si>
    <t>Kepler-1432</t>
  </si>
  <si>
    <t>Kepler-1433</t>
  </si>
  <si>
    <t>Kepler-1434</t>
  </si>
  <si>
    <t>Kepler-1435</t>
  </si>
  <si>
    <t>Kepler-1436</t>
  </si>
  <si>
    <t>Kepler-1437</t>
  </si>
  <si>
    <t>Kepler-1438</t>
  </si>
  <si>
    <t>Kepler-1439</t>
  </si>
  <si>
    <t>Kepler-144</t>
  </si>
  <si>
    <t>Kepler-1440</t>
  </si>
  <si>
    <t>Kepler-1441</t>
  </si>
  <si>
    <t>Kepler-1442</t>
  </si>
  <si>
    <t>Kepler-1443</t>
  </si>
  <si>
    <t>Kepler-1444</t>
  </si>
  <si>
    <t>Kepler-1445</t>
  </si>
  <si>
    <t>Kepler-1446</t>
  </si>
  <si>
    <t>Kepler-1447</t>
  </si>
  <si>
    <t>Kepler-1448</t>
  </si>
  <si>
    <t>Kepler-1449</t>
  </si>
  <si>
    <t>Kepler-145</t>
  </si>
  <si>
    <t>Kepler-1450</t>
  </si>
  <si>
    <t>Kepler-1451</t>
  </si>
  <si>
    <t>Kepler-1452</t>
  </si>
  <si>
    <t>Kepler-1453</t>
  </si>
  <si>
    <t>Kepler-1454</t>
  </si>
  <si>
    <t>Kepler-1455</t>
  </si>
  <si>
    <t>Kepler-1456</t>
  </si>
  <si>
    <t>Kepler-1457</t>
  </si>
  <si>
    <t>Kepler-1458</t>
  </si>
  <si>
    <t>Kepler-1459</t>
  </si>
  <si>
    <t>Kepler-146</t>
  </si>
  <si>
    <t>Kepler-1460</t>
  </si>
  <si>
    <t>Kepler-1461</t>
  </si>
  <si>
    <t>Kepler-1462</t>
  </si>
  <si>
    <t>Kepler-1463</t>
  </si>
  <si>
    <t>Kepler-1464</t>
  </si>
  <si>
    <t>Kepler-1465</t>
  </si>
  <si>
    <t>Kepler-1466</t>
  </si>
  <si>
    <t>Kepler-1467</t>
  </si>
  <si>
    <t>Kepler-1468</t>
  </si>
  <si>
    <t>Kepler-1469</t>
  </si>
  <si>
    <t>Kepler-147</t>
  </si>
  <si>
    <t>Kepler-1470</t>
  </si>
  <si>
    <t>Kepler-1471</t>
  </si>
  <si>
    <t>Kepler-1472</t>
  </si>
  <si>
    <t>Kepler-1473</t>
  </si>
  <si>
    <t>Kepler-1474</t>
  </si>
  <si>
    <t>Kepler-1475</t>
  </si>
  <si>
    <t>Kepler-1476</t>
  </si>
  <si>
    <t>Kepler-1477</t>
  </si>
  <si>
    <t>Kepler-1478</t>
  </si>
  <si>
    <t>Kepler-1479</t>
  </si>
  <si>
    <t>Kepler-148</t>
  </si>
  <si>
    <t>Kepler-1480</t>
  </si>
  <si>
    <t>Kepler-1481</t>
  </si>
  <si>
    <t>Kepler-1482</t>
  </si>
  <si>
    <t>Kepler-1483</t>
  </si>
  <si>
    <t>Kepler-1484</t>
  </si>
  <si>
    <t>Kepler-1485</t>
  </si>
  <si>
    <t>Kepler-1486</t>
  </si>
  <si>
    <t>Kepler-1487</t>
  </si>
  <si>
    <t>Kepler-1488</t>
  </si>
  <si>
    <t>Kepler-1489</t>
  </si>
  <si>
    <t>Kepler-149</t>
  </si>
  <si>
    <t>Kepler-1490</t>
  </si>
  <si>
    <t>Kepler-1491</t>
  </si>
  <si>
    <t>Kepler-1492</t>
  </si>
  <si>
    <t>Kepler-1493</t>
  </si>
  <si>
    <t>Kepler-1494</t>
  </si>
  <si>
    <t>Kepler-1495</t>
  </si>
  <si>
    <t>Kepler-1496</t>
  </si>
  <si>
    <t>Kepler-1497</t>
  </si>
  <si>
    <t>Kepler-1498</t>
  </si>
  <si>
    <t>Kepler-1499</t>
  </si>
  <si>
    <t>Kepler-15</t>
  </si>
  <si>
    <t>Kepler-150</t>
  </si>
  <si>
    <t>Kepler-1500</t>
  </si>
  <si>
    <t>Kepler-1501</t>
  </si>
  <si>
    <t>Kepler-1502</t>
  </si>
  <si>
    <t>Kepler-1503</t>
  </si>
  <si>
    <t>Kepler-1504</t>
  </si>
  <si>
    <t>Kepler-1505</t>
  </si>
  <si>
    <t>Kepler-1506</t>
  </si>
  <si>
    <t>Kepler-1507</t>
  </si>
  <si>
    <t>Kepler-1508</t>
  </si>
  <si>
    <t>Kepler-1509</t>
  </si>
  <si>
    <t>Kepler-151</t>
  </si>
  <si>
    <t>Kepler-1510</t>
  </si>
  <si>
    <t>Kepler-1511</t>
  </si>
  <si>
    <t>Kepler-1512</t>
  </si>
  <si>
    <t>Kepler-1513</t>
  </si>
  <si>
    <t>Kepler-1514</t>
  </si>
  <si>
    <t>Kepler-1515</t>
  </si>
  <si>
    <t>Kepler-1516</t>
  </si>
  <si>
    <t>Kepler-1517</t>
  </si>
  <si>
    <t>Kepler-1518</t>
  </si>
  <si>
    <t>Kepler-1519</t>
  </si>
  <si>
    <t>Kepler-152</t>
  </si>
  <si>
    <t>Kepler-1520</t>
  </si>
  <si>
    <t>Kepler-1521</t>
  </si>
  <si>
    <t>Kepler-1522</t>
  </si>
  <si>
    <t>Kepler-1523</t>
  </si>
  <si>
    <t>Kepler-1524</t>
  </si>
  <si>
    <t>Kepler-1525</t>
  </si>
  <si>
    <t>Kepler-1526</t>
  </si>
  <si>
    <t>Kepler-1527</t>
  </si>
  <si>
    <t>Kepler-1528</t>
  </si>
  <si>
    <t>Kepler-1529</t>
  </si>
  <si>
    <t>Kepler-153</t>
  </si>
  <si>
    <t>Kepler-1530</t>
  </si>
  <si>
    <t>Kepler-1531</t>
  </si>
  <si>
    <t>Kepler-1532</t>
  </si>
  <si>
    <t>Kepler-1533</t>
  </si>
  <si>
    <t>Kepler-1534</t>
  </si>
  <si>
    <t>Kepler-1535</t>
  </si>
  <si>
    <t>Kepler-1536</t>
  </si>
  <si>
    <t>Kepler-1537</t>
  </si>
  <si>
    <t>Kepler-1538</t>
  </si>
  <si>
    <t>Kepler-1539</t>
  </si>
  <si>
    <t>Kepler-154</t>
  </si>
  <si>
    <t>Kepler-1540</t>
  </si>
  <si>
    <t>Kepler-1541</t>
  </si>
  <si>
    <t>Kepler-1542</t>
  </si>
  <si>
    <t>Kepler-1543</t>
  </si>
  <si>
    <t>Kepler-1544</t>
  </si>
  <si>
    <t>Kepler-1545</t>
  </si>
  <si>
    <t>Kepler-1546</t>
  </si>
  <si>
    <t>Kepler-1547</t>
  </si>
  <si>
    <t>Kepler-1548</t>
  </si>
  <si>
    <t>Kepler-1549</t>
  </si>
  <si>
    <t>Kepler-155</t>
  </si>
  <si>
    <t>Kepler-1550</t>
  </si>
  <si>
    <t>Kepler-1551</t>
  </si>
  <si>
    <t>Kepler-1552</t>
  </si>
  <si>
    <t>Kepler-1553</t>
  </si>
  <si>
    <t>Kepler-1554</t>
  </si>
  <si>
    <t>Kepler-1555</t>
  </si>
  <si>
    <t>Kepler-1556</t>
  </si>
  <si>
    <t>Kepler-1557</t>
  </si>
  <si>
    <t>Kepler-1558</t>
  </si>
  <si>
    <t>Kepler-1559</t>
  </si>
  <si>
    <t>Kepler-156</t>
  </si>
  <si>
    <t>Kepler-1560</t>
  </si>
  <si>
    <t>Kepler-1561</t>
  </si>
  <si>
    <t>Kepler-1562</t>
  </si>
  <si>
    <t>Kepler-1563</t>
  </si>
  <si>
    <t>Kepler-1564</t>
  </si>
  <si>
    <t>Kepler-1565</t>
  </si>
  <si>
    <t>Kepler-1566</t>
  </si>
  <si>
    <t>Kepler-1567</t>
  </si>
  <si>
    <t>Kepler-1568</t>
  </si>
  <si>
    <t>Kepler-1569</t>
  </si>
  <si>
    <t>Kepler-157</t>
  </si>
  <si>
    <t>Kepler-1570</t>
  </si>
  <si>
    <t>Kepler-1571</t>
  </si>
  <si>
    <t>Kepler-1572</t>
  </si>
  <si>
    <t>Kepler-1573</t>
  </si>
  <si>
    <t>Kepler-1574</t>
  </si>
  <si>
    <t>Kepler-1575</t>
  </si>
  <si>
    <t>Kepler-1576</t>
  </si>
  <si>
    <t>Kepler-1577</t>
  </si>
  <si>
    <t>Kepler-1578</t>
  </si>
  <si>
    <t>Kepler-1579</t>
  </si>
  <si>
    <t>Kepler-158</t>
  </si>
  <si>
    <t>Kepler-1580</t>
  </si>
  <si>
    <t>Kepler-1581</t>
  </si>
  <si>
    <t>Kepler-1582</t>
  </si>
  <si>
    <t>Kepler-1583</t>
  </si>
  <si>
    <t>Kepler-1584</t>
  </si>
  <si>
    <t>Kepler-1585</t>
  </si>
  <si>
    <t>Kepler-1586</t>
  </si>
  <si>
    <t>Kepler-1587</t>
  </si>
  <si>
    <t>Kepler-1588</t>
  </si>
  <si>
    <t>Kepler-1589</t>
  </si>
  <si>
    <t>Kepler-159</t>
  </si>
  <si>
    <t>Kepler-1590</t>
  </si>
  <si>
    <t>Kepler-1591</t>
  </si>
  <si>
    <t>Kepler-1592</t>
  </si>
  <si>
    <t>Kepler-1593</t>
  </si>
  <si>
    <t>Kepler-1594</t>
  </si>
  <si>
    <t>Kepler-1595</t>
  </si>
  <si>
    <t>Kepler-1596</t>
  </si>
  <si>
    <t>Kepler-1597</t>
  </si>
  <si>
    <t>Kepler-1598</t>
  </si>
  <si>
    <t>Kepler-1599</t>
  </si>
  <si>
    <t>Kepler-16</t>
  </si>
  <si>
    <t>Kepler-160</t>
  </si>
  <si>
    <t>Kepler-1600</t>
  </si>
  <si>
    <t>Kepler-1601</t>
  </si>
  <si>
    <t>Kepler-1602</t>
  </si>
  <si>
    <t>Kepler-1603</t>
  </si>
  <si>
    <t>Kepler-1604</t>
  </si>
  <si>
    <t>Kepler-1605</t>
  </si>
  <si>
    <t>Kepler-1606</t>
  </si>
  <si>
    <t>Kepler-1607</t>
  </si>
  <si>
    <t>Kepler-1608</t>
  </si>
  <si>
    <t>Kepler-1609</t>
  </si>
  <si>
    <t>Kepler-161</t>
  </si>
  <si>
    <t>Kepler-1610</t>
  </si>
  <si>
    <t>Kepler-1611</t>
  </si>
  <si>
    <t>Kepler-1612</t>
  </si>
  <si>
    <t>Kepler-1613</t>
  </si>
  <si>
    <t>Kepler-1614</t>
  </si>
  <si>
    <t>Kepler-1615</t>
  </si>
  <si>
    <t>Kepler-1616</t>
  </si>
  <si>
    <t>Kepler-1617</t>
  </si>
  <si>
    <t>Kepler-1618</t>
  </si>
  <si>
    <t>Kepler-1619</t>
  </si>
  <si>
    <t>Kepler-162</t>
  </si>
  <si>
    <t>Kepler-1620</t>
  </si>
  <si>
    <t>Kepler-1621</t>
  </si>
  <si>
    <t>Kepler-1622</t>
  </si>
  <si>
    <t>Kepler-1623</t>
  </si>
  <si>
    <t>Kepler-1624</t>
  </si>
  <si>
    <t>Kepler-1625</t>
  </si>
  <si>
    <t>Kepler-1626</t>
  </si>
  <si>
    <t>Kepler-1627</t>
  </si>
  <si>
    <t>Kepler-1628</t>
  </si>
  <si>
    <t>Kepler-1629</t>
  </si>
  <si>
    <t>Kepler-163</t>
  </si>
  <si>
    <t>Kepler-1630</t>
  </si>
  <si>
    <t>Kepler-1631</t>
  </si>
  <si>
    <t>Kepler-1632</t>
  </si>
  <si>
    <t>Kepler-1633</t>
  </si>
  <si>
    <t>Kepler-1634</t>
  </si>
  <si>
    <t>Kepler-1635</t>
  </si>
  <si>
    <t>Kepler-1636</t>
  </si>
  <si>
    <t>Kepler-1637</t>
  </si>
  <si>
    <t>Kepler-1638</t>
  </si>
  <si>
    <t>Kepler-1639</t>
  </si>
  <si>
    <t>Kepler-164</t>
  </si>
  <si>
    <t>Kepler-1640</t>
  </si>
  <si>
    <t>Kepler-1641</t>
  </si>
  <si>
    <t>Kepler-1642</t>
  </si>
  <si>
    <t>Kepler-1643</t>
  </si>
  <si>
    <t>Kepler-1644</t>
  </si>
  <si>
    <t>Kepler-1645</t>
  </si>
  <si>
    <t>Kepler-1646</t>
  </si>
  <si>
    <t>Kepler-1647</t>
  </si>
  <si>
    <t>Kepler-1649</t>
  </si>
  <si>
    <t>Kepler-165</t>
  </si>
  <si>
    <t>Kepler-1650</t>
  </si>
  <si>
    <t>Kepler-1651</t>
  </si>
  <si>
    <t>Kepler-1652</t>
  </si>
  <si>
    <t>Kepler-1653</t>
  </si>
  <si>
    <t>Kepler-1654</t>
  </si>
  <si>
    <t>Kepler-1655</t>
  </si>
  <si>
    <t>Kepler-1656</t>
  </si>
  <si>
    <t>Kepler-166</t>
  </si>
  <si>
    <t>Kepler-1660 A</t>
  </si>
  <si>
    <t>Kepler-1661</t>
  </si>
  <si>
    <t>Kepler-1663</t>
  </si>
  <si>
    <t>Kepler-1664</t>
  </si>
  <si>
    <t>Kepler-1665</t>
  </si>
  <si>
    <t>Kepler-1666</t>
  </si>
  <si>
    <t>Kepler-1667</t>
  </si>
  <si>
    <t>Kepler-1668</t>
  </si>
  <si>
    <t>Kepler-1669</t>
  </si>
  <si>
    <t>Kepler-167</t>
  </si>
  <si>
    <t>Kepler-1670</t>
  </si>
  <si>
    <t>Kepler-1671</t>
  </si>
  <si>
    <t>Kepler-1672</t>
  </si>
  <si>
    <t>Kepler-1673</t>
  </si>
  <si>
    <t>Kepler-1674</t>
  </si>
  <si>
    <t>Kepler-1675</t>
  </si>
  <si>
    <t>Kepler-1676</t>
  </si>
  <si>
    <t>Kepler-1677</t>
  </si>
  <si>
    <t>Kepler-1678</t>
  </si>
  <si>
    <t>Kepler-1679</t>
  </si>
  <si>
    <t>Kepler-168</t>
  </si>
  <si>
    <t>Kepler-1680</t>
  </si>
  <si>
    <t>Kepler-1681</t>
  </si>
  <si>
    <t>Kepler-1682</t>
  </si>
  <si>
    <t>Kepler-1683</t>
  </si>
  <si>
    <t>Kepler-1684</t>
  </si>
  <si>
    <t>Kepler-1685</t>
  </si>
  <si>
    <t>Kepler-1686</t>
  </si>
  <si>
    <t>Kepler-1687</t>
  </si>
  <si>
    <t>Kepler-1688</t>
  </si>
  <si>
    <t>Kepler-1689</t>
  </si>
  <si>
    <t>Kepler-169</t>
  </si>
  <si>
    <t>Kepler-1690</t>
  </si>
  <si>
    <t>Kepler-1691</t>
  </si>
  <si>
    <t>Kepler-1692</t>
  </si>
  <si>
    <t>Kepler-1693</t>
  </si>
  <si>
    <t>Kepler-1694</t>
  </si>
  <si>
    <t>Kepler-1695</t>
  </si>
  <si>
    <t>Kepler-1696</t>
  </si>
  <si>
    <t>Kepler-1697</t>
  </si>
  <si>
    <t>Kepler-1698</t>
  </si>
  <si>
    <t>Kepler-1699</t>
  </si>
  <si>
    <t>Kepler-17</t>
  </si>
  <si>
    <t>Kepler-170</t>
  </si>
  <si>
    <t>Kepler-1700</t>
  </si>
  <si>
    <t>Kepler-1701</t>
  </si>
  <si>
    <t>Kepler-1702</t>
  </si>
  <si>
    <t>Kepler-1704</t>
  </si>
  <si>
    <t>Kepler-1705</t>
  </si>
  <si>
    <t>Kepler-1708</t>
  </si>
  <si>
    <t>Kepler-1709</t>
  </si>
  <si>
    <t>Kepler-171</t>
  </si>
  <si>
    <t>Kepler-1710</t>
  </si>
  <si>
    <t>Kepler-1711</t>
  </si>
  <si>
    <t>Kepler-1712</t>
  </si>
  <si>
    <t>Kepler-1713</t>
  </si>
  <si>
    <t>Kepler-1714</t>
  </si>
  <si>
    <t>Kepler-1715</t>
  </si>
  <si>
    <t>Kepler-1716</t>
  </si>
  <si>
    <t>Kepler-1717</t>
  </si>
  <si>
    <t>Kepler-1718</t>
  </si>
  <si>
    <t>Kepler-1719</t>
  </si>
  <si>
    <t>Kepler-172</t>
  </si>
  <si>
    <t>Kepler-1720</t>
  </si>
  <si>
    <t>Kepler-1721</t>
  </si>
  <si>
    <t>Kepler-1722</t>
  </si>
  <si>
    <t>Kepler-1723</t>
  </si>
  <si>
    <t>Kepler-1724</t>
  </si>
  <si>
    <t>Kepler-1725</t>
  </si>
  <si>
    <t>Kepler-1726</t>
  </si>
  <si>
    <t>Kepler-1727</t>
  </si>
  <si>
    <t>Kepler-1728</t>
  </si>
  <si>
    <t>Kepler-1729</t>
  </si>
  <si>
    <t>Kepler-173</t>
  </si>
  <si>
    <t>Kepler-1730</t>
  </si>
  <si>
    <t>Kepler-1731</t>
  </si>
  <si>
    <t>Kepler-1732</t>
  </si>
  <si>
    <t>Kepler-1733</t>
  </si>
  <si>
    <t>Kepler-1734</t>
  </si>
  <si>
    <t>Kepler-1735</t>
  </si>
  <si>
    <t>Kepler-1736</t>
  </si>
  <si>
    <t>Kepler-1737</t>
  </si>
  <si>
    <t>Kepler-1738</t>
  </si>
  <si>
    <t>Kepler-1739</t>
  </si>
  <si>
    <t>Kepler-174</t>
  </si>
  <si>
    <t>Kepler-1740</t>
  </si>
  <si>
    <t>Kepler-1741</t>
  </si>
  <si>
    <t>Kepler-1742</t>
  </si>
  <si>
    <t>Kepler-1743</t>
  </si>
  <si>
    <t>Kepler-1744</t>
  </si>
  <si>
    <t>Kepler-1745</t>
  </si>
  <si>
    <t>Kepler-1746</t>
  </si>
  <si>
    <t>Kepler-1747</t>
  </si>
  <si>
    <t>Kepler-1748</t>
  </si>
  <si>
    <t>Kepler-1749</t>
  </si>
  <si>
    <t>Kepler-175</t>
  </si>
  <si>
    <t>Kepler-1750</t>
  </si>
  <si>
    <t>Kepler-1751</t>
  </si>
  <si>
    <t>Kepler-1752</t>
  </si>
  <si>
    <t>Kepler-1753</t>
  </si>
  <si>
    <t>Kepler-1754</t>
  </si>
  <si>
    <t>Kepler-1755</t>
  </si>
  <si>
    <t>Kepler-1756</t>
  </si>
  <si>
    <t>Kepler-1757</t>
  </si>
  <si>
    <t>Kepler-1758</t>
  </si>
  <si>
    <t>Kepler-1759</t>
  </si>
  <si>
    <t>Kepler-176</t>
  </si>
  <si>
    <t>Kepler-1760</t>
  </si>
  <si>
    <t>Kepler-1761</t>
  </si>
  <si>
    <t>Kepler-1762</t>
  </si>
  <si>
    <t>Kepler-1763</t>
  </si>
  <si>
    <t>Kepler-1764</t>
  </si>
  <si>
    <t>Kepler-1765</t>
  </si>
  <si>
    <t>Kepler-1766</t>
  </si>
  <si>
    <t>Kepler-1767</t>
  </si>
  <si>
    <t>Kepler-1768</t>
  </si>
  <si>
    <t>Kepler-1769</t>
  </si>
  <si>
    <t>Kepler-177</t>
  </si>
  <si>
    <t>Kepler-1770</t>
  </si>
  <si>
    <t>Kepler-1771</t>
  </si>
  <si>
    <t>Kepler-1772</t>
  </si>
  <si>
    <t>Kepler-1773</t>
  </si>
  <si>
    <t>Kepler-1774</t>
  </si>
  <si>
    <t>Kepler-1775</t>
  </si>
  <si>
    <t>Kepler-1776</t>
  </si>
  <si>
    <t>Kepler-1777</t>
  </si>
  <si>
    <t>Kepler-1778</t>
  </si>
  <si>
    <t>Kepler-1779</t>
  </si>
  <si>
    <t>Kepler-178</t>
  </si>
  <si>
    <t>Kepler-1780</t>
  </si>
  <si>
    <t>Kepler-1781</t>
  </si>
  <si>
    <t>Kepler-1782</t>
  </si>
  <si>
    <t>Kepler-1783</t>
  </si>
  <si>
    <t>Kepler-1784</t>
  </si>
  <si>
    <t>Kepler-1785</t>
  </si>
  <si>
    <t>Kepler-1786</t>
  </si>
  <si>
    <t>Kepler-1787</t>
  </si>
  <si>
    <t>Kepler-1788</t>
  </si>
  <si>
    <t>Kepler-1789</t>
  </si>
  <si>
    <t>Kepler-179</t>
  </si>
  <si>
    <t>Kepler-1790</t>
  </si>
  <si>
    <t>Kepler-1791</t>
  </si>
  <si>
    <t>Kepler-1792</t>
  </si>
  <si>
    <t>Kepler-1793</t>
  </si>
  <si>
    <t>Kepler-1794</t>
  </si>
  <si>
    <t>Kepler-1795</t>
  </si>
  <si>
    <t>Kepler-1796</t>
  </si>
  <si>
    <t>Kepler-1797</t>
  </si>
  <si>
    <t>Kepler-1798</t>
  </si>
  <si>
    <t>Kepler-1799</t>
  </si>
  <si>
    <t>Kepler-18</t>
  </si>
  <si>
    <t>Kepler-180</t>
  </si>
  <si>
    <t>Kepler-1800</t>
  </si>
  <si>
    <t>Kepler-1801</t>
  </si>
  <si>
    <t>Kepler-1802</t>
  </si>
  <si>
    <t>Kepler-1804</t>
  </si>
  <si>
    <t>Kepler-1805</t>
  </si>
  <si>
    <t>Kepler-1806</t>
  </si>
  <si>
    <t>Kepler-1807</t>
  </si>
  <si>
    <t>Kepler-1808</t>
  </si>
  <si>
    <t>Kepler-1809</t>
  </si>
  <si>
    <t>Kepler-181</t>
  </si>
  <si>
    <t>Kepler-1810</t>
  </si>
  <si>
    <t>Kepler-1811</t>
  </si>
  <si>
    <t>Kepler-1812</t>
  </si>
  <si>
    <t>Kepler-1813</t>
  </si>
  <si>
    <t>Kepler-1814</t>
  </si>
  <si>
    <t>Kepler-1815</t>
  </si>
  <si>
    <t>Kepler-1816</t>
  </si>
  <si>
    <t>Kepler-1817</t>
  </si>
  <si>
    <t>Kepler-1818</t>
  </si>
  <si>
    <t>Kepler-1819</t>
  </si>
  <si>
    <t>Kepler-182</t>
  </si>
  <si>
    <t>Kepler-1820</t>
  </si>
  <si>
    <t>Kepler-1821</t>
  </si>
  <si>
    <t>Kepler-1822</t>
  </si>
  <si>
    <t>Kepler-1823</t>
  </si>
  <si>
    <t>Kepler-1824</t>
  </si>
  <si>
    <t>Kepler-1825</t>
  </si>
  <si>
    <t>Kepler-1826</t>
  </si>
  <si>
    <t>Kepler-1827</t>
  </si>
  <si>
    <t>Kepler-1828</t>
  </si>
  <si>
    <t>Kepler-1829</t>
  </si>
  <si>
    <t>Kepler-183</t>
  </si>
  <si>
    <t>Kepler-1830</t>
  </si>
  <si>
    <t>Kepler-1831</t>
  </si>
  <si>
    <t>Kepler-1832</t>
  </si>
  <si>
    <t>Kepler-1833</t>
  </si>
  <si>
    <t>Kepler-1834</t>
  </si>
  <si>
    <t>Kepler-1835</t>
  </si>
  <si>
    <t>Kepler-1836</t>
  </si>
  <si>
    <t>Kepler-1837</t>
  </si>
  <si>
    <t>Kepler-1838</t>
  </si>
  <si>
    <t>Kepler-1839</t>
  </si>
  <si>
    <t>Kepler-184</t>
  </si>
  <si>
    <t>Kepler-1840</t>
  </si>
  <si>
    <t>Kepler-1841</t>
  </si>
  <si>
    <t>Kepler-1842</t>
  </si>
  <si>
    <t>Kepler-1843</t>
  </si>
  <si>
    <t>Kepler-1844</t>
  </si>
  <si>
    <t>Kepler-1845</t>
  </si>
  <si>
    <t>Kepler-1846</t>
  </si>
  <si>
    <t>Kepler-1847</t>
  </si>
  <si>
    <t>Kepler-1848</t>
  </si>
  <si>
    <t>Kepler-1849</t>
  </si>
  <si>
    <t>Kepler-185</t>
  </si>
  <si>
    <t>Kepler-1850</t>
  </si>
  <si>
    <t>Kepler-1851</t>
  </si>
  <si>
    <t>Kepler-1852</t>
  </si>
  <si>
    <t>Kepler-1853</t>
  </si>
  <si>
    <t>Kepler-1854</t>
  </si>
  <si>
    <t>Kepler-1855</t>
  </si>
  <si>
    <t>Kepler-1856</t>
  </si>
  <si>
    <t>Kepler-1857</t>
  </si>
  <si>
    <t>Kepler-1858</t>
  </si>
  <si>
    <t>Kepler-1859</t>
  </si>
  <si>
    <t>Kepler-186</t>
  </si>
  <si>
    <t>Kepler-1860</t>
  </si>
  <si>
    <t>Kepler-1861</t>
  </si>
  <si>
    <t>Kepler-1862</t>
  </si>
  <si>
    <t>Kepler-1863</t>
  </si>
  <si>
    <t>Kepler-1864</t>
  </si>
  <si>
    <t>Kepler-1865</t>
  </si>
  <si>
    <t>Kepler-1866</t>
  </si>
  <si>
    <t>Kepler-1867</t>
  </si>
  <si>
    <t>Kepler-1868</t>
  </si>
  <si>
    <t>Kepler-1869</t>
  </si>
  <si>
    <t>Kepler-187</t>
  </si>
  <si>
    <t>Kepler-1870</t>
  </si>
  <si>
    <t>Kepler-1871</t>
  </si>
  <si>
    <t>Kepler-1872</t>
  </si>
  <si>
    <t>Kepler-1873</t>
  </si>
  <si>
    <t>Kepler-1874</t>
  </si>
  <si>
    <t>Kepler-1875</t>
  </si>
  <si>
    <t>Kepler-1876</t>
  </si>
  <si>
    <t>Kepler-1877</t>
  </si>
  <si>
    <t>Kepler-1878</t>
  </si>
  <si>
    <t>Kepler-1879</t>
  </si>
  <si>
    <t>Kepler-188</t>
  </si>
  <si>
    <t>Kepler-1880</t>
  </si>
  <si>
    <t>Kepler-1881</t>
  </si>
  <si>
    <t>Kepler-1882</t>
  </si>
  <si>
    <t>Kepler-1883</t>
  </si>
  <si>
    <t>Kepler-1884</t>
  </si>
  <si>
    <t>Kepler-1885</t>
  </si>
  <si>
    <t>Kepler-1886</t>
  </si>
  <si>
    <t>Kepler-1887</t>
  </si>
  <si>
    <t>Kepler-1888</t>
  </si>
  <si>
    <t>Kepler-1889</t>
  </si>
  <si>
    <t>Kepler-189</t>
  </si>
  <si>
    <t>Kepler-1890</t>
  </si>
  <si>
    <t>Kepler-1891</t>
  </si>
  <si>
    <t>Kepler-1892</t>
  </si>
  <si>
    <t>Kepler-1893</t>
  </si>
  <si>
    <t>Kepler-1894</t>
  </si>
  <si>
    <t>Kepler-1895</t>
  </si>
  <si>
    <t>Kepler-1896</t>
  </si>
  <si>
    <t>Kepler-1897</t>
  </si>
  <si>
    <t>Kepler-1898</t>
  </si>
  <si>
    <t>Kepler-1899</t>
  </si>
  <si>
    <t>Kepler-19</t>
  </si>
  <si>
    <t>Kepler-190</t>
  </si>
  <si>
    <t>Kepler-1900</t>
  </si>
  <si>
    <t>Kepler-1901</t>
  </si>
  <si>
    <t>Kepler-1902</t>
  </si>
  <si>
    <t>Kepler-1903</t>
  </si>
  <si>
    <t>Kepler-1904</t>
  </si>
  <si>
    <t>Kepler-1905</t>
  </si>
  <si>
    <t>Kepler-1906</t>
  </si>
  <si>
    <t>Kepler-1907</t>
  </si>
  <si>
    <t>Kepler-1909</t>
  </si>
  <si>
    <t>Kepler-191</t>
  </si>
  <si>
    <t>Kepler-1910</t>
  </si>
  <si>
    <t>Kepler-1911</t>
  </si>
  <si>
    <t>Kepler-1912</t>
  </si>
  <si>
    <t>Kepler-1913</t>
  </si>
  <si>
    <t>Kepler-1914</t>
  </si>
  <si>
    <t>Kepler-1915</t>
  </si>
  <si>
    <t>Kepler-1916</t>
  </si>
  <si>
    <t>Kepler-1917</t>
  </si>
  <si>
    <t>Kepler-1918</t>
  </si>
  <si>
    <t>Kepler-1919</t>
  </si>
  <si>
    <t>Kepler-192</t>
  </si>
  <si>
    <t>Kepler-1920</t>
  </si>
  <si>
    <t>Kepler-1921</t>
  </si>
  <si>
    <t>Kepler-1922</t>
  </si>
  <si>
    <t>Kepler-1923</t>
  </si>
  <si>
    <t>Kepler-1924</t>
  </si>
  <si>
    <t>Kepler-1925</t>
  </si>
  <si>
    <t>Kepler-1926</t>
  </si>
  <si>
    <t>Kepler-1927</t>
  </si>
  <si>
    <t>Kepler-1928</t>
  </si>
  <si>
    <t>Kepler-1929</t>
  </si>
  <si>
    <t>Kepler-193</t>
  </si>
  <si>
    <t>Kepler-1930</t>
  </si>
  <si>
    <t>Kepler-1931</t>
  </si>
  <si>
    <t>Kepler-1932</t>
  </si>
  <si>
    <t>Kepler-1933</t>
  </si>
  <si>
    <t>Kepler-1934</t>
  </si>
  <si>
    <t>Kepler-1935</t>
  </si>
  <si>
    <t>Kepler-1936</t>
  </si>
  <si>
    <t>Kepler-1937</t>
  </si>
  <si>
    <t>Kepler-1938</t>
  </si>
  <si>
    <t>Kepler-1939</t>
  </si>
  <si>
    <t>Kepler-194</t>
  </si>
  <si>
    <t>Kepler-1940</t>
  </si>
  <si>
    <t>Kepler-1941</t>
  </si>
  <si>
    <t>Kepler-1942</t>
  </si>
  <si>
    <t>Kepler-1943</t>
  </si>
  <si>
    <t>Kepler-1944</t>
  </si>
  <si>
    <t>Kepler-1945</t>
  </si>
  <si>
    <t>Kepler-1946</t>
  </si>
  <si>
    <t>Kepler-1947</t>
  </si>
  <si>
    <t>Kepler-1948</t>
  </si>
  <si>
    <t>Kepler-1949</t>
  </si>
  <si>
    <t>Kepler-195</t>
  </si>
  <si>
    <t>Kepler-1950</t>
  </si>
  <si>
    <t>Kepler-1951</t>
  </si>
  <si>
    <t>Kepler-1952</t>
  </si>
  <si>
    <t>Kepler-1953</t>
  </si>
  <si>
    <t>Kepler-1954</t>
  </si>
  <si>
    <t>Kepler-1955</t>
  </si>
  <si>
    <t>Kepler-1956</t>
  </si>
  <si>
    <t>Kepler-1957</t>
  </si>
  <si>
    <t>Kepler-1958</t>
  </si>
  <si>
    <t>Kepler-1959</t>
  </si>
  <si>
    <t>Kepler-196</t>
  </si>
  <si>
    <t>Kepler-1960</t>
  </si>
  <si>
    <t>Kepler-1961</t>
  </si>
  <si>
    <t>Kepler-1962</t>
  </si>
  <si>
    <t>Kepler-1963</t>
  </si>
  <si>
    <t>Kepler-1964</t>
  </si>
  <si>
    <t>Kepler-1965</t>
  </si>
  <si>
    <t>Kepler-1966</t>
  </si>
  <si>
    <t>Kepler-1967</t>
  </si>
  <si>
    <t>Kepler-1968</t>
  </si>
  <si>
    <t>Kepler-1969</t>
  </si>
  <si>
    <t>Kepler-197</t>
  </si>
  <si>
    <t>Kepler-1972</t>
  </si>
  <si>
    <t>Kepler-1976</t>
  </si>
  <si>
    <t>Kepler-1977</t>
  </si>
  <si>
    <t>Kepler-1978</t>
  </si>
  <si>
    <t>Kepler-1979</t>
  </si>
  <si>
    <t>Kepler-198</t>
  </si>
  <si>
    <t>Kepler-1980</t>
  </si>
  <si>
    <t>Kepler-1981</t>
  </si>
  <si>
    <t>Kepler-1982</t>
  </si>
  <si>
    <t>Kepler-1983</t>
  </si>
  <si>
    <t>Kepler-1984</t>
  </si>
  <si>
    <t>Kepler-1985</t>
  </si>
  <si>
    <t>Kepler-1986</t>
  </si>
  <si>
    <t>Kepler-1987</t>
  </si>
  <si>
    <t>Kepler-1988</t>
  </si>
  <si>
    <t>Kepler-1989</t>
  </si>
  <si>
    <t>Kepler-199</t>
  </si>
  <si>
    <t>Kepler-1990</t>
  </si>
  <si>
    <t>Kepler-1991</t>
  </si>
  <si>
    <t>Kepler-1992</t>
  </si>
  <si>
    <t>Kepler-1993</t>
  </si>
  <si>
    <t>Kepler-1994</t>
  </si>
  <si>
    <t>Kepler-1995</t>
  </si>
  <si>
    <t>Kepler-1996</t>
  </si>
  <si>
    <t>Kepler-1997</t>
  </si>
  <si>
    <t>Kepler-1998</t>
  </si>
  <si>
    <t>Kepler-1999</t>
  </si>
  <si>
    <t>Kepler-20</t>
  </si>
  <si>
    <t>Kepler-200</t>
  </si>
  <si>
    <t>Kepler-2000</t>
  </si>
  <si>
    <t>Kepler-2001</t>
  </si>
  <si>
    <t>Kepler-201</t>
  </si>
  <si>
    <t>Kepler-202</t>
  </si>
  <si>
    <t>Kepler-203</t>
  </si>
  <si>
    <t>Kepler-204</t>
  </si>
  <si>
    <t>Kepler-205</t>
  </si>
  <si>
    <t>Kepler-206</t>
  </si>
  <si>
    <t>Kepler-207</t>
  </si>
  <si>
    <t>Kepler-208</t>
  </si>
  <si>
    <t>Kepler-209</t>
  </si>
  <si>
    <t>Kepler-21</t>
  </si>
  <si>
    <t>Kepler-210</t>
  </si>
  <si>
    <t>Kepler-211</t>
  </si>
  <si>
    <t>Kepler-212</t>
  </si>
  <si>
    <t>Kepler-213</t>
  </si>
  <si>
    <t>Kepler-214</t>
  </si>
  <si>
    <t>Kepler-215</t>
  </si>
  <si>
    <t>Kepler-216</t>
  </si>
  <si>
    <t>Kepler-217</t>
  </si>
  <si>
    <t>Kepler-218</t>
  </si>
  <si>
    <t>Kepler-219</t>
  </si>
  <si>
    <t>Kepler-22</t>
  </si>
  <si>
    <t>Kepler-220</t>
  </si>
  <si>
    <t>Kepler-221</t>
  </si>
  <si>
    <t>Kepler-222</t>
  </si>
  <si>
    <t>Kepler-223</t>
  </si>
  <si>
    <t>Kepler-224</t>
  </si>
  <si>
    <t>Kepler-225</t>
  </si>
  <si>
    <t>Kepler-226</t>
  </si>
  <si>
    <t>Kepler-227</t>
  </si>
  <si>
    <t>Kepler-228</t>
  </si>
  <si>
    <t>Kepler-229</t>
  </si>
  <si>
    <t>Kepler-23</t>
  </si>
  <si>
    <t>Kepler-230</t>
  </si>
  <si>
    <t>Kepler-231</t>
  </si>
  <si>
    <t>Kepler-232</t>
  </si>
  <si>
    <t>Kepler-233</t>
  </si>
  <si>
    <t>Kepler-234</t>
  </si>
  <si>
    <t>Kepler-235</t>
  </si>
  <si>
    <t>Kepler-236</t>
  </si>
  <si>
    <t>Kepler-237</t>
  </si>
  <si>
    <t>Kepler-238</t>
  </si>
  <si>
    <t>Kepler-239</t>
  </si>
  <si>
    <t>Kepler-24</t>
  </si>
  <si>
    <t>Kepler-240</t>
  </si>
  <si>
    <t>Kepler-241</t>
  </si>
  <si>
    <t>Kepler-242</t>
  </si>
  <si>
    <t>Kepler-243</t>
  </si>
  <si>
    <t>Kepler-244</t>
  </si>
  <si>
    <t>Kepler-245</t>
  </si>
  <si>
    <t>Kepler-246</t>
  </si>
  <si>
    <t>Kepler-247</t>
  </si>
  <si>
    <t>Kepler-248</t>
  </si>
  <si>
    <t>Kepler-249</t>
  </si>
  <si>
    <t>Kepler-25</t>
  </si>
  <si>
    <t>Kepler-250</t>
  </si>
  <si>
    <t>Kepler-251</t>
  </si>
  <si>
    <t>Kepler-252</t>
  </si>
  <si>
    <t>Kepler-253</t>
  </si>
  <si>
    <t>Kepler-254</t>
  </si>
  <si>
    <t>Kepler-255</t>
  </si>
  <si>
    <t>Kepler-256</t>
  </si>
  <si>
    <t>Kepler-257</t>
  </si>
  <si>
    <t>Kepler-258</t>
  </si>
  <si>
    <t>Kepler-259</t>
  </si>
  <si>
    <t>Kepler-26</t>
  </si>
  <si>
    <t>Kepler-260</t>
  </si>
  <si>
    <t>Kepler-261</t>
  </si>
  <si>
    <t>Kepler-262</t>
  </si>
  <si>
    <t>Kepler-263</t>
  </si>
  <si>
    <t>Kepler-264</t>
  </si>
  <si>
    <t>Kepler-265</t>
  </si>
  <si>
    <t>Kepler-266</t>
  </si>
  <si>
    <t>Kepler-267</t>
  </si>
  <si>
    <t>Kepler-268</t>
  </si>
  <si>
    <t>Kepler-269</t>
  </si>
  <si>
    <t>Kepler-27</t>
  </si>
  <si>
    <t>Kepler-270</t>
  </si>
  <si>
    <t>Kepler-271</t>
  </si>
  <si>
    <t>Kepler-272</t>
  </si>
  <si>
    <t>Kepler-273</t>
  </si>
  <si>
    <t>Kepler-274</t>
  </si>
  <si>
    <t>Kepler-275</t>
  </si>
  <si>
    <t>Kepler-276</t>
  </si>
  <si>
    <t>Kepler-277</t>
  </si>
  <si>
    <t>Kepler-278</t>
  </si>
  <si>
    <t>Kepler-279</t>
  </si>
  <si>
    <t>Kepler-28</t>
  </si>
  <si>
    <t>Kepler-280</t>
  </si>
  <si>
    <t>Kepler-281</t>
  </si>
  <si>
    <t>Kepler-282</t>
  </si>
  <si>
    <t>Kepler-283</t>
  </si>
  <si>
    <t>Kepler-284</t>
  </si>
  <si>
    <t>Kepler-285</t>
  </si>
  <si>
    <t>Kepler-286</t>
  </si>
  <si>
    <t>Kepler-287</t>
  </si>
  <si>
    <t>Kepler-288</t>
  </si>
  <si>
    <t>Kepler-289</t>
  </si>
  <si>
    <t>Kepler-29</t>
  </si>
  <si>
    <t>Kepler-290</t>
  </si>
  <si>
    <t>Kepler-291</t>
  </si>
  <si>
    <t>Kepler-292</t>
  </si>
  <si>
    <t>Kepler-293</t>
  </si>
  <si>
    <t>Kepler-294</t>
  </si>
  <si>
    <t>Kepler-295</t>
  </si>
  <si>
    <t>Kepler-296</t>
  </si>
  <si>
    <t>Kepler-297</t>
  </si>
  <si>
    <t>Kepler-298</t>
  </si>
  <si>
    <t>Kepler-299</t>
  </si>
  <si>
    <t>Kepler-30</t>
  </si>
  <si>
    <t>Kepler-300</t>
  </si>
  <si>
    <t>Kepler-301</t>
  </si>
  <si>
    <t>Kepler-302</t>
  </si>
  <si>
    <t>Kepler-303</t>
  </si>
  <si>
    <t>Kepler-304</t>
  </si>
  <si>
    <t>Kepler-305</t>
  </si>
  <si>
    <t>Kepler-306</t>
  </si>
  <si>
    <t>Kepler-307</t>
  </si>
  <si>
    <t>Kepler-308</t>
  </si>
  <si>
    <t>Kepler-309</t>
  </si>
  <si>
    <t>Kepler-31</t>
  </si>
  <si>
    <t>Kepler-310</t>
  </si>
  <si>
    <t>Kepler-311</t>
  </si>
  <si>
    <t>Kepler-312</t>
  </si>
  <si>
    <t>Kepler-313</t>
  </si>
  <si>
    <t>Kepler-314</t>
  </si>
  <si>
    <t>Kepler-315</t>
  </si>
  <si>
    <t>Kepler-316</t>
  </si>
  <si>
    <t>Kepler-317</t>
  </si>
  <si>
    <t>Kepler-318</t>
  </si>
  <si>
    <t>Kepler-319</t>
  </si>
  <si>
    <t>Kepler-32</t>
  </si>
  <si>
    <t>Kepler-320</t>
  </si>
  <si>
    <t>Kepler-321</t>
  </si>
  <si>
    <t>Kepler-322</t>
  </si>
  <si>
    <t>Kepler-323</t>
  </si>
  <si>
    <t>Kepler-324</t>
  </si>
  <si>
    <t>Kepler-325</t>
  </si>
  <si>
    <t>Kepler-326</t>
  </si>
  <si>
    <t>Kepler-327</t>
  </si>
  <si>
    <t>Kepler-328</t>
  </si>
  <si>
    <t>Kepler-329</t>
  </si>
  <si>
    <t>Kepler-33</t>
  </si>
  <si>
    <t>Kepler-330</t>
  </si>
  <si>
    <t>Kepler-331</t>
  </si>
  <si>
    <t>Kepler-332</t>
  </si>
  <si>
    <t>Kepler-333</t>
  </si>
  <si>
    <t>Kepler-334</t>
  </si>
  <si>
    <t>Kepler-335</t>
  </si>
  <si>
    <t>Kepler-336</t>
  </si>
  <si>
    <t>Kepler-337</t>
  </si>
  <si>
    <t>Kepler-338</t>
  </si>
  <si>
    <t>Kepler-339</t>
  </si>
  <si>
    <t>Kepler-34</t>
  </si>
  <si>
    <t>Kepler-340</t>
  </si>
  <si>
    <t>Kepler-341</t>
  </si>
  <si>
    <t>Kepler-342</t>
  </si>
  <si>
    <t>Kepler-343</t>
  </si>
  <si>
    <t>Kepler-344</t>
  </si>
  <si>
    <t>Kepler-345</t>
  </si>
  <si>
    <t>Kepler-346</t>
  </si>
  <si>
    <t>Kepler-347</t>
  </si>
  <si>
    <t>Kepler-348</t>
  </si>
  <si>
    <t>Kepler-349</t>
  </si>
  <si>
    <t>Kepler-35</t>
  </si>
  <si>
    <t>Kepler-350</t>
  </si>
  <si>
    <t>Kepler-351</t>
  </si>
  <si>
    <t>Kepler-352</t>
  </si>
  <si>
    <t>Kepler-353</t>
  </si>
  <si>
    <t>Kepler-354</t>
  </si>
  <si>
    <t>Kepler-355</t>
  </si>
  <si>
    <t>Kepler-356</t>
  </si>
  <si>
    <t>Kepler-357</t>
  </si>
  <si>
    <t>Kepler-358</t>
  </si>
  <si>
    <t>Kepler-359</t>
  </si>
  <si>
    <t>Kepler-36</t>
  </si>
  <si>
    <t>Kepler-360</t>
  </si>
  <si>
    <t>Kepler-361</t>
  </si>
  <si>
    <t>Kepler-362</t>
  </si>
  <si>
    <t>Kepler-363</t>
  </si>
  <si>
    <t>Kepler-364</t>
  </si>
  <si>
    <t>Kepler-365</t>
  </si>
  <si>
    <t>Kepler-366</t>
  </si>
  <si>
    <t>Kepler-367</t>
  </si>
  <si>
    <t>Kepler-368</t>
  </si>
  <si>
    <t>Kepler-369</t>
  </si>
  <si>
    <t>Kepler-37</t>
  </si>
  <si>
    <t>Kepler-370</t>
  </si>
  <si>
    <t>Kepler-371</t>
  </si>
  <si>
    <t>Kepler-372</t>
  </si>
  <si>
    <t>Kepler-373</t>
  </si>
  <si>
    <t>Kepler-374</t>
  </si>
  <si>
    <t>Kepler-375</t>
  </si>
  <si>
    <t>Kepler-376</t>
  </si>
  <si>
    <t>Kepler-377</t>
  </si>
  <si>
    <t>Kepler-378</t>
  </si>
  <si>
    <t>Kepler-379</t>
  </si>
  <si>
    <t>Kepler-38</t>
  </si>
  <si>
    <t>Kepler-380</t>
  </si>
  <si>
    <t>Kepler-381</t>
  </si>
  <si>
    <t>Kepler-382</t>
  </si>
  <si>
    <t>Kepler-383</t>
  </si>
  <si>
    <t>Kepler-384</t>
  </si>
  <si>
    <t>Kepler-385</t>
  </si>
  <si>
    <t>Kepler-386</t>
  </si>
  <si>
    <t>Kepler-387</t>
  </si>
  <si>
    <t>Kepler-388</t>
  </si>
  <si>
    <t>Kepler-389</t>
  </si>
  <si>
    <t>Kepler-39</t>
  </si>
  <si>
    <t>Kepler-390</t>
  </si>
  <si>
    <t>Kepler-391</t>
  </si>
  <si>
    <t>Kepler-392</t>
  </si>
  <si>
    <t>Kepler-393</t>
  </si>
  <si>
    <t>Kepler-394</t>
  </si>
  <si>
    <t>Kepler-395</t>
  </si>
  <si>
    <t>Kepler-396</t>
  </si>
  <si>
    <t>Kepler-397</t>
  </si>
  <si>
    <t>Kepler-398</t>
  </si>
  <si>
    <t>Kepler-399</t>
  </si>
  <si>
    <t>Kepler-4</t>
  </si>
  <si>
    <t>Kepler-40</t>
  </si>
  <si>
    <t>Kepler-400</t>
  </si>
  <si>
    <t>Kepler-401</t>
  </si>
  <si>
    <t>Kepler-402</t>
  </si>
  <si>
    <t>Kepler-403</t>
  </si>
  <si>
    <t>Kepler-404</t>
  </si>
  <si>
    <t>Kepler-405</t>
  </si>
  <si>
    <t>Kepler-406</t>
  </si>
  <si>
    <t>Kepler-407</t>
  </si>
  <si>
    <t>Kepler-408</t>
  </si>
  <si>
    <t>Kepler-409</t>
  </si>
  <si>
    <t>Kepler-41</t>
  </si>
  <si>
    <t>Kepler-410 A</t>
  </si>
  <si>
    <t>Kepler-411</t>
  </si>
  <si>
    <t>Kepler-412</t>
  </si>
  <si>
    <t>Kepler-413</t>
  </si>
  <si>
    <t>Kepler-414</t>
  </si>
  <si>
    <t>Kepler-415</t>
  </si>
  <si>
    <t>Kepler-416</t>
  </si>
  <si>
    <t>Kepler-417</t>
  </si>
  <si>
    <t>Kepler-418</t>
  </si>
  <si>
    <t>Kepler-419</t>
  </si>
  <si>
    <t>Kepler-42</t>
  </si>
  <si>
    <t>Kepler-421</t>
  </si>
  <si>
    <t>Kepler-422</t>
  </si>
  <si>
    <t>Kepler-423</t>
  </si>
  <si>
    <t>Kepler-424</t>
  </si>
  <si>
    <t>Kepler-425</t>
  </si>
  <si>
    <t>Kepler-426</t>
  </si>
  <si>
    <t>Kepler-427</t>
  </si>
  <si>
    <t>Kepler-428</t>
  </si>
  <si>
    <t>Kepler-43</t>
  </si>
  <si>
    <t>Kepler-430</t>
  </si>
  <si>
    <t>Kepler-431</t>
  </si>
  <si>
    <t>Kepler-432</t>
  </si>
  <si>
    <t>Kepler-433</t>
  </si>
  <si>
    <t>Kepler-434</t>
  </si>
  <si>
    <t>Kepler-435</t>
  </si>
  <si>
    <t>Kepler-436</t>
  </si>
  <si>
    <t>Kepler-437</t>
  </si>
  <si>
    <t>Kepler-438</t>
  </si>
  <si>
    <t>Kepler-439</t>
  </si>
  <si>
    <t>Kepler-44</t>
  </si>
  <si>
    <t>Kepler-440</t>
  </si>
  <si>
    <t>Kepler-441</t>
  </si>
  <si>
    <t>Kepler-442</t>
  </si>
  <si>
    <t>Kepler-443</t>
  </si>
  <si>
    <t>Kepler-444</t>
  </si>
  <si>
    <t>Kepler-445</t>
  </si>
  <si>
    <t>Kepler-446</t>
  </si>
  <si>
    <t>Kepler-447</t>
  </si>
  <si>
    <t>Kepler-449</t>
  </si>
  <si>
    <t>Kepler-45</t>
  </si>
  <si>
    <t>Kepler-450</t>
  </si>
  <si>
    <t>Kepler-452</t>
  </si>
  <si>
    <t>Kepler-453</t>
  </si>
  <si>
    <t>Kepler-454</t>
  </si>
  <si>
    <t>Kepler-46</t>
  </si>
  <si>
    <t>Kepler-461</t>
  </si>
  <si>
    <t>Kepler-462</t>
  </si>
  <si>
    <t>Kepler-463</t>
  </si>
  <si>
    <t>Kepler-464</t>
  </si>
  <si>
    <t>Kepler-465</t>
  </si>
  <si>
    <t>Kepler-466</t>
  </si>
  <si>
    <t>Kepler-467</t>
  </si>
  <si>
    <t>Kepler-468</t>
  </si>
  <si>
    <t>Kepler-47</t>
  </si>
  <si>
    <t>Kepler-471</t>
  </si>
  <si>
    <t>Kepler-472</t>
  </si>
  <si>
    <t>Kepler-473</t>
  </si>
  <si>
    <t>Kepler-474</t>
  </si>
  <si>
    <t>Kepler-475</t>
  </si>
  <si>
    <t>Kepler-476</t>
  </si>
  <si>
    <t>Kepler-477</t>
  </si>
  <si>
    <t>Kepler-478</t>
  </si>
  <si>
    <t>Kepler-479</t>
  </si>
  <si>
    <t>Kepler-48</t>
  </si>
  <si>
    <t>Kepler-480</t>
  </si>
  <si>
    <t>Kepler-481</t>
  </si>
  <si>
    <t>Kepler-482</t>
  </si>
  <si>
    <t>Kepler-483</t>
  </si>
  <si>
    <t>Kepler-484</t>
  </si>
  <si>
    <t>Kepler-485</t>
  </si>
  <si>
    <t>Kepler-487</t>
  </si>
  <si>
    <t>Kepler-489</t>
  </si>
  <si>
    <t>Kepler-49</t>
  </si>
  <si>
    <t>Kepler-490</t>
  </si>
  <si>
    <t>Kepler-491</t>
  </si>
  <si>
    <t>Kepler-493</t>
  </si>
  <si>
    <t>Kepler-495</t>
  </si>
  <si>
    <t>Kepler-496</t>
  </si>
  <si>
    <t>Kepler-497</t>
  </si>
  <si>
    <t>Kepler-498</t>
  </si>
  <si>
    <t>Kepler-499</t>
  </si>
  <si>
    <t>Kepler-5</t>
  </si>
  <si>
    <t>Kepler-50</t>
  </si>
  <si>
    <t>Kepler-500</t>
  </si>
  <si>
    <t>Kepler-501</t>
  </si>
  <si>
    <t>Kepler-502</t>
  </si>
  <si>
    <t>Kepler-504</t>
  </si>
  <si>
    <t>Kepler-505</t>
  </si>
  <si>
    <t>Kepler-506</t>
  </si>
  <si>
    <t>Kepler-507</t>
  </si>
  <si>
    <t>Kepler-508</t>
  </si>
  <si>
    <t>Kepler-509</t>
  </si>
  <si>
    <t>Kepler-51</t>
  </si>
  <si>
    <t>Kepler-510</t>
  </si>
  <si>
    <t>Kepler-511</t>
  </si>
  <si>
    <t>Kepler-512</t>
  </si>
  <si>
    <t>Kepler-513</t>
  </si>
  <si>
    <t>Kepler-514</t>
  </si>
  <si>
    <t>Kepler-515</t>
  </si>
  <si>
    <t>Kepler-516</t>
  </si>
  <si>
    <t>Kepler-517</t>
  </si>
  <si>
    <t>Kepler-518</t>
  </si>
  <si>
    <t>Kepler-519</t>
  </si>
  <si>
    <t>Kepler-52</t>
  </si>
  <si>
    <t>Kepler-520</t>
  </si>
  <si>
    <t>Kepler-521</t>
  </si>
  <si>
    <t>Kepler-522</t>
  </si>
  <si>
    <t>Kepler-523</t>
  </si>
  <si>
    <t>Kepler-524</t>
  </si>
  <si>
    <t>Kepler-525</t>
  </si>
  <si>
    <t>Kepler-526</t>
  </si>
  <si>
    <t>Kepler-527</t>
  </si>
  <si>
    <t>Kepler-528</t>
  </si>
  <si>
    <t>Kepler-529</t>
  </si>
  <si>
    <t>Kepler-53</t>
  </si>
  <si>
    <t>Kepler-530</t>
  </si>
  <si>
    <t>Kepler-531</t>
  </si>
  <si>
    <t>Kepler-532</t>
  </si>
  <si>
    <t>Kepler-533</t>
  </si>
  <si>
    <t>Kepler-534</t>
  </si>
  <si>
    <t>Kepler-535</t>
  </si>
  <si>
    <t>Kepler-536</t>
  </si>
  <si>
    <t>Kepler-537</t>
  </si>
  <si>
    <t>Kepler-538</t>
  </si>
  <si>
    <t>Kepler-539</t>
  </si>
  <si>
    <t>Kepler-54</t>
  </si>
  <si>
    <t>Kepler-540</t>
  </si>
  <si>
    <t>Kepler-541</t>
  </si>
  <si>
    <t>Kepler-542</t>
  </si>
  <si>
    <t>Kepler-543</t>
  </si>
  <si>
    <t>Kepler-544</t>
  </si>
  <si>
    <t>Kepler-545</t>
  </si>
  <si>
    <t>Kepler-546</t>
  </si>
  <si>
    <t>Kepler-547</t>
  </si>
  <si>
    <t>Kepler-548</t>
  </si>
  <si>
    <t>Kepler-549</t>
  </si>
  <si>
    <t>Kepler-55</t>
  </si>
  <si>
    <t>Kepler-550</t>
  </si>
  <si>
    <t>Kepler-551</t>
  </si>
  <si>
    <t>Kepler-552</t>
  </si>
  <si>
    <t>Kepler-553</t>
  </si>
  <si>
    <t>Kepler-554</t>
  </si>
  <si>
    <t>Kepler-555</t>
  </si>
  <si>
    <t>Kepler-556</t>
  </si>
  <si>
    <t>Kepler-557</t>
  </si>
  <si>
    <t>Kepler-558</t>
  </si>
  <si>
    <t>Kepler-559</t>
  </si>
  <si>
    <t>Kepler-56</t>
  </si>
  <si>
    <t>Kepler-560</t>
  </si>
  <si>
    <t>Kepler-561</t>
  </si>
  <si>
    <t>Kepler-562</t>
  </si>
  <si>
    <t>Kepler-563</t>
  </si>
  <si>
    <t>Kepler-564</t>
  </si>
  <si>
    <t>Kepler-565</t>
  </si>
  <si>
    <t>Kepler-566</t>
  </si>
  <si>
    <t>Kepler-567</t>
  </si>
  <si>
    <t>Kepler-568</t>
  </si>
  <si>
    <t>Kepler-569</t>
  </si>
  <si>
    <t>Kepler-57</t>
  </si>
  <si>
    <t>Kepler-570</t>
  </si>
  <si>
    <t>Kepler-571</t>
  </si>
  <si>
    <t>Kepler-572</t>
  </si>
  <si>
    <t>Kepler-573</t>
  </si>
  <si>
    <t>Kepler-574</t>
  </si>
  <si>
    <t>Kepler-575</t>
  </si>
  <si>
    <t>Kepler-576</t>
  </si>
  <si>
    <t>Kepler-577</t>
  </si>
  <si>
    <t>Kepler-578</t>
  </si>
  <si>
    <t>Kepler-579</t>
  </si>
  <si>
    <t>Kepler-58</t>
  </si>
  <si>
    <t>Kepler-580</t>
  </si>
  <si>
    <t>Kepler-581</t>
  </si>
  <si>
    <t>Kepler-582</t>
  </si>
  <si>
    <t>Kepler-583</t>
  </si>
  <si>
    <t>Kepler-584</t>
  </si>
  <si>
    <t>Kepler-585</t>
  </si>
  <si>
    <t>Kepler-586</t>
  </si>
  <si>
    <t>Kepler-587</t>
  </si>
  <si>
    <t>Kepler-588</t>
  </si>
  <si>
    <t>Kepler-589</t>
  </si>
  <si>
    <t>Kepler-59</t>
  </si>
  <si>
    <t>Kepler-590</t>
  </si>
  <si>
    <t>Kepler-591</t>
  </si>
  <si>
    <t>Kepler-592</t>
  </si>
  <si>
    <t>Kepler-593</t>
  </si>
  <si>
    <t>Kepler-594</t>
  </si>
  <si>
    <t>Kepler-595</t>
  </si>
  <si>
    <t>Kepler-596</t>
  </si>
  <si>
    <t>Kepler-597</t>
  </si>
  <si>
    <t>Kepler-598</t>
  </si>
  <si>
    <t>Kepler-599</t>
  </si>
  <si>
    <t>Kepler-6</t>
  </si>
  <si>
    <t>Kepler-60</t>
  </si>
  <si>
    <t>Kepler-600</t>
  </si>
  <si>
    <t>Kepler-601</t>
  </si>
  <si>
    <t>Kepler-602</t>
  </si>
  <si>
    <t>Kepler-603</t>
  </si>
  <si>
    <t>Kepler-604</t>
  </si>
  <si>
    <t>Kepler-605</t>
  </si>
  <si>
    <t>Kepler-606</t>
  </si>
  <si>
    <t>Kepler-607</t>
  </si>
  <si>
    <t>Kepler-608</t>
  </si>
  <si>
    <t>Kepler-609</t>
  </si>
  <si>
    <t>Kepler-61</t>
  </si>
  <si>
    <t>Kepler-610</t>
  </si>
  <si>
    <t>Kepler-611</t>
  </si>
  <si>
    <t>Kepler-612</t>
  </si>
  <si>
    <t>Kepler-613</t>
  </si>
  <si>
    <t>Kepler-614</t>
  </si>
  <si>
    <t>Kepler-615</t>
  </si>
  <si>
    <t>Kepler-616</t>
  </si>
  <si>
    <t>Kepler-617</t>
  </si>
  <si>
    <t>Kepler-618</t>
  </si>
  <si>
    <t>Kepler-619</t>
  </si>
  <si>
    <t>Kepler-62</t>
  </si>
  <si>
    <t>Kepler-620</t>
  </si>
  <si>
    <t>Kepler-621</t>
  </si>
  <si>
    <t>Kepler-622</t>
  </si>
  <si>
    <t>Kepler-623</t>
  </si>
  <si>
    <t>Kepler-624</t>
  </si>
  <si>
    <t>Kepler-625</t>
  </si>
  <si>
    <t>Kepler-626</t>
  </si>
  <si>
    <t>Kepler-627</t>
  </si>
  <si>
    <t>Kepler-629</t>
  </si>
  <si>
    <t>Kepler-63</t>
  </si>
  <si>
    <t>Kepler-630</t>
  </si>
  <si>
    <t>Kepler-631</t>
  </si>
  <si>
    <t>Kepler-632</t>
  </si>
  <si>
    <t>Kepler-633</t>
  </si>
  <si>
    <t>Kepler-634</t>
  </si>
  <si>
    <t>Kepler-635</t>
  </si>
  <si>
    <t>Kepler-636</t>
  </si>
  <si>
    <t>Kepler-637</t>
  </si>
  <si>
    <t>Kepler-638</t>
  </si>
  <si>
    <t>Kepler-639</t>
  </si>
  <si>
    <t>Kepler-640</t>
  </si>
  <si>
    <t>Kepler-641</t>
  </si>
  <si>
    <t>Kepler-642</t>
  </si>
  <si>
    <t>Kepler-643</t>
  </si>
  <si>
    <t>Kepler-644</t>
  </si>
  <si>
    <t>Kepler-645</t>
  </si>
  <si>
    <t>Kepler-646</t>
  </si>
  <si>
    <t>Kepler-647</t>
  </si>
  <si>
    <t>Kepler-648</t>
  </si>
  <si>
    <t>Kepler-649</t>
  </si>
  <si>
    <t>Kepler-65</t>
  </si>
  <si>
    <t>Kepler-650</t>
  </si>
  <si>
    <t>Kepler-651</t>
  </si>
  <si>
    <t>Kepler-652</t>
  </si>
  <si>
    <t>Kepler-653</t>
  </si>
  <si>
    <t>Kepler-654</t>
  </si>
  <si>
    <t>Kepler-655</t>
  </si>
  <si>
    <t>Kepler-656</t>
  </si>
  <si>
    <t>Kepler-657</t>
  </si>
  <si>
    <t>Kepler-658</t>
  </si>
  <si>
    <t>Kepler-659</t>
  </si>
  <si>
    <t>Kepler-66</t>
  </si>
  <si>
    <t>Kepler-660</t>
  </si>
  <si>
    <t>Kepler-661</t>
  </si>
  <si>
    <t>Kepler-662</t>
  </si>
  <si>
    <t>Kepler-663</t>
  </si>
  <si>
    <t>Kepler-664</t>
  </si>
  <si>
    <t>Kepler-665</t>
  </si>
  <si>
    <t>Kepler-666</t>
  </si>
  <si>
    <t>Kepler-667</t>
  </si>
  <si>
    <t>Kepler-668</t>
  </si>
  <si>
    <t>Kepler-669</t>
  </si>
  <si>
    <t>Kepler-67</t>
  </si>
  <si>
    <t>Kepler-670</t>
  </si>
  <si>
    <t>Kepler-671</t>
  </si>
  <si>
    <t>Kepler-672</t>
  </si>
  <si>
    <t>Kepler-673</t>
  </si>
  <si>
    <t>Kepler-674</t>
  </si>
  <si>
    <t>Kepler-675</t>
  </si>
  <si>
    <t>Kepler-676</t>
  </si>
  <si>
    <t>Kepler-677</t>
  </si>
  <si>
    <t>Kepler-678</t>
  </si>
  <si>
    <t>Kepler-679</t>
  </si>
  <si>
    <t>Kepler-68</t>
  </si>
  <si>
    <t>Kepler-680</t>
  </si>
  <si>
    <t>Kepler-681</t>
  </si>
  <si>
    <t>Kepler-682</t>
  </si>
  <si>
    <t>Kepler-683</t>
  </si>
  <si>
    <t>Kepler-684</t>
  </si>
  <si>
    <t>Kepler-685</t>
  </si>
  <si>
    <t>Kepler-686</t>
  </si>
  <si>
    <t>Kepler-687</t>
  </si>
  <si>
    <t>Kepler-688</t>
  </si>
  <si>
    <t>Kepler-689</t>
  </si>
  <si>
    <t>Kepler-69</t>
  </si>
  <si>
    <t>Kepler-690</t>
  </si>
  <si>
    <t>Kepler-691</t>
  </si>
  <si>
    <t>Kepler-692</t>
  </si>
  <si>
    <t>Kepler-693</t>
  </si>
  <si>
    <t>Kepler-694</t>
  </si>
  <si>
    <t>Kepler-695</t>
  </si>
  <si>
    <t>Kepler-696</t>
  </si>
  <si>
    <t>Kepler-697</t>
  </si>
  <si>
    <t>Kepler-698</t>
  </si>
  <si>
    <t>Kepler-7</t>
  </si>
  <si>
    <t>Kepler-700</t>
  </si>
  <si>
    <t>Kepler-701</t>
  </si>
  <si>
    <t>Kepler-702</t>
  </si>
  <si>
    <t>Kepler-703</t>
  </si>
  <si>
    <t>Kepler-704</t>
  </si>
  <si>
    <t>Kepler-705</t>
  </si>
  <si>
    <t>Kepler-707</t>
  </si>
  <si>
    <t>Kepler-708</t>
  </si>
  <si>
    <t>Kepler-709</t>
  </si>
  <si>
    <t>Kepler-710</t>
  </si>
  <si>
    <t>Kepler-711</t>
  </si>
  <si>
    <t>Kepler-712</t>
  </si>
  <si>
    <t>Kepler-713</t>
  </si>
  <si>
    <t>Kepler-714</t>
  </si>
  <si>
    <t>Kepler-715</t>
  </si>
  <si>
    <t>Kepler-716</t>
  </si>
  <si>
    <t>Kepler-717</t>
  </si>
  <si>
    <t>Kepler-718</t>
  </si>
  <si>
    <t>Kepler-719</t>
  </si>
  <si>
    <t>Kepler-720</t>
  </si>
  <si>
    <t>Kepler-721</t>
  </si>
  <si>
    <t>Kepler-722</t>
  </si>
  <si>
    <t>Kepler-723</t>
  </si>
  <si>
    <t>Kepler-724</t>
  </si>
  <si>
    <t>Kepler-725</t>
  </si>
  <si>
    <t>Kepler-726</t>
  </si>
  <si>
    <t>Kepler-727</t>
  </si>
  <si>
    <t>Kepler-728</t>
  </si>
  <si>
    <t>Kepler-729</t>
  </si>
  <si>
    <t>Kepler-730</t>
  </si>
  <si>
    <t>Kepler-731</t>
  </si>
  <si>
    <t>Kepler-732</t>
  </si>
  <si>
    <t>Kepler-733</t>
  </si>
  <si>
    <t>Kepler-734</t>
  </si>
  <si>
    <t>Kepler-735</t>
  </si>
  <si>
    <t>Kepler-736</t>
  </si>
  <si>
    <t>Kepler-737</t>
  </si>
  <si>
    <t>Kepler-738</t>
  </si>
  <si>
    <t>Kepler-739</t>
  </si>
  <si>
    <t>Kepler-74</t>
  </si>
  <si>
    <t>Kepler-740</t>
  </si>
  <si>
    <t>Kepler-741</t>
  </si>
  <si>
    <t>Kepler-742</t>
  </si>
  <si>
    <t>Kepler-743</t>
  </si>
  <si>
    <t>Kepler-744</t>
  </si>
  <si>
    <t>Kepler-745</t>
  </si>
  <si>
    <t>Kepler-746</t>
  </si>
  <si>
    <t>Kepler-747</t>
  </si>
  <si>
    <t>Kepler-748</t>
  </si>
  <si>
    <t>Kepler-749</t>
  </si>
  <si>
    <t>Kepler-75</t>
  </si>
  <si>
    <t>Kepler-750</t>
  </si>
  <si>
    <t>Kepler-751</t>
  </si>
  <si>
    <t>Kepler-752</t>
  </si>
  <si>
    <t>Kepler-753</t>
  </si>
  <si>
    <t>Kepler-754</t>
  </si>
  <si>
    <t>Kepler-755</t>
  </si>
  <si>
    <t>Kepler-756</t>
  </si>
  <si>
    <t>Kepler-757</t>
  </si>
  <si>
    <t>Kepler-758</t>
  </si>
  <si>
    <t>Kepler-759</t>
  </si>
  <si>
    <t>Kepler-76</t>
  </si>
  <si>
    <t>Kepler-760</t>
  </si>
  <si>
    <t>Kepler-761</t>
  </si>
  <si>
    <t>Kepler-762</t>
  </si>
  <si>
    <t>Kepler-763</t>
  </si>
  <si>
    <t>Kepler-764</t>
  </si>
  <si>
    <t>Kepler-765</t>
  </si>
  <si>
    <t>Kepler-766</t>
  </si>
  <si>
    <t>Kepler-767</t>
  </si>
  <si>
    <t>Kepler-768</t>
  </si>
  <si>
    <t>Kepler-769</t>
  </si>
  <si>
    <t>Kepler-77</t>
  </si>
  <si>
    <t>Kepler-770</t>
  </si>
  <si>
    <t>Kepler-771</t>
  </si>
  <si>
    <t>Kepler-772</t>
  </si>
  <si>
    <t>Kepler-773</t>
  </si>
  <si>
    <t>Kepler-774</t>
  </si>
  <si>
    <t>Kepler-775</t>
  </si>
  <si>
    <t>Kepler-776</t>
  </si>
  <si>
    <t>Kepler-777</t>
  </si>
  <si>
    <t>Kepler-778</t>
  </si>
  <si>
    <t>Kepler-779</t>
  </si>
  <si>
    <t>Kepler-78</t>
  </si>
  <si>
    <t>Kepler-780</t>
  </si>
  <si>
    <t>Kepler-781</t>
  </si>
  <si>
    <t>Kepler-782</t>
  </si>
  <si>
    <t>Kepler-783</t>
  </si>
  <si>
    <t>Kepler-784</t>
  </si>
  <si>
    <t>Kepler-785</t>
  </si>
  <si>
    <t>Kepler-786</t>
  </si>
  <si>
    <t>Kepler-787</t>
  </si>
  <si>
    <t>Kepler-788</t>
  </si>
  <si>
    <t>Kepler-789</t>
  </si>
  <si>
    <t>Kepler-79</t>
  </si>
  <si>
    <t>Kepler-790</t>
  </si>
  <si>
    <t>Kepler-791</t>
  </si>
  <si>
    <t>Kepler-792</t>
  </si>
  <si>
    <t>Kepler-793</t>
  </si>
  <si>
    <t>Kepler-794</t>
  </si>
  <si>
    <t>Kepler-795</t>
  </si>
  <si>
    <t>Kepler-796</t>
  </si>
  <si>
    <t>Kepler-797</t>
  </si>
  <si>
    <t>Kepler-798</t>
  </si>
  <si>
    <t>Kepler-799</t>
  </si>
  <si>
    <t>Kepler-8</t>
  </si>
  <si>
    <t>Kepler-80</t>
  </si>
  <si>
    <t>Kepler-800</t>
  </si>
  <si>
    <t>Kepler-801</t>
  </si>
  <si>
    <t>Kepler-802</t>
  </si>
  <si>
    <t>Kepler-803</t>
  </si>
  <si>
    <t>Kepler-804</t>
  </si>
  <si>
    <t>Kepler-805</t>
  </si>
  <si>
    <t>Kepler-806</t>
  </si>
  <si>
    <t>Kepler-808</t>
  </si>
  <si>
    <t>Kepler-809</t>
  </si>
  <si>
    <t>Kepler-81</t>
  </si>
  <si>
    <t>Kepler-810</t>
  </si>
  <si>
    <t>Kepler-811</t>
  </si>
  <si>
    <t>Kepler-812</t>
  </si>
  <si>
    <t>Kepler-813</t>
  </si>
  <si>
    <t>Kepler-814</t>
  </si>
  <si>
    <t>Kepler-815</t>
  </si>
  <si>
    <t>Kepler-816</t>
  </si>
  <si>
    <t>Kepler-817</t>
  </si>
  <si>
    <t>Kepler-818</t>
  </si>
  <si>
    <t>Kepler-819</t>
  </si>
  <si>
    <t>Kepler-82</t>
  </si>
  <si>
    <t>Kepler-820</t>
  </si>
  <si>
    <t>Kepler-821</t>
  </si>
  <si>
    <t>Kepler-822</t>
  </si>
  <si>
    <t>Kepler-823</t>
  </si>
  <si>
    <t>Kepler-824</t>
  </si>
  <si>
    <t>Kepler-825</t>
  </si>
  <si>
    <t>Kepler-826</t>
  </si>
  <si>
    <t>Kepler-827</t>
  </si>
  <si>
    <t>Kepler-828</t>
  </si>
  <si>
    <t>Kepler-829</t>
  </si>
  <si>
    <t>Kepler-83</t>
  </si>
  <si>
    <t>Kepler-830</t>
  </si>
  <si>
    <t>Kepler-831</t>
  </si>
  <si>
    <t>Kepler-832</t>
  </si>
  <si>
    <t>Kepler-833</t>
  </si>
  <si>
    <t>Kepler-834</t>
  </si>
  <si>
    <t>Kepler-835</t>
  </si>
  <si>
    <t>Kepler-836</t>
  </si>
  <si>
    <t>Kepler-837</t>
  </si>
  <si>
    <t>Kepler-838</t>
  </si>
  <si>
    <t>Kepler-839</t>
  </si>
  <si>
    <t>Kepler-84</t>
  </si>
  <si>
    <t>Kepler-841</t>
  </si>
  <si>
    <t>Kepler-842</t>
  </si>
  <si>
    <t>Kepler-843</t>
  </si>
  <si>
    <t>Kepler-844</t>
  </si>
  <si>
    <t>Kepler-845</t>
  </si>
  <si>
    <t>Kepler-846</t>
  </si>
  <si>
    <t>Kepler-847</t>
  </si>
  <si>
    <t>Kepler-848</t>
  </si>
  <si>
    <t>Kepler-849</t>
  </si>
  <si>
    <t>Kepler-85</t>
  </si>
  <si>
    <t>Kepler-850</t>
  </si>
  <si>
    <t>Kepler-851</t>
  </si>
  <si>
    <t>Kepler-852</t>
  </si>
  <si>
    <t>Kepler-853</t>
  </si>
  <si>
    <t>Kepler-855</t>
  </si>
  <si>
    <t>Kepler-856</t>
  </si>
  <si>
    <t>Kepler-857</t>
  </si>
  <si>
    <t>Kepler-858</t>
  </si>
  <si>
    <t>Kepler-859</t>
  </si>
  <si>
    <t>Kepler-860</t>
  </si>
  <si>
    <t>Kepler-861</t>
  </si>
  <si>
    <t>Kepler-862</t>
  </si>
  <si>
    <t>Kepler-863</t>
  </si>
  <si>
    <t>Kepler-864</t>
  </si>
  <si>
    <t>Kepler-865</t>
  </si>
  <si>
    <t>Kepler-866</t>
  </si>
  <si>
    <t>Kepler-867</t>
  </si>
  <si>
    <t>Kepler-868</t>
  </si>
  <si>
    <t>Kepler-869</t>
  </si>
  <si>
    <t>Kepler-87</t>
  </si>
  <si>
    <t>Kepler-870</t>
  </si>
  <si>
    <t>Kepler-871</t>
  </si>
  <si>
    <t>Kepler-872</t>
  </si>
  <si>
    <t>Kepler-873</t>
  </si>
  <si>
    <t>Kepler-874</t>
  </si>
  <si>
    <t>Kepler-875</t>
  </si>
  <si>
    <t>Kepler-876</t>
  </si>
  <si>
    <t>Kepler-877</t>
  </si>
  <si>
    <t>Kepler-878</t>
  </si>
  <si>
    <t>Kepler-879</t>
  </si>
  <si>
    <t>Kepler-880</t>
  </si>
  <si>
    <t>Kepler-881</t>
  </si>
  <si>
    <t>Kepler-882</t>
  </si>
  <si>
    <t>Kepler-883</t>
  </si>
  <si>
    <t>Kepler-884</t>
  </si>
  <si>
    <t>Kepler-885</t>
  </si>
  <si>
    <t>Kepler-886</t>
  </si>
  <si>
    <t>Kepler-887</t>
  </si>
  <si>
    <t>Kepler-888</t>
  </si>
  <si>
    <t>Kepler-889</t>
  </si>
  <si>
    <t>Kepler-890</t>
  </si>
  <si>
    <t>Kepler-891</t>
  </si>
  <si>
    <t>Kepler-892</t>
  </si>
  <si>
    <t>Kepler-893</t>
  </si>
  <si>
    <t>Kepler-894</t>
  </si>
  <si>
    <t>Kepler-895</t>
  </si>
  <si>
    <t>Kepler-896</t>
  </si>
  <si>
    <t>Kepler-897</t>
  </si>
  <si>
    <t>Kepler-898</t>
  </si>
  <si>
    <t>Kepler-899</t>
  </si>
  <si>
    <t>Kepler-9</t>
  </si>
  <si>
    <t>Kepler-900</t>
  </si>
  <si>
    <t>Kepler-901</t>
  </si>
  <si>
    <t>Kepler-902</t>
  </si>
  <si>
    <t>Kepler-903</t>
  </si>
  <si>
    <t>Kepler-904</t>
  </si>
  <si>
    <t>Kepler-905</t>
  </si>
  <si>
    <t>Kepler-906</t>
  </si>
  <si>
    <t>Kepler-907</t>
  </si>
  <si>
    <t>Kepler-908</t>
  </si>
  <si>
    <t>Kepler-909</t>
  </si>
  <si>
    <t>Kepler-91</t>
  </si>
  <si>
    <t>Kepler-910</t>
  </si>
  <si>
    <t>Kepler-911</t>
  </si>
  <si>
    <t>Kepler-912</t>
  </si>
  <si>
    <t>Kepler-913</t>
  </si>
  <si>
    <t>Kepler-914</t>
  </si>
  <si>
    <t>Kepler-915</t>
  </si>
  <si>
    <t>Kepler-916</t>
  </si>
  <si>
    <t>Kepler-917</t>
  </si>
  <si>
    <t>Kepler-918</t>
  </si>
  <si>
    <t>Kepler-919</t>
  </si>
  <si>
    <t>Kepler-92</t>
  </si>
  <si>
    <t>Kepler-920</t>
  </si>
  <si>
    <t>Kepler-921</t>
  </si>
  <si>
    <t>Kepler-922</t>
  </si>
  <si>
    <t>Kepler-923</t>
  </si>
  <si>
    <t>Kepler-924</t>
  </si>
  <si>
    <t>Kepler-925</t>
  </si>
  <si>
    <t>Kepler-926</t>
  </si>
  <si>
    <t>Kepler-927</t>
  </si>
  <si>
    <t>Kepler-928</t>
  </si>
  <si>
    <t>Kepler-929</t>
  </si>
  <si>
    <t>Kepler-93</t>
  </si>
  <si>
    <t>Kepler-930</t>
  </si>
  <si>
    <t>Kepler-931</t>
  </si>
  <si>
    <t>Kepler-932</t>
  </si>
  <si>
    <t>Kepler-933</t>
  </si>
  <si>
    <t>Kepler-934</t>
  </si>
  <si>
    <t>Kepler-935</t>
  </si>
  <si>
    <t>Kepler-936</t>
  </si>
  <si>
    <t>Kepler-937</t>
  </si>
  <si>
    <t>Kepler-938</t>
  </si>
  <si>
    <t>Kepler-939</t>
  </si>
  <si>
    <t>Kepler-94</t>
  </si>
  <si>
    <t>Kepler-940</t>
  </si>
  <si>
    <t>Kepler-941</t>
  </si>
  <si>
    <t>Kepler-942</t>
  </si>
  <si>
    <t>Kepler-943</t>
  </si>
  <si>
    <t>Kepler-944</t>
  </si>
  <si>
    <t>Kepler-945</t>
  </si>
  <si>
    <t>Kepler-946</t>
  </si>
  <si>
    <t>Kepler-947</t>
  </si>
  <si>
    <t>Kepler-948</t>
  </si>
  <si>
    <t>Kepler-949</t>
  </si>
  <si>
    <t>Kepler-95</t>
  </si>
  <si>
    <t>Kepler-950</t>
  </si>
  <si>
    <t>Kepler-951</t>
  </si>
  <si>
    <t>Kepler-952</t>
  </si>
  <si>
    <t>Kepler-953</t>
  </si>
  <si>
    <t>Kepler-954</t>
  </si>
  <si>
    <t>Kepler-955</t>
  </si>
  <si>
    <t>Kepler-956</t>
  </si>
  <si>
    <t>Kepler-957</t>
  </si>
  <si>
    <t>Kepler-958</t>
  </si>
  <si>
    <t>Kepler-959</t>
  </si>
  <si>
    <t>Kepler-96</t>
  </si>
  <si>
    <t>Kepler-960</t>
  </si>
  <si>
    <t>Kepler-961</t>
  </si>
  <si>
    <t>Kepler-962</t>
  </si>
  <si>
    <t>Kepler-963</t>
  </si>
  <si>
    <t>Kepler-964</t>
  </si>
  <si>
    <t>Kepler-965</t>
  </si>
  <si>
    <t>Kepler-966</t>
  </si>
  <si>
    <t>Kepler-967</t>
  </si>
  <si>
    <t>Kepler-968</t>
  </si>
  <si>
    <t>Kepler-969</t>
  </si>
  <si>
    <t>Kepler-97</t>
  </si>
  <si>
    <t>Kepler-970</t>
  </si>
  <si>
    <t>Kepler-971</t>
  </si>
  <si>
    <t>Kepler-972</t>
  </si>
  <si>
    <t>Kepler-973</t>
  </si>
  <si>
    <t>Kepler-974</t>
  </si>
  <si>
    <t>Kepler-975</t>
  </si>
  <si>
    <t>Kepler-976</t>
  </si>
  <si>
    <t>Kepler-977</t>
  </si>
  <si>
    <t>Kepler-978</t>
  </si>
  <si>
    <t>Kepler-979</t>
  </si>
  <si>
    <t>Kepler-98</t>
  </si>
  <si>
    <t>Kepler-980</t>
  </si>
  <si>
    <t>Kepler-981</t>
  </si>
  <si>
    <t>Kepler-982</t>
  </si>
  <si>
    <t>Kepler-983</t>
  </si>
  <si>
    <t>Kepler-984</t>
  </si>
  <si>
    <t>Kepler-985</t>
  </si>
  <si>
    <t>Kepler-986</t>
  </si>
  <si>
    <t>Kepler-987</t>
  </si>
  <si>
    <t>Kepler-988</t>
  </si>
  <si>
    <t>Kepler-989</t>
  </si>
  <si>
    <t>Kepler-99</t>
  </si>
  <si>
    <t>Kepler-990</t>
  </si>
  <si>
    <t>Kepler-991</t>
  </si>
  <si>
    <t>Kepler-992</t>
  </si>
  <si>
    <t>Kepler-993</t>
  </si>
  <si>
    <t>Kepler-994</t>
  </si>
  <si>
    <t>Kepler-995</t>
  </si>
  <si>
    <t>Kepler-996</t>
  </si>
  <si>
    <t>Kepler-997</t>
  </si>
  <si>
    <t>Kepler-998</t>
  </si>
  <si>
    <t>Kepler-999</t>
  </si>
  <si>
    <t>L 168-9</t>
  </si>
  <si>
    <t>L 363-38</t>
  </si>
  <si>
    <t>L 98-59</t>
  </si>
  <si>
    <t>LHS 1140</t>
  </si>
  <si>
    <t>LHS 1478</t>
  </si>
  <si>
    <t>LHS 1678</t>
  </si>
  <si>
    <t>LHS 1815</t>
  </si>
  <si>
    <t>LHS 1903</t>
  </si>
  <si>
    <t>LHS 3154</t>
  </si>
  <si>
    <t>LHS 3844</t>
  </si>
  <si>
    <t>LHS 475</t>
  </si>
  <si>
    <t>LP 261-75 A</t>
  </si>
  <si>
    <t>LP 714-47</t>
  </si>
  <si>
    <t>LP 791-18</t>
  </si>
  <si>
    <t>LP 890-9</t>
  </si>
  <si>
    <t>LSPM J2116+0234</t>
  </si>
  <si>
    <t>LTT 3780</t>
  </si>
  <si>
    <t>LTT 9779</t>
  </si>
  <si>
    <t>LkCa 15</t>
  </si>
  <si>
    <t>Luhman 16 A</t>
  </si>
  <si>
    <t>Lupus-TR-3</t>
  </si>
  <si>
    <t>M62H</t>
  </si>
  <si>
    <t>MASCARA-1</t>
  </si>
  <si>
    <t>MASCARA-4</t>
  </si>
  <si>
    <t>MOA-2007-BLG-192L</t>
  </si>
  <si>
    <t>MOA-2007-BLG-400L</t>
  </si>
  <si>
    <t>MOA-2008-BLG-310L</t>
  </si>
  <si>
    <t>MOA-2008-BLG-379L</t>
  </si>
  <si>
    <t>MOA-2009-BLG-266L</t>
  </si>
  <si>
    <t>MOA-2009-BLG-319L</t>
  </si>
  <si>
    <t>MOA-2009-BLG-387L</t>
  </si>
  <si>
    <t>MOA-2010-BLG-073L</t>
  </si>
  <si>
    <t>MOA-2010-BLG-117L</t>
  </si>
  <si>
    <t>MOA-2010-BLG-328L</t>
  </si>
  <si>
    <t>MOA-2010-BLG-353L</t>
  </si>
  <si>
    <t>MOA-2010-BLG-477L</t>
  </si>
  <si>
    <t>MOA-2011-BLG-028L</t>
  </si>
  <si>
    <t>MOA-2011-BLG-262L</t>
  </si>
  <si>
    <t>MOA-2011-BLG-291L</t>
  </si>
  <si>
    <t>MOA-2011-BLG-293L</t>
  </si>
  <si>
    <t>MOA-2011-BLG-322L</t>
  </si>
  <si>
    <t>MOA-2012-BLG-006L</t>
  </si>
  <si>
    <t>MOA-2012-BLG-505L</t>
  </si>
  <si>
    <t>MOA-2013-BLG-220L</t>
  </si>
  <si>
    <t>MOA-2013-BLG-605L</t>
  </si>
  <si>
    <t>MOA-2015-BLG-337L</t>
  </si>
  <si>
    <t>MOA-2016-BLG-227L</t>
  </si>
  <si>
    <t>MOA-2016-BLG-319L</t>
  </si>
  <si>
    <t>MOA-2016-BLG-526L</t>
  </si>
  <si>
    <t>MOA-2019-BLG-008L</t>
  </si>
  <si>
    <t>MOA-2020-BLG-108L</t>
  </si>
  <si>
    <t>MOA-2020-BLG-135L</t>
  </si>
  <si>
    <t>MOA-2020-BLG-208L</t>
  </si>
  <si>
    <t>MOA-2022-BLG-033L</t>
  </si>
  <si>
    <t>MOA-2022-BLG-091L</t>
  </si>
  <si>
    <t>MOA-2022-BLG-249L</t>
  </si>
  <si>
    <t>MOA-2022-BLG-563L</t>
  </si>
  <si>
    <t>MOA-bin-1L</t>
  </si>
  <si>
    <t>MOA-bin-29</t>
  </si>
  <si>
    <t>MWC 758</t>
  </si>
  <si>
    <t>MXB 1658-298</t>
  </si>
  <si>
    <t>NGC 2682 Sand 1429</t>
  </si>
  <si>
    <t>NGC 2682 Sand 978</t>
  </si>
  <si>
    <t>NGC 2682 YBP 1194</t>
  </si>
  <si>
    <t>NGC 2682 YBP 1514</t>
  </si>
  <si>
    <t>NGC 2682 YBP 401</t>
  </si>
  <si>
    <t>NGTS-1</t>
  </si>
  <si>
    <t>NGTS-10</t>
  </si>
  <si>
    <t>NGTS-11</t>
  </si>
  <si>
    <t>NGTS-12</t>
  </si>
  <si>
    <t>NGTS-13</t>
  </si>
  <si>
    <t>NGTS-14 A</t>
  </si>
  <si>
    <t>NGTS-15</t>
  </si>
  <si>
    <t>NGTS-16</t>
  </si>
  <si>
    <t>NGTS-17</t>
  </si>
  <si>
    <t>NGTS-18</t>
  </si>
  <si>
    <t>NGTS-2</t>
  </si>
  <si>
    <t>NGTS-20</t>
  </si>
  <si>
    <t>NGTS-21</t>
  </si>
  <si>
    <t>NGTS-23</t>
  </si>
  <si>
    <t>NGTS-24</t>
  </si>
  <si>
    <t>NGTS-25</t>
  </si>
  <si>
    <t>NGTS-26</t>
  </si>
  <si>
    <t>NGTS-27</t>
  </si>
  <si>
    <t>NGTS-3 A</t>
  </si>
  <si>
    <t>NGTS-30</t>
  </si>
  <si>
    <t>NGTS-31</t>
  </si>
  <si>
    <t>NGTS-32</t>
  </si>
  <si>
    <t>NGTS-33</t>
  </si>
  <si>
    <t>NGTS-34</t>
  </si>
  <si>
    <t>NGTS-35</t>
  </si>
  <si>
    <t>NGTS-38</t>
  </si>
  <si>
    <t>NGTS-39</t>
  </si>
  <si>
    <t>NGTS-4</t>
  </si>
  <si>
    <t>NGTS-5</t>
  </si>
  <si>
    <t>NGTS-6</t>
  </si>
  <si>
    <t>NGTS-8</t>
  </si>
  <si>
    <t>NGTS-9</t>
  </si>
  <si>
    <t>NN Ser</t>
  </si>
  <si>
    <t>NSVS 14256825</t>
  </si>
  <si>
    <t>NY Vir</t>
  </si>
  <si>
    <t>OGLE-2003-BLG-235L</t>
  </si>
  <si>
    <t>OGLE-2005-BLG-071L</t>
  </si>
  <si>
    <t>OGLE-2005-BLG-169L</t>
  </si>
  <si>
    <t>OGLE-2005-BLG-390L</t>
  </si>
  <si>
    <t>OGLE-2006-BLG-109L</t>
  </si>
  <si>
    <t>OGLE-2006-BLG-284L A</t>
  </si>
  <si>
    <t>OGLE-2007-BLG-349L A</t>
  </si>
  <si>
    <t>OGLE-2007-BLG-368L</t>
  </si>
  <si>
    <t>OGLE-2008-BLG-092L</t>
  </si>
  <si>
    <t>OGLE-2008-BLG-355L</t>
  </si>
  <si>
    <t>OGLE-2011-BLG-0173L</t>
  </si>
  <si>
    <t>OGLE-2011-BLG-0251L</t>
  </si>
  <si>
    <t>OGLE-2011-BLG-0265L</t>
  </si>
  <si>
    <t>OGLE-2012-BLG-0026L</t>
  </si>
  <si>
    <t>OGLE-2012-BLG-0358L</t>
  </si>
  <si>
    <t>OGLE-2012-BLG-0406L</t>
  </si>
  <si>
    <t>OGLE-2012-BLG-0563L</t>
  </si>
  <si>
    <t>OGLE-2012-BLG-0724L</t>
  </si>
  <si>
    <t>OGLE-2012-BLG-0838L</t>
  </si>
  <si>
    <t>OGLE-2012-BLG-0950L</t>
  </si>
  <si>
    <t>OGLE-2013-BLG-0102L</t>
  </si>
  <si>
    <t>OGLE-2013-BLG-0132L</t>
  </si>
  <si>
    <t>OGLE-2013-BLG-0341L B</t>
  </si>
  <si>
    <t>OGLE-2013-BLG-0911L</t>
  </si>
  <si>
    <t>OGLE-2013-BLG-1721L</t>
  </si>
  <si>
    <t>OGLE-2013-BLG-1761L</t>
  </si>
  <si>
    <t>OGLE-2014-BLG-0124L</t>
  </si>
  <si>
    <t>OGLE-2014-BLG-0221L</t>
  </si>
  <si>
    <t>OGLE-2014-BLG-0319L</t>
  </si>
  <si>
    <t>OGLE-2014-BLG-0676L</t>
  </si>
  <si>
    <t>OGLE-2014-BLG-1722L</t>
  </si>
  <si>
    <t>OGLE-2014-BLG-1760L</t>
  </si>
  <si>
    <t>OGLE-2015-BLG-0051L</t>
  </si>
  <si>
    <t>OGLE-2015-BLG-0954L</t>
  </si>
  <si>
    <t>OGLE-2015-BLG-0966L</t>
  </si>
  <si>
    <t>OGLE-2015-BLG-1609L</t>
  </si>
  <si>
    <t>OGLE-2015-BLG-1649L</t>
  </si>
  <si>
    <t>OGLE-2015-BLG-1670L</t>
  </si>
  <si>
    <t>OGLE-2015-BLG-1771L</t>
  </si>
  <si>
    <t>OGLE-2016-BLG-0007L</t>
  </si>
  <si>
    <t>OGLE-2016-BLG-0261L</t>
  </si>
  <si>
    <t>OGLE-2016-BLG-0263L</t>
  </si>
  <si>
    <t>OGLE-2016-BLG-0613L AB</t>
  </si>
  <si>
    <t>OGLE-2016-BLG-1067L</t>
  </si>
  <si>
    <t>OGLE-2016-BLG-1093L</t>
  </si>
  <si>
    <t>OGLE-2016-BLG-1190L</t>
  </si>
  <si>
    <t>OGLE-2016-BLG-1195L</t>
  </si>
  <si>
    <t>OGLE-2016-BLG-1227L</t>
  </si>
  <si>
    <t>OGLE-2016-BLG-1266L</t>
  </si>
  <si>
    <t>OGLE-2016-BLG-1598L</t>
  </si>
  <si>
    <t>OGLE-2016-BLG-1800L</t>
  </si>
  <si>
    <t>OGLE-2017-BLG-0173L</t>
  </si>
  <si>
    <t>OGLE-2017-BLG-0364L</t>
  </si>
  <si>
    <t>OGLE-2017-BLG-0373L</t>
  </si>
  <si>
    <t>OGLE-2017-BLG-0406L</t>
  </si>
  <si>
    <t>OGLE-2017-BLG-0448L</t>
  </si>
  <si>
    <t>OGLE-2017-BLG-0482L</t>
  </si>
  <si>
    <t>OGLE-2017-BLG-0604L</t>
  </si>
  <si>
    <t>OGLE-2017-BLG-0640L</t>
  </si>
  <si>
    <t>OGLE-2017-BLG-1049L</t>
  </si>
  <si>
    <t>OGLE-2017-BLG-1099L</t>
  </si>
  <si>
    <t>OGLE-2017-BLG-1140L</t>
  </si>
  <si>
    <t>OGLE-2017-BLG-1237L</t>
  </si>
  <si>
    <t>OGLE-2017-BLG-1275L</t>
  </si>
  <si>
    <t>OGLE-2017-BLG-1375L</t>
  </si>
  <si>
    <t>OGLE-2017-BLG-1434L</t>
  </si>
  <si>
    <t>OGLE-2017-BLG-1522L</t>
  </si>
  <si>
    <t>OGLE-2017-BLG-1691L</t>
  </si>
  <si>
    <t>OGLE-2017-BLG-1806L</t>
  </si>
  <si>
    <t>OGLE-2018-BLG-0298L</t>
  </si>
  <si>
    <t>OGLE-2018-BLG-0383L</t>
  </si>
  <si>
    <t>OGLE-2018-BLG-0506L</t>
  </si>
  <si>
    <t>OGLE-2018-BLG-0516L</t>
  </si>
  <si>
    <t>OGLE-2018-BLG-0532L</t>
  </si>
  <si>
    <t>OGLE-2018-BLG-0567L</t>
  </si>
  <si>
    <t>OGLE-2018-BLG-0596L</t>
  </si>
  <si>
    <t>OGLE-2018-BLG-0677L</t>
  </si>
  <si>
    <t>OGLE-2018-BLG-0740L</t>
  </si>
  <si>
    <t>OGLE-2018-BLG-0799L</t>
  </si>
  <si>
    <t>OGLE-2018-BLG-0932L</t>
  </si>
  <si>
    <t>OGLE-2018-BLG-0962L</t>
  </si>
  <si>
    <t>OGLE-2018-BLG-0977L</t>
  </si>
  <si>
    <t>OGLE-2018-BLG-1011L</t>
  </si>
  <si>
    <t>OGLE-2018-BLG-1119L</t>
  </si>
  <si>
    <t>OGLE-2018-BLG-1126L</t>
  </si>
  <si>
    <t>OGLE-2018-BLG-1185L</t>
  </si>
  <si>
    <t>OGLE-2018-BLG-1212L</t>
  </si>
  <si>
    <t>OGLE-2018-BLG-1269L</t>
  </si>
  <si>
    <t>OGLE-2018-BLG-1367L</t>
  </si>
  <si>
    <t>OGLE-2018-BLG-1428L</t>
  </si>
  <si>
    <t>OGLE-2018-BLG-1647L</t>
  </si>
  <si>
    <t>OGLE-2018-BLG-1700L</t>
  </si>
  <si>
    <t>OGLE-2019-BLG-0249L</t>
  </si>
  <si>
    <t>OGLE-2019-BLG-0299L</t>
  </si>
  <si>
    <t>OGLE-2019-BLG-0304L</t>
  </si>
  <si>
    <t>OGLE-2019-BLG-0362L</t>
  </si>
  <si>
    <t>OGLE-2019-BLG-0468L</t>
  </si>
  <si>
    <t>OGLE-2019-BLG-0679L</t>
  </si>
  <si>
    <t>OGLE-2019-BLG-0954L</t>
  </si>
  <si>
    <t>OGLE-2019-BLG-0960L</t>
  </si>
  <si>
    <t>OGLE-2019-BLG-1053L</t>
  </si>
  <si>
    <t>OGLE-2019-BLG-1180L</t>
  </si>
  <si>
    <t>OGLE-2019-BLG-1470L A</t>
  </si>
  <si>
    <t>OGLE-2019-BLG-1492L</t>
  </si>
  <si>
    <t>OGLE-2023-BLG-0766L</t>
  </si>
  <si>
    <t>OGLE-2023-BLG-0836L</t>
  </si>
  <si>
    <t>OGLE-TR-10</t>
  </si>
  <si>
    <t>OGLE-TR-111</t>
  </si>
  <si>
    <t>OGLE-TR-113</t>
  </si>
  <si>
    <t>OGLE-TR-132</t>
  </si>
  <si>
    <t>OGLE-TR-182</t>
  </si>
  <si>
    <t>OGLE-TR-211</t>
  </si>
  <si>
    <t>OGLE-TR-56</t>
  </si>
  <si>
    <t>OGLE2-TR-L9</t>
  </si>
  <si>
    <t>Oph 11</t>
  </si>
  <si>
    <t>PDS 70</t>
  </si>
  <si>
    <t>PH1</t>
  </si>
  <si>
    <t>PH2</t>
  </si>
  <si>
    <t>POTS-1</t>
  </si>
  <si>
    <t>PSR B0329+54</t>
  </si>
  <si>
    <t>PSR B1257+12</t>
  </si>
  <si>
    <t>PSR B1620-26</t>
  </si>
  <si>
    <t>PSR J1719-1438</t>
  </si>
  <si>
    <t>PSR J2322-2650</t>
  </si>
  <si>
    <t>PZ Tel</t>
  </si>
  <si>
    <t>92390</t>
  </si>
  <si>
    <t>HIP 92680</t>
  </si>
  <si>
    <t>Pr0201</t>
  </si>
  <si>
    <t>Pr0211</t>
  </si>
  <si>
    <t>HIP 70890; https://simbad.u-strasbg.fr/simbad/sim-id?Ident=Proxima+Centauri; Abbreviated constellation in NASA host name</t>
  </si>
  <si>
    <t>Qatar-1</t>
  </si>
  <si>
    <t>Qatar-10</t>
  </si>
  <si>
    <t>Qatar-2</t>
  </si>
  <si>
    <t>Qatar-3</t>
  </si>
  <si>
    <t>Qatar-4</t>
  </si>
  <si>
    <t>Qatar-5</t>
  </si>
  <si>
    <t>Qatar-6</t>
  </si>
  <si>
    <t>Qatar-7</t>
  </si>
  <si>
    <t>Qatar-8</t>
  </si>
  <si>
    <t>Qatar-9</t>
  </si>
  <si>
    <t>ROXs 12</t>
  </si>
  <si>
    <t>ROXs 42 B</t>
  </si>
  <si>
    <t>Ross 176</t>
  </si>
  <si>
    <t>Ross 458</t>
  </si>
  <si>
    <t>Ross 508</t>
  </si>
  <si>
    <t>SPECULOOS-3</t>
  </si>
  <si>
    <t>SR 12 AB</t>
  </si>
  <si>
    <t>SWEEPS-11</t>
  </si>
  <si>
    <t>SWEEPS-4</t>
  </si>
  <si>
    <t>TAP 26</t>
  </si>
  <si>
    <t>TCP J05074264+2447555</t>
  </si>
  <si>
    <t>TIC 117642575</t>
  </si>
  <si>
    <t>TIC 139270665</t>
  </si>
  <si>
    <t>TIC 139702105</t>
  </si>
  <si>
    <t>TIC 142589416</t>
  </si>
  <si>
    <t>TIC 147027702</t>
  </si>
  <si>
    <t>TIC 150070085</t>
  </si>
  <si>
    <t>TIC 153919886</t>
  </si>
  <si>
    <t>TIC 154870955</t>
  </si>
  <si>
    <t>TIC 160113658</t>
  </si>
  <si>
    <t>TIC 161045582</t>
  </si>
  <si>
    <t>TIC 172900988 Aa</t>
  </si>
  <si>
    <t>TIC 178172313</t>
  </si>
  <si>
    <t>TIC 183374187</t>
  </si>
  <si>
    <t>TIC 188624430</t>
  </si>
  <si>
    <t>TIC 18942729</t>
  </si>
  <si>
    <t>TIC 198190129</t>
  </si>
  <si>
    <t>TIC 206466666</t>
  </si>
  <si>
    <t>TIC 231949697</t>
  </si>
  <si>
    <t>TIC 237913194</t>
  </si>
  <si>
    <t>TIC 241249530</t>
  </si>
  <si>
    <t>TIC 245076932</t>
  </si>
  <si>
    <t>TIC 24750448</t>
  </si>
  <si>
    <t>TIC 249022743</t>
  </si>
  <si>
    <t>TIC 257060897</t>
  </si>
  <si>
    <t>TIC 260969020</t>
  </si>
  <si>
    <t>TIC 270471727</t>
  </si>
  <si>
    <t>TIC 279401253</t>
  </si>
  <si>
    <t>TIC 290487717</t>
  </si>
  <si>
    <t>TIC 294329732</t>
  </si>
  <si>
    <t>TIC 32032563</t>
  </si>
  <si>
    <t>TIC 320419023</t>
  </si>
  <si>
    <t>TIC 34085383</t>
  </si>
  <si>
    <t>TIC 349520724</t>
  </si>
  <si>
    <t>TIC 356227008</t>
  </si>
  <si>
    <t>TIC 365102760</t>
  </si>
  <si>
    <t>TIC 38825265</t>
  </si>
  <si>
    <t>TIC 38828280</t>
  </si>
  <si>
    <t>TIC 390586021</t>
  </si>
  <si>
    <t>TIC 393818343</t>
  </si>
  <si>
    <t>TIC 423703298</t>
  </si>
  <si>
    <t>TIC 434398831</t>
  </si>
  <si>
    <t>TIC 437041147</t>
  </si>
  <si>
    <t>TIC 445839811</t>
  </si>
  <si>
    <t>TIC 46432937</t>
  </si>
  <si>
    <t>TIC 4672985</t>
  </si>
  <si>
    <t>TIC 52059926</t>
  </si>
  <si>
    <t>TIC 62895484</t>
  </si>
  <si>
    <t>TIC 65612701</t>
  </si>
  <si>
    <t>TIC 67686059</t>
  </si>
  <si>
    <t>TIC 77319217</t>
  </si>
  <si>
    <t>TIC 77552382</t>
  </si>
  <si>
    <t>TIC 86380416</t>
  </si>
  <si>
    <t>TIC 87422071</t>
  </si>
  <si>
    <t>TIC 88692598</t>
  </si>
  <si>
    <t>TIC 88785435</t>
  </si>
  <si>
    <t>TIC 9344899</t>
  </si>
  <si>
    <t>TOI-1011</t>
  </si>
  <si>
    <t>TOI-1036</t>
  </si>
  <si>
    <t>TOI-1052</t>
  </si>
  <si>
    <t>TOI-1054</t>
  </si>
  <si>
    <t>TOI-1062</t>
  </si>
  <si>
    <t>TOI-1064</t>
  </si>
  <si>
    <t>TOI-1075</t>
  </si>
  <si>
    <t>TOI-1080</t>
  </si>
  <si>
    <t>TOI-1105</t>
  </si>
  <si>
    <t>TOI-1107</t>
  </si>
  <si>
    <t>TOI-1117</t>
  </si>
  <si>
    <t>TOI-1130</t>
  </si>
  <si>
    <t>TOI-1135</t>
  </si>
  <si>
    <t>TOI-1136</t>
  </si>
  <si>
    <t>TOI-1173</t>
  </si>
  <si>
    <t>TOI-1174</t>
  </si>
  <si>
    <t>TOI-1180</t>
  </si>
  <si>
    <t>TOI-1181</t>
  </si>
  <si>
    <t>TOI-1184</t>
  </si>
  <si>
    <t>TOI-1194</t>
  </si>
  <si>
    <t>TOI-1199</t>
  </si>
  <si>
    <t>TOI-1201</t>
  </si>
  <si>
    <t>TOI-1203</t>
  </si>
  <si>
    <t>TOI-122</t>
  </si>
  <si>
    <t>TOI-1221</t>
  </si>
  <si>
    <t>TOI-1224</t>
  </si>
  <si>
    <t>TOI-1226</t>
  </si>
  <si>
    <t>TOI-1227</t>
  </si>
  <si>
    <t>TOI-1230</t>
  </si>
  <si>
    <t>TOI-1231</t>
  </si>
  <si>
    <t>TOI-1232</t>
  </si>
  <si>
    <t>TOI-1235</t>
  </si>
  <si>
    <t>TOI-1238</t>
  </si>
  <si>
    <t>TOI-1243</t>
  </si>
  <si>
    <t>TOI-1244</t>
  </si>
  <si>
    <t>TOI-1246</t>
  </si>
  <si>
    <t>TOI-1248</t>
  </si>
  <si>
    <t>TOI-1249</t>
  </si>
  <si>
    <t>TOI-125</t>
  </si>
  <si>
    <t>TOI-1259 A</t>
  </si>
  <si>
    <t>TOI-1260</t>
  </si>
  <si>
    <t>TOI-1266</t>
  </si>
  <si>
    <t>TOI-1268</t>
  </si>
  <si>
    <t>TOI-1269</t>
  </si>
  <si>
    <t>TOI-1272</t>
  </si>
  <si>
    <t>TOI-1273</t>
  </si>
  <si>
    <t>TOI-1278</t>
  </si>
  <si>
    <t>TOI-1279</t>
  </si>
  <si>
    <t>TOI-128</t>
  </si>
  <si>
    <t>TOI-1288</t>
  </si>
  <si>
    <t>TOI-1291</t>
  </si>
  <si>
    <t>TOI-1294</t>
  </si>
  <si>
    <t>TOI-1295</t>
  </si>
  <si>
    <t>TOI-1296</t>
  </si>
  <si>
    <t>TOI-1298</t>
  </si>
  <si>
    <t>TOI-1301</t>
  </si>
  <si>
    <t>TOI-132</t>
  </si>
  <si>
    <t>TOI-1333</t>
  </si>
  <si>
    <t>TOI-1338 A</t>
  </si>
  <si>
    <t>TOI-1346</t>
  </si>
  <si>
    <t>TOI-1347</t>
  </si>
  <si>
    <t>TOI-1386</t>
  </si>
  <si>
    <t>TOI-139</t>
  </si>
  <si>
    <t>TOI-1408</t>
  </si>
  <si>
    <t>TOI-1410</t>
  </si>
  <si>
    <t>TOI-1411</t>
  </si>
  <si>
    <t>TOI-1416</t>
  </si>
  <si>
    <t>TOI-1420</t>
  </si>
  <si>
    <t>TOI-1422</t>
  </si>
  <si>
    <t>TOI-1431</t>
  </si>
  <si>
    <t>TOI-1437</t>
  </si>
  <si>
    <t>TOI-1438</t>
  </si>
  <si>
    <t>TOI-1439</t>
  </si>
  <si>
    <t>TOI-1442</t>
  </si>
  <si>
    <t>TOI-1443</t>
  </si>
  <si>
    <t>TOI-1444</t>
  </si>
  <si>
    <t>TOI-1448</t>
  </si>
  <si>
    <t>TOI-1450 A</t>
  </si>
  <si>
    <t>TOI-1451</t>
  </si>
  <si>
    <t>TOI-1452</t>
  </si>
  <si>
    <t>TOI-1453</t>
  </si>
  <si>
    <t>TOI-1466</t>
  </si>
  <si>
    <t>TOI-1467</t>
  </si>
  <si>
    <t>TOI-1468</t>
  </si>
  <si>
    <t>TOI-1470</t>
  </si>
  <si>
    <t>TOI-1472</t>
  </si>
  <si>
    <t>TOI-1478</t>
  </si>
  <si>
    <t>TOI-150</t>
  </si>
  <si>
    <t>TOI-1516</t>
  </si>
  <si>
    <t>TOI-1518</t>
  </si>
  <si>
    <t>TOI-1533</t>
  </si>
  <si>
    <t>TOI-157</t>
  </si>
  <si>
    <t>TOI-159</t>
  </si>
  <si>
    <t>TOI-1601</t>
  </si>
  <si>
    <t>TOI-163</t>
  </si>
  <si>
    <t>TOI-1630</t>
  </si>
  <si>
    <t>TOI-1634</t>
  </si>
  <si>
    <t>TOI-1648</t>
  </si>
  <si>
    <t>TOI-1659</t>
  </si>
  <si>
    <t>TOI-1669</t>
  </si>
  <si>
    <t>TOI-1670</t>
  </si>
  <si>
    <t>TOI-1680</t>
  </si>
  <si>
    <t>TOI-1683</t>
  </si>
  <si>
    <t>TOI-1685</t>
  </si>
  <si>
    <t>TOI-169</t>
  </si>
  <si>
    <t>TOI-1691</t>
  </si>
  <si>
    <t>TOI-1693</t>
  </si>
  <si>
    <t>TOI-1694</t>
  </si>
  <si>
    <t>TOI-1695</t>
  </si>
  <si>
    <t>TOI-1696</t>
  </si>
  <si>
    <t>TOI-1710</t>
  </si>
  <si>
    <t>TOI-1716</t>
  </si>
  <si>
    <t>TOI-1718</t>
  </si>
  <si>
    <t>TOI-172</t>
  </si>
  <si>
    <t>TOI-1722</t>
  </si>
  <si>
    <t>TOI-1723</t>
  </si>
  <si>
    <t>TOI-1728</t>
  </si>
  <si>
    <t>TOI-1732</t>
  </si>
  <si>
    <t>TOI-1736</t>
  </si>
  <si>
    <t>TOI-1739</t>
  </si>
  <si>
    <t>TOI-1742</t>
  </si>
  <si>
    <t>TOI-1743</t>
  </si>
  <si>
    <t>TOI-1744</t>
  </si>
  <si>
    <t>TOI-1749</t>
  </si>
  <si>
    <t>TOI-1750</t>
  </si>
  <si>
    <t>TOI-1751</t>
  </si>
  <si>
    <t>TOI-1752</t>
  </si>
  <si>
    <t>TOI-1753</t>
  </si>
  <si>
    <t>TOI-1756</t>
  </si>
  <si>
    <t>TOI-1758</t>
  </si>
  <si>
    <t>TOI-1759</t>
  </si>
  <si>
    <t>TOI-1768</t>
  </si>
  <si>
    <t>TOI-1772</t>
  </si>
  <si>
    <t>TOI-1774</t>
  </si>
  <si>
    <t>TOI-1775</t>
  </si>
  <si>
    <t>TOI-1776</t>
  </si>
  <si>
    <t>TOI-1777</t>
  </si>
  <si>
    <t>TOI-178</t>
  </si>
  <si>
    <t>TOI-1782</t>
  </si>
  <si>
    <t>TOI-1789</t>
  </si>
  <si>
    <t>TOI-1794</t>
  </si>
  <si>
    <t>TOI-1798</t>
  </si>
  <si>
    <t>TOI-1799</t>
  </si>
  <si>
    <t>TOI-1801</t>
  </si>
  <si>
    <t>TOI-1803</t>
  </si>
  <si>
    <t>TOI-1806</t>
  </si>
  <si>
    <t>TOI-1807</t>
  </si>
  <si>
    <t>TOI-181</t>
  </si>
  <si>
    <t>TOI-1811</t>
  </si>
  <si>
    <t>TOI-1814</t>
  </si>
  <si>
    <t>TOI-1820</t>
  </si>
  <si>
    <t>TOI-1823</t>
  </si>
  <si>
    <t>TOI-1824</t>
  </si>
  <si>
    <t>TOI-1836</t>
  </si>
  <si>
    <t>TOI-1839</t>
  </si>
  <si>
    <t>TOI-1842</t>
  </si>
  <si>
    <t>TOI-1846</t>
  </si>
  <si>
    <t>TOI-1853</t>
  </si>
  <si>
    <t>TOI-1855</t>
  </si>
  <si>
    <t>TOI-1859</t>
  </si>
  <si>
    <t>TOI-1860</t>
  </si>
  <si>
    <t>TOI-1873</t>
  </si>
  <si>
    <t>TOI-1883</t>
  </si>
  <si>
    <t>TOI-1898</t>
  </si>
  <si>
    <t>TOI-1899</t>
  </si>
  <si>
    <t>TOI-1937 A</t>
  </si>
  <si>
    <t>TOI-198</t>
  </si>
  <si>
    <t>TOI-199</t>
  </si>
  <si>
    <t>TOI-1994</t>
  </si>
  <si>
    <t>TOI-2000</t>
  </si>
  <si>
    <t>TOI-2005</t>
  </si>
  <si>
    <t>TOI-201</t>
  </si>
  <si>
    <t>TOI-2010</t>
  </si>
  <si>
    <t>TOI-2015</t>
  </si>
  <si>
    <t>TOI-2018</t>
  </si>
  <si>
    <t>TOI-2019</t>
  </si>
  <si>
    <t>TOI-2025</t>
  </si>
  <si>
    <t>TOI-2031 A</t>
  </si>
  <si>
    <t>TOI-2040</t>
  </si>
  <si>
    <t>TOI-2046</t>
  </si>
  <si>
    <t>TOI-2048</t>
  </si>
  <si>
    <t>TOI-2049</t>
  </si>
  <si>
    <t>TOI-205</t>
  </si>
  <si>
    <t>TOI-206</t>
  </si>
  <si>
    <t>TOI-2068</t>
  </si>
  <si>
    <t>TOI-2071</t>
  </si>
  <si>
    <t>TOI-2076</t>
  </si>
  <si>
    <t>TOI-2081</t>
  </si>
  <si>
    <t>TOI-2084</t>
  </si>
  <si>
    <t>TOI-2088</t>
  </si>
  <si>
    <t>TOI-209</t>
  </si>
  <si>
    <t>TOI-2092</t>
  </si>
  <si>
    <t>TOI-2093</t>
  </si>
  <si>
    <t>TOI-2094</t>
  </si>
  <si>
    <t>TOI-2095</t>
  </si>
  <si>
    <t>TOI-2096</t>
  </si>
  <si>
    <t>TOI-2104</t>
  </si>
  <si>
    <t>TOI-2107</t>
  </si>
  <si>
    <t>TOI-2109</t>
  </si>
  <si>
    <t>TOI-2114</t>
  </si>
  <si>
    <t>TOI-2120</t>
  </si>
  <si>
    <t>TOI-2128</t>
  </si>
  <si>
    <t>TOI-2133</t>
  </si>
  <si>
    <t>TOI-2134</t>
  </si>
  <si>
    <t>TOI-2136</t>
  </si>
  <si>
    <t>TOI-2141</t>
  </si>
  <si>
    <t>TOI-2145</t>
  </si>
  <si>
    <t>TOI-2147</t>
  </si>
  <si>
    <t>TOI-2152</t>
  </si>
  <si>
    <t>TOI-2154</t>
  </si>
  <si>
    <t>TOI-2158</t>
  </si>
  <si>
    <t>TOI-216</t>
  </si>
  <si>
    <t>TOI-2169 A</t>
  </si>
  <si>
    <t>TOI-2180</t>
  </si>
  <si>
    <t>TOI-2184</t>
  </si>
  <si>
    <t>TOI-2193 A</t>
  </si>
  <si>
    <t>TOI-2194</t>
  </si>
  <si>
    <t>TOI-2196</t>
  </si>
  <si>
    <t>TOI-220</t>
  </si>
  <si>
    <t>TOI-2200</t>
  </si>
  <si>
    <t>TOI-2202</t>
  </si>
  <si>
    <t>TOI-2207</t>
  </si>
  <si>
    <t>TOI-2211</t>
  </si>
  <si>
    <t>TOI-2227</t>
  </si>
  <si>
    <t>TOI-2236</t>
  </si>
  <si>
    <t>TOI-2257</t>
  </si>
  <si>
    <t>TOI-2260</t>
  </si>
  <si>
    <t>TOI-2266</t>
  </si>
  <si>
    <t>TOI-2267 A</t>
  </si>
  <si>
    <t>TOI-2267 B</t>
  </si>
  <si>
    <t>TOI-2274</t>
  </si>
  <si>
    <t>TOI-2285</t>
  </si>
  <si>
    <t>TOI-2295</t>
  </si>
  <si>
    <t>TOI-2322</t>
  </si>
  <si>
    <t>TOI-2328</t>
  </si>
  <si>
    <t>TOI-2337</t>
  </si>
  <si>
    <t>TOI-2338</t>
  </si>
  <si>
    <t>TOI-2345</t>
  </si>
  <si>
    <t>TOI-2346</t>
  </si>
  <si>
    <t>TOI-2364</t>
  </si>
  <si>
    <t>TOI-2368</t>
  </si>
  <si>
    <t>TOI-237</t>
  </si>
  <si>
    <t>TOI-2373</t>
  </si>
  <si>
    <t>TOI-2374</t>
  </si>
  <si>
    <t>TOI-2379</t>
  </si>
  <si>
    <t>TOI-238</t>
  </si>
  <si>
    <t>TOI-2382</t>
  </si>
  <si>
    <t>TOI-2384</t>
  </si>
  <si>
    <t>TOI-2406</t>
  </si>
  <si>
    <t>TOI-2407</t>
  </si>
  <si>
    <t>TOI-2411</t>
  </si>
  <si>
    <t>TOI-2416</t>
  </si>
  <si>
    <t>TOI-2420</t>
  </si>
  <si>
    <t>TOI-2421</t>
  </si>
  <si>
    <t>TOI-2427</t>
  </si>
  <si>
    <t>TOI-2431</t>
  </si>
  <si>
    <t>TOI-244</t>
  </si>
  <si>
    <t>TOI-2443</t>
  </si>
  <si>
    <t>TOI-2445</t>
  </si>
  <si>
    <t>TOI-2447</t>
  </si>
  <si>
    <t>TOI-2449</t>
  </si>
  <si>
    <t>TOI-2453</t>
  </si>
  <si>
    <t>TOI-2458</t>
  </si>
  <si>
    <t>TOI-2459</t>
  </si>
  <si>
    <t>TOI-2485</t>
  </si>
  <si>
    <t>TOI-2497</t>
  </si>
  <si>
    <t>TOI-2498</t>
  </si>
  <si>
    <t>TOI-251</t>
  </si>
  <si>
    <t>TOI-2518</t>
  </si>
  <si>
    <t>TOI-2524</t>
  </si>
  <si>
    <t>TOI-2525</t>
  </si>
  <si>
    <t>TOI-2529</t>
  </si>
  <si>
    <t>TOI-2537</t>
  </si>
  <si>
    <t>TOI-2545</t>
  </si>
  <si>
    <t>TOI-2567</t>
  </si>
  <si>
    <t>TOI-257</t>
  </si>
  <si>
    <t>TOI-2570</t>
  </si>
  <si>
    <t>TOI-2578</t>
  </si>
  <si>
    <t>TOI-2580</t>
  </si>
  <si>
    <t>TOI-2583 A</t>
  </si>
  <si>
    <t>TOI-2587 A</t>
  </si>
  <si>
    <t>TOI-2589</t>
  </si>
  <si>
    <t>TOI-260</t>
  </si>
  <si>
    <t>TOI-261</t>
  </si>
  <si>
    <t>TOI-262</t>
  </si>
  <si>
    <t>TOI-2641</t>
  </si>
  <si>
    <t>TOI-2654</t>
  </si>
  <si>
    <t>TOI-2669</t>
  </si>
  <si>
    <t>TOI-269</t>
  </si>
  <si>
    <t>TOI-270</t>
  </si>
  <si>
    <t>TOI-2714</t>
  </si>
  <si>
    <t>TOI-2719</t>
  </si>
  <si>
    <t>TOI-2768</t>
  </si>
  <si>
    <t>TOI-277</t>
  </si>
  <si>
    <t>TOI-2796</t>
  </si>
  <si>
    <t>TOI-2803 A</t>
  </si>
  <si>
    <t>TOI-2818</t>
  </si>
  <si>
    <t>TOI-283</t>
  </si>
  <si>
    <t>TOI-2842</t>
  </si>
  <si>
    <t>TOI-286</t>
  </si>
  <si>
    <t>TOI-2876</t>
  </si>
  <si>
    <t>TOI-2886</t>
  </si>
  <si>
    <t>TOI-2969</t>
  </si>
  <si>
    <t>TOI-2977</t>
  </si>
  <si>
    <t>TOI-2981</t>
  </si>
  <si>
    <t>TOI-2986</t>
  </si>
  <si>
    <t>TOI-2989</t>
  </si>
  <si>
    <t>TOI-2992</t>
  </si>
  <si>
    <t>TOI-3023</t>
  </si>
  <si>
    <t>TOI-3053</t>
  </si>
  <si>
    <t>TOI-3071</t>
  </si>
  <si>
    <t>TOI-3082</t>
  </si>
  <si>
    <t>TOI-3135</t>
  </si>
  <si>
    <t>TOI-3160 A</t>
  </si>
  <si>
    <t>TOI-3235</t>
  </si>
  <si>
    <t>TOI-3261</t>
  </si>
  <si>
    <t>TOI-3278</t>
  </si>
  <si>
    <t>TOI-3288</t>
  </si>
  <si>
    <t>TOI-329</t>
  </si>
  <si>
    <t>TOI-332</t>
  </si>
  <si>
    <t>TOI-3321</t>
  </si>
  <si>
    <t>TOI-333</t>
  </si>
  <si>
    <t>TOI-3331 A</t>
  </si>
  <si>
    <t>TOI-3353</t>
  </si>
  <si>
    <t>TOI-3362</t>
  </si>
  <si>
    <t>TOI-3364</t>
  </si>
  <si>
    <t>TOI-3457</t>
  </si>
  <si>
    <t>TOI-3464</t>
  </si>
  <si>
    <t>TOI-3474</t>
  </si>
  <si>
    <t>TOI-3486</t>
  </si>
  <si>
    <t>TOI-3493</t>
  </si>
  <si>
    <t>TOI-3523 A</t>
  </si>
  <si>
    <t>TOI-3540 A</t>
  </si>
  <si>
    <t>TOI-3568</t>
  </si>
  <si>
    <t>TOI-3593</t>
  </si>
  <si>
    <t>TOI-3629</t>
  </si>
  <si>
    <t>TOI-3664</t>
  </si>
  <si>
    <t>TOI-3682</t>
  </si>
  <si>
    <t>TOI-3688 A</t>
  </si>
  <si>
    <t>TOI-3693</t>
  </si>
  <si>
    <t>TOI-3714</t>
  </si>
  <si>
    <t>TOI-375</t>
  </si>
  <si>
    <t>TOI-3757</t>
  </si>
  <si>
    <t>TOI-3785</t>
  </si>
  <si>
    <t>TOI-3807</t>
  </si>
  <si>
    <t>TOI-3819</t>
  </si>
  <si>
    <t>TOI-3837</t>
  </si>
  <si>
    <t>TOI-3856</t>
  </si>
  <si>
    <t>TOI-3862</t>
  </si>
  <si>
    <t>TOI-3877</t>
  </si>
  <si>
    <t>TOI-3884</t>
  </si>
  <si>
    <t>TOI-3894</t>
  </si>
  <si>
    <t>TOI-3896</t>
  </si>
  <si>
    <t>TOI-3912</t>
  </si>
  <si>
    <t>TOI-3919</t>
  </si>
  <si>
    <t>TOI-3976 A</t>
  </si>
  <si>
    <t>TOI-3980</t>
  </si>
  <si>
    <t>TOI-3984 A</t>
  </si>
  <si>
    <t>TOI-4010</t>
  </si>
  <si>
    <t>TOI-4029</t>
  </si>
  <si>
    <t>TOI-4030</t>
  </si>
  <si>
    <t>TOI-4034</t>
  </si>
  <si>
    <t>TOI-406</t>
  </si>
  <si>
    <t>TOI-4087</t>
  </si>
  <si>
    <t>TOI-4127</t>
  </si>
  <si>
    <t>TOI-4137</t>
  </si>
  <si>
    <t>TOI-4145 A</t>
  </si>
  <si>
    <t>TOI-4153</t>
  </si>
  <si>
    <t>TOI-4155</t>
  </si>
  <si>
    <t>TOI-4156</t>
  </si>
  <si>
    <t>TOI-4184</t>
  </si>
  <si>
    <t>TOI-4201</t>
  </si>
  <si>
    <t>TOI-421</t>
  </si>
  <si>
    <t>TOI-4214</t>
  </si>
  <si>
    <t>TOI-4308</t>
  </si>
  <si>
    <t>TOI-431</t>
  </si>
  <si>
    <t>TOI-4311</t>
  </si>
  <si>
    <t>TOI-4329</t>
  </si>
  <si>
    <t>TOI-4336 A</t>
  </si>
  <si>
    <t>TOI-4342</t>
  </si>
  <si>
    <t>TOI-4363</t>
  </si>
  <si>
    <t>TOI-4364</t>
  </si>
  <si>
    <t>TOI-4377</t>
  </si>
  <si>
    <t>TOI-4379</t>
  </si>
  <si>
    <t>TOI-4405</t>
  </si>
  <si>
    <t>TOI-4406</t>
  </si>
  <si>
    <t>TOI-4409</t>
  </si>
  <si>
    <t>TOI-4427</t>
  </si>
  <si>
    <t>TOI-4438</t>
  </si>
  <si>
    <t>TOI-444</t>
  </si>
  <si>
    <t>TOI-4443</t>
  </si>
  <si>
    <t>TOI-4458</t>
  </si>
  <si>
    <t>TOI-4463 A</t>
  </si>
  <si>
    <t>TOI-4465</t>
  </si>
  <si>
    <t>TOI-4479</t>
  </si>
  <si>
    <t>TOI-4487 A</t>
  </si>
  <si>
    <t>TOI-4492</t>
  </si>
  <si>
    <t>TOI-4495</t>
  </si>
  <si>
    <t>TOI-4504</t>
  </si>
  <si>
    <t>TOI-4507</t>
  </si>
  <si>
    <t>TOI-451</t>
  </si>
  <si>
    <t>TOI-4511</t>
  </si>
  <si>
    <t>TOI-4513</t>
  </si>
  <si>
    <t>TOI-4515</t>
  </si>
  <si>
    <t>TOI-4527</t>
  </si>
  <si>
    <t>TOI-4529</t>
  </si>
  <si>
    <t>TOI-4551</t>
  </si>
  <si>
    <t>TOI-4552</t>
  </si>
  <si>
    <t>TOI-4559</t>
  </si>
  <si>
    <t>TOI-4561</t>
  </si>
  <si>
    <t>TOI-4562</t>
  </si>
  <si>
    <t>TOI-4578</t>
  </si>
  <si>
    <t>TOI-4582</t>
  </si>
  <si>
    <t>TOI-4588</t>
  </si>
  <si>
    <t>TOI-4600</t>
  </si>
  <si>
    <t>TOI-4602</t>
  </si>
  <si>
    <t>TOI-4603</t>
  </si>
  <si>
    <t>TOI-4633</t>
  </si>
  <si>
    <t>TOI-4638</t>
  </si>
  <si>
    <t>TOI-4640</t>
  </si>
  <si>
    <t>TOI-4641</t>
  </si>
  <si>
    <t>TOI-4662</t>
  </si>
  <si>
    <t>TOI-4666</t>
  </si>
  <si>
    <t>TOI-469</t>
  </si>
  <si>
    <t>TOI-470</t>
  </si>
  <si>
    <t>TOI-4734</t>
  </si>
  <si>
    <t>TOI-4747</t>
  </si>
  <si>
    <t>TOI-4773</t>
  </si>
  <si>
    <t>TOI-4791</t>
  </si>
  <si>
    <t>TOI-4794</t>
  </si>
  <si>
    <t>TOI-480</t>
  </si>
  <si>
    <t>TOI-481</t>
  </si>
  <si>
    <t>TOI-4860</t>
  </si>
  <si>
    <t>TOI-4898</t>
  </si>
  <si>
    <t>TOI-4914</t>
  </si>
  <si>
    <t>TOI-4930</t>
  </si>
  <si>
    <t>TOI-4940</t>
  </si>
  <si>
    <t>TOI-4961</t>
  </si>
  <si>
    <t>TOI-4994</t>
  </si>
  <si>
    <t>TOI-500</t>
  </si>
  <si>
    <t>TOI-5005</t>
  </si>
  <si>
    <t>TOI-5007</t>
  </si>
  <si>
    <t>TOI-5027</t>
  </si>
  <si>
    <t>TOI-5076</t>
  </si>
  <si>
    <t>TOI-5082</t>
  </si>
  <si>
    <t>TOI-5108</t>
  </si>
  <si>
    <t>TOI-5110</t>
  </si>
  <si>
    <t>TOI-512</t>
  </si>
  <si>
    <t>TOI-5126</t>
  </si>
  <si>
    <t>TOI-5143</t>
  </si>
  <si>
    <t>TOI-5153</t>
  </si>
  <si>
    <t>TOI-5159</t>
  </si>
  <si>
    <t>TOI-5160</t>
  </si>
  <si>
    <t>TOI-5174</t>
  </si>
  <si>
    <t>TOI-5181 A</t>
  </si>
  <si>
    <t>TOI-519</t>
  </si>
  <si>
    <t>TOI-5205</t>
  </si>
  <si>
    <t>TOI-521</t>
  </si>
  <si>
    <t>TOI-5210</t>
  </si>
  <si>
    <t>TOI-5218</t>
  </si>
  <si>
    <t>TOI-5232</t>
  </si>
  <si>
    <t>TOI-5238</t>
  </si>
  <si>
    <t>TOI-5261</t>
  </si>
  <si>
    <t>TOI-5292 A</t>
  </si>
  <si>
    <t>TOI-5293 A</t>
  </si>
  <si>
    <t>TOI-530</t>
  </si>
  <si>
    <t>TOI-5300</t>
  </si>
  <si>
    <t>TOI-5301</t>
  </si>
  <si>
    <t>TOI-5319</t>
  </si>
  <si>
    <t>TOI-532</t>
  </si>
  <si>
    <t>TOI-5322</t>
  </si>
  <si>
    <t>TOI-5335</t>
  </si>
  <si>
    <t>TOI-5340</t>
  </si>
  <si>
    <t>TOI-5344</t>
  </si>
  <si>
    <t>TOI-5349</t>
  </si>
  <si>
    <t>TOI-5350</t>
  </si>
  <si>
    <t>TOI-5380</t>
  </si>
  <si>
    <t>TOI-5386 A</t>
  </si>
  <si>
    <t>TOI-5388</t>
  </si>
  <si>
    <t>TOI-5398</t>
  </si>
  <si>
    <t>TOI-540</t>
  </si>
  <si>
    <t>TOI-5422</t>
  </si>
  <si>
    <t>TOI-544</t>
  </si>
  <si>
    <t>TOI-5486</t>
  </si>
  <si>
    <t>TOI-5489</t>
  </si>
  <si>
    <t>TOI-5502</t>
  </si>
  <si>
    <t>TOI-5515</t>
  </si>
  <si>
    <t>TOI-5532</t>
  </si>
  <si>
    <t>TOI-5542</t>
  </si>
  <si>
    <t>TOI-5573</t>
  </si>
  <si>
    <t>TOI-558</t>
  </si>
  <si>
    <t>TOI-559</t>
  </si>
  <si>
    <t>TOI-5592</t>
  </si>
  <si>
    <t>TOI-5595</t>
  </si>
  <si>
    <t>TOI-5599</t>
  </si>
  <si>
    <t>TOI-5605</t>
  </si>
  <si>
    <t>TOI-561</t>
  </si>
  <si>
    <t>TOI-5614</t>
  </si>
  <si>
    <t>TOI-5616</t>
  </si>
  <si>
    <t>TOI-5624</t>
  </si>
  <si>
    <t>TOI-5628 A</t>
  </si>
  <si>
    <t>TOI-5630</t>
  </si>
  <si>
    <t>TOI-5634 A</t>
  </si>
  <si>
    <t>TOI-564</t>
  </si>
  <si>
    <t>TOI-5678</t>
  </si>
  <si>
    <t>TOI-5688 A</t>
  </si>
  <si>
    <t>TOI-5704</t>
  </si>
  <si>
    <t>TOI-5713</t>
  </si>
  <si>
    <t>TOI-5716</t>
  </si>
  <si>
    <t>TOI-5720</t>
  </si>
  <si>
    <t>TOI-5726</t>
  </si>
  <si>
    <t>TOI-5728</t>
  </si>
  <si>
    <t>TOI-5734</t>
  </si>
  <si>
    <t>TOI-5736</t>
  </si>
  <si>
    <t>TOI-5777</t>
  </si>
  <si>
    <t>TOI-5786</t>
  </si>
  <si>
    <t>TOI-5788</t>
  </si>
  <si>
    <t>TOI-5789</t>
  </si>
  <si>
    <t>TOI-5795</t>
  </si>
  <si>
    <t>TOI-5799</t>
  </si>
  <si>
    <t>TOI-5800</t>
  </si>
  <si>
    <t>TOI-5803</t>
  </si>
  <si>
    <t>TOI-5806</t>
  </si>
  <si>
    <t>TOI-5811 B</t>
  </si>
  <si>
    <t>TOI-5817</t>
  </si>
  <si>
    <t>TOI-5882</t>
  </si>
  <si>
    <t>TOI-5916</t>
  </si>
  <si>
    <t>TOI-5926</t>
  </si>
  <si>
    <t>TOI-5938</t>
  </si>
  <si>
    <t>TOI-6000</t>
  </si>
  <si>
    <t>TOI-6002</t>
  </si>
  <si>
    <t>TOI-6008</t>
  </si>
  <si>
    <t>TOI-6016</t>
  </si>
  <si>
    <t>TOI-6019</t>
  </si>
  <si>
    <t>TOI-6029</t>
  </si>
  <si>
    <t>TOI-603</t>
  </si>
  <si>
    <t>TOI-6034</t>
  </si>
  <si>
    <t>TOI-6038 A</t>
  </si>
  <si>
    <t>TOI-6041</t>
  </si>
  <si>
    <t>TOI-6054</t>
  </si>
  <si>
    <t>TOI-6080</t>
  </si>
  <si>
    <t>TOI-6086</t>
  </si>
  <si>
    <t>TOI-6109</t>
  </si>
  <si>
    <t>TOI-6130</t>
  </si>
  <si>
    <t>TOI-615</t>
  </si>
  <si>
    <t>TOI-6158</t>
  </si>
  <si>
    <t>TOI-620</t>
  </si>
  <si>
    <t>TOI-622</t>
  </si>
  <si>
    <t>TOI-6223</t>
  </si>
  <si>
    <t>TOI-6255</t>
  </si>
  <si>
    <t>TOI-628</t>
  </si>
  <si>
    <t>TOI-6281</t>
  </si>
  <si>
    <t>TOI-6303</t>
  </si>
  <si>
    <t>TOI-6324</t>
  </si>
  <si>
    <t>TOI-6330</t>
  </si>
  <si>
    <t>TOI-6383 A</t>
  </si>
  <si>
    <t>TOI-6393</t>
  </si>
  <si>
    <t>TOI-640</t>
  </si>
  <si>
    <t>TOI-6420</t>
  </si>
  <si>
    <t>TOI-6448</t>
  </si>
  <si>
    <t>TOI-6478</t>
  </si>
  <si>
    <t>TOI-654</t>
  </si>
  <si>
    <t>TOI-6564</t>
  </si>
  <si>
    <t>TOI-6628</t>
  </si>
  <si>
    <t>TOI-663</t>
  </si>
  <si>
    <t>TOI-6651</t>
  </si>
  <si>
    <t>TOI-6677</t>
  </si>
  <si>
    <t>TOI-669</t>
  </si>
  <si>
    <t>TOI-6692</t>
  </si>
  <si>
    <t>TOI-6695</t>
  </si>
  <si>
    <t>TOI-6699</t>
  </si>
  <si>
    <t>TOI-6707</t>
  </si>
  <si>
    <t>TOI-6716</t>
  </si>
  <si>
    <t>TOI-672</t>
  </si>
  <si>
    <t>TOI-674</t>
  </si>
  <si>
    <t>TOI-677</t>
  </si>
  <si>
    <t>TOI-682</t>
  </si>
  <si>
    <t>TOI-6884</t>
  </si>
  <si>
    <t>TOI-6894</t>
  </si>
  <si>
    <t>TOI-6954</t>
  </si>
  <si>
    <t>TOI-697</t>
  </si>
  <si>
    <t>TOI-700</t>
  </si>
  <si>
    <t>TOI-7008</t>
  </si>
  <si>
    <t>TOI-7009</t>
  </si>
  <si>
    <t>TOI-7041</t>
  </si>
  <si>
    <t>TOI-707</t>
  </si>
  <si>
    <t>TOI-712</t>
  </si>
  <si>
    <t>TOI-7149</t>
  </si>
  <si>
    <t>TOI-715</t>
  </si>
  <si>
    <t>TOI-7155</t>
  </si>
  <si>
    <t>TOI-7166</t>
  </si>
  <si>
    <t>TOI-7169</t>
  </si>
  <si>
    <t>TOI-7189</t>
  </si>
  <si>
    <t>TOI-7265 B</t>
  </si>
  <si>
    <t>TOI-733</t>
  </si>
  <si>
    <t>TOI-7333</t>
  </si>
  <si>
    <t>TOI-7384</t>
  </si>
  <si>
    <t>TOI-7393</t>
  </si>
  <si>
    <t>TOI-7394 B</t>
  </si>
  <si>
    <t>TOI-7510</t>
  </si>
  <si>
    <t>TOI-756</t>
  </si>
  <si>
    <t>TOI-757</t>
  </si>
  <si>
    <t>TOI-762 A</t>
  </si>
  <si>
    <t>TOI-763</t>
  </si>
  <si>
    <t>TOI-771</t>
  </si>
  <si>
    <t>TOI-776</t>
  </si>
  <si>
    <t>TOI-778</t>
  </si>
  <si>
    <t>TOI-782</t>
  </si>
  <si>
    <t>TOI-791</t>
  </si>
  <si>
    <t>TOI-799</t>
  </si>
  <si>
    <t>TOI-808</t>
  </si>
  <si>
    <t>TOI-813</t>
  </si>
  <si>
    <t>TOI-815</t>
  </si>
  <si>
    <t>TOI-824</t>
  </si>
  <si>
    <t>TOI-833</t>
  </si>
  <si>
    <t>TOI-836</t>
  </si>
  <si>
    <t>TOI-837</t>
  </si>
  <si>
    <t>TOI-849</t>
  </si>
  <si>
    <t>TOI-858 B</t>
  </si>
  <si>
    <t>TOI-871</t>
  </si>
  <si>
    <t>TOI-880</t>
  </si>
  <si>
    <t>TOI-883</t>
  </si>
  <si>
    <t>TOI-892</t>
  </si>
  <si>
    <t>TOI-904</t>
  </si>
  <si>
    <t>TOI-905</t>
  </si>
  <si>
    <t>TOI-907</t>
  </si>
  <si>
    <t>TOI-908</t>
  </si>
  <si>
    <t>TOI-912</t>
  </si>
  <si>
    <t>TOI-913</t>
  </si>
  <si>
    <t>TOI-921</t>
  </si>
  <si>
    <t>TOI-929</t>
  </si>
  <si>
    <t>TOI-938</t>
  </si>
  <si>
    <t>TOI-941</t>
  </si>
  <si>
    <t>TOI-942</t>
  </si>
  <si>
    <t>TOI-954</t>
  </si>
  <si>
    <t>TOI-969</t>
  </si>
  <si>
    <t>TRAPPIST-1</t>
  </si>
  <si>
    <t>TWA 7</t>
  </si>
  <si>
    <t>TYC 0434-04538-1</t>
  </si>
  <si>
    <t>TYC 1422-614-1</t>
  </si>
  <si>
    <t>TYC 2187-512-1</t>
  </si>
  <si>
    <t>TYC 3318-01333-1</t>
  </si>
  <si>
    <t>TYC 3667-1280-1</t>
  </si>
  <si>
    <t>TYC 4282-00605-1</t>
  </si>
  <si>
    <t>TYC 8998-760-1</t>
  </si>
  <si>
    <t>TrES-1</t>
  </si>
  <si>
    <t>TrES-2</t>
  </si>
  <si>
    <t>TrES-3</t>
  </si>
  <si>
    <t>TrES-4</t>
  </si>
  <si>
    <t>TrES-5</t>
  </si>
  <si>
    <t>UCAC3 113-933</t>
  </si>
  <si>
    <t>UCAC4 328-061594</t>
  </si>
  <si>
    <t>UKIRT-2017-BLG-001L</t>
  </si>
  <si>
    <t>USco CTIO 108</t>
  </si>
  <si>
    <t>USco1556 A</t>
  </si>
  <si>
    <t>USco1621 A</t>
  </si>
  <si>
    <t>UZ For</t>
  </si>
  <si>
    <t>V0391 Peg</t>
  </si>
  <si>
    <t>V1298 Tau</t>
  </si>
  <si>
    <t>V2376 Ori</t>
  </si>
  <si>
    <t>V830 Tau</t>
  </si>
  <si>
    <t>VHS J125601.92-125723.9</t>
  </si>
  <si>
    <t>WASP-1</t>
  </si>
  <si>
    <t>WASP-10</t>
  </si>
  <si>
    <t>WASP-100</t>
  </si>
  <si>
    <t>WASP-101</t>
  </si>
  <si>
    <t>WASP-102</t>
  </si>
  <si>
    <t>WASP-103</t>
  </si>
  <si>
    <t>WASP-104</t>
  </si>
  <si>
    <t>WASP-105</t>
  </si>
  <si>
    <t>WASP-106</t>
  </si>
  <si>
    <t>WASP-107</t>
  </si>
  <si>
    <t>WASP-108</t>
  </si>
  <si>
    <t>WASP-11</t>
  </si>
  <si>
    <t>WASP-110</t>
  </si>
  <si>
    <t>WASP-113</t>
  </si>
  <si>
    <t>WASP-114</t>
  </si>
  <si>
    <t>WASP-116</t>
  </si>
  <si>
    <t>WASP-117</t>
  </si>
  <si>
    <t>WASP-118</t>
  </si>
  <si>
    <t>WASP-119</t>
  </si>
  <si>
    <t>WASP-12</t>
  </si>
  <si>
    <t>WASP-120</t>
  </si>
  <si>
    <t>WASP-121</t>
  </si>
  <si>
    <t>WASP-123</t>
  </si>
  <si>
    <t>WASP-124</t>
  </si>
  <si>
    <t>WASP-126</t>
  </si>
  <si>
    <t>WASP-127</t>
  </si>
  <si>
    <t>WASP-129</t>
  </si>
  <si>
    <t>WASP-13</t>
  </si>
  <si>
    <t>WASP-130</t>
  </si>
  <si>
    <t>WASP-131</t>
  </si>
  <si>
    <t>WASP-132</t>
  </si>
  <si>
    <t>WASP-133</t>
  </si>
  <si>
    <t>WASP-135</t>
  </si>
  <si>
    <t>WASP-136</t>
  </si>
  <si>
    <t>WASP-138</t>
  </si>
  <si>
    <t>WASP-139</t>
  </si>
  <si>
    <t>WASP-14</t>
  </si>
  <si>
    <t>WASP-140</t>
  </si>
  <si>
    <t>WASP-141</t>
  </si>
  <si>
    <t>WASP-142</t>
  </si>
  <si>
    <t>WASP-144</t>
  </si>
  <si>
    <t>WASP-145 A</t>
  </si>
  <si>
    <t>WASP-147</t>
  </si>
  <si>
    <t>WASP-148</t>
  </si>
  <si>
    <t>WASP-149</t>
  </si>
  <si>
    <t>WASP-15</t>
  </si>
  <si>
    <t>WASP-150</t>
  </si>
  <si>
    <t>WASP-151</t>
  </si>
  <si>
    <t>WASP-153</t>
  </si>
  <si>
    <t>WASP-154</t>
  </si>
  <si>
    <t>WASP-155</t>
  </si>
  <si>
    <t>WASP-156</t>
  </si>
  <si>
    <t>WASP-157</t>
  </si>
  <si>
    <t>WASP-158</t>
  </si>
  <si>
    <t>WASP-159</t>
  </si>
  <si>
    <t>WASP-16</t>
  </si>
  <si>
    <t>WASP-160 B</t>
  </si>
  <si>
    <t>WASP-161</t>
  </si>
  <si>
    <t>WASP-162</t>
  </si>
  <si>
    <t>WASP-163</t>
  </si>
  <si>
    <t>WASP-164</t>
  </si>
  <si>
    <t>WASP-165</t>
  </si>
  <si>
    <t>WASP-166</t>
  </si>
  <si>
    <t>WASP-167</t>
  </si>
  <si>
    <t>WASP-168</t>
  </si>
  <si>
    <t>WASP-169</t>
  </si>
  <si>
    <t>WASP-17</t>
  </si>
  <si>
    <t>WASP-170</t>
  </si>
  <si>
    <t>WASP-171</t>
  </si>
  <si>
    <t>WASP-172</t>
  </si>
  <si>
    <t>WASP-173 A</t>
  </si>
  <si>
    <t>WASP-174</t>
  </si>
  <si>
    <t>WASP-175</t>
  </si>
  <si>
    <t>WASP-176</t>
  </si>
  <si>
    <t>WASP-177</t>
  </si>
  <si>
    <t>WASP-178</t>
  </si>
  <si>
    <t>WASP-18</t>
  </si>
  <si>
    <t>WASP-180 A</t>
  </si>
  <si>
    <t>WASP-181</t>
  </si>
  <si>
    <t>WASP-182</t>
  </si>
  <si>
    <t>WASP-183</t>
  </si>
  <si>
    <t>WASP-184</t>
  </si>
  <si>
    <t>WASP-185</t>
  </si>
  <si>
    <t>WASP-186</t>
  </si>
  <si>
    <t>WASP-187</t>
  </si>
  <si>
    <t>WASP-188</t>
  </si>
  <si>
    <t>WASP-189</t>
  </si>
  <si>
    <t>WASP-19</t>
  </si>
  <si>
    <t>WASP-190</t>
  </si>
  <si>
    <t>WASP-192</t>
  </si>
  <si>
    <t>WASP-193</t>
  </si>
  <si>
    <t>WASP-194</t>
  </si>
  <si>
    <t>WASP-195</t>
  </si>
  <si>
    <t>WASP-197</t>
  </si>
  <si>
    <t>WASP-2</t>
  </si>
  <si>
    <t>WASP-20</t>
  </si>
  <si>
    <t>WASP-21</t>
  </si>
  <si>
    <t>WASP-22</t>
  </si>
  <si>
    <t>WASP-23</t>
  </si>
  <si>
    <t>WASP-24</t>
  </si>
  <si>
    <t>WASP-25</t>
  </si>
  <si>
    <t>WASP-26</t>
  </si>
  <si>
    <t>WASP-28</t>
  </si>
  <si>
    <t>WASP-29</t>
  </si>
  <si>
    <t>WASP-3</t>
  </si>
  <si>
    <t>WASP-31</t>
  </si>
  <si>
    <t>WASP-32</t>
  </si>
  <si>
    <t>WASP-33</t>
  </si>
  <si>
    <t>WASP-34</t>
  </si>
  <si>
    <t>WASP-35</t>
  </si>
  <si>
    <t>WASP-36</t>
  </si>
  <si>
    <t>WASP-37</t>
  </si>
  <si>
    <t>WASP-38</t>
  </si>
  <si>
    <t>WASP-39</t>
  </si>
  <si>
    <t>WASP-4</t>
  </si>
  <si>
    <t>WASP-41</t>
  </si>
  <si>
    <t>WASP-42</t>
  </si>
  <si>
    <t>WASP-43</t>
  </si>
  <si>
    <t>WASP-44</t>
  </si>
  <si>
    <t>WASP-45</t>
  </si>
  <si>
    <t>WASP-46</t>
  </si>
  <si>
    <t>WASP-47</t>
  </si>
  <si>
    <t>WASP-48</t>
  </si>
  <si>
    <t>WASP-49</t>
  </si>
  <si>
    <t>WASP-5</t>
  </si>
  <si>
    <t>WASP-50</t>
  </si>
  <si>
    <t>WASP-52</t>
  </si>
  <si>
    <t>WASP-53</t>
  </si>
  <si>
    <t>WASP-54</t>
  </si>
  <si>
    <t>WASP-55</t>
  </si>
  <si>
    <t>WASP-56</t>
  </si>
  <si>
    <t>WASP-57</t>
  </si>
  <si>
    <t>WASP-58</t>
  </si>
  <si>
    <t>WASP-59</t>
  </si>
  <si>
    <t>WASP-6</t>
  </si>
  <si>
    <t>WASP-60</t>
  </si>
  <si>
    <t>WASP-61</t>
  </si>
  <si>
    <t>WASP-62</t>
  </si>
  <si>
    <t>WASP-63</t>
  </si>
  <si>
    <t>WASP-64</t>
  </si>
  <si>
    <t>WASP-65</t>
  </si>
  <si>
    <t>WASP-66</t>
  </si>
  <si>
    <t>WASP-67</t>
  </si>
  <si>
    <t>WASP-68</t>
  </si>
  <si>
    <t>WASP-69</t>
  </si>
  <si>
    <t>WASP-7</t>
  </si>
  <si>
    <t>WASP-70 A</t>
  </si>
  <si>
    <t>WASP-71</t>
  </si>
  <si>
    <t>WASP-72</t>
  </si>
  <si>
    <t>WASP-73</t>
  </si>
  <si>
    <t>WASP-74</t>
  </si>
  <si>
    <t>WASP-75</t>
  </si>
  <si>
    <t>WASP-76</t>
  </si>
  <si>
    <t>WASP-77 A</t>
  </si>
  <si>
    <t>WASP-78</t>
  </si>
  <si>
    <t>WASP-79</t>
  </si>
  <si>
    <t>WASP-8</t>
  </si>
  <si>
    <t>WASP-80</t>
  </si>
  <si>
    <t>WASP-81</t>
  </si>
  <si>
    <t>WASP-82</t>
  </si>
  <si>
    <t>WASP-83</t>
  </si>
  <si>
    <t>WASP-84</t>
  </si>
  <si>
    <t>WASP-85 A</t>
  </si>
  <si>
    <t>WASP-87</t>
  </si>
  <si>
    <t>WASP-88</t>
  </si>
  <si>
    <t>WASP-89</t>
  </si>
  <si>
    <t>WASP-90</t>
  </si>
  <si>
    <t>WASP-91</t>
  </si>
  <si>
    <t>WASP-92</t>
  </si>
  <si>
    <t>WASP-93</t>
  </si>
  <si>
    <t>WASP-94 A</t>
  </si>
  <si>
    <t>WASP-94 B</t>
  </si>
  <si>
    <t>WASP-95</t>
  </si>
  <si>
    <t>WASP-96</t>
  </si>
  <si>
    <t>WASP-97</t>
  </si>
  <si>
    <t>WASP-98</t>
  </si>
  <si>
    <t>WASP-99</t>
  </si>
  <si>
    <t>WD 0806-661</t>
  </si>
  <si>
    <t>WD 1856+534</t>
  </si>
  <si>
    <t>WISE J033605.05-014350.4</t>
  </si>
  <si>
    <t>WISEP J121756.91+162640.2 A</t>
  </si>
  <si>
    <t>WISPIT 1</t>
  </si>
  <si>
    <t>WISPIT 2</t>
  </si>
  <si>
    <t>WTS-1</t>
  </si>
  <si>
    <t>WTS-2</t>
  </si>
  <si>
    <t>Wendelstein-1</t>
  </si>
  <si>
    <t>Wendelstein-2</t>
  </si>
  <si>
    <t>Wolf 1069</t>
  </si>
  <si>
    <t>Wolf 327</t>
  </si>
  <si>
    <t>Wolf 503</t>
  </si>
  <si>
    <t>XEST 17-036</t>
  </si>
  <si>
    <t>XO-1</t>
  </si>
  <si>
    <t>XO-2 N</t>
  </si>
  <si>
    <t>XO-2 S</t>
  </si>
  <si>
    <t>XO-3</t>
  </si>
  <si>
    <t>XO-4</t>
  </si>
  <si>
    <t>XO-5</t>
  </si>
  <si>
    <t>XO-6</t>
  </si>
  <si>
    <t>XO-7</t>
  </si>
  <si>
    <t>ZTF J1230-2655</t>
  </si>
  <si>
    <t>ZTF J1828+2308</t>
  </si>
  <si>
    <t>alf Ari</t>
  </si>
  <si>
    <t>alf Tau</t>
  </si>
  <si>
    <t>b Cen A</t>
  </si>
  <si>
    <t>bet Cnc</t>
  </si>
  <si>
    <t>40411</t>
  </si>
  <si>
    <t>Tarf</t>
  </si>
  <si>
    <t>bet Pic</t>
  </si>
  <si>
    <t>27253</t>
  </si>
  <si>
    <t>Gl 219</t>
  </si>
  <si>
    <t>bet UMi</t>
  </si>
  <si>
    <t>72380</t>
  </si>
  <si>
    <t>Kochab</t>
  </si>
  <si>
    <t>eps CrB</t>
  </si>
  <si>
    <t>77923</t>
  </si>
  <si>
    <t>13Eps CrB</t>
  </si>
  <si>
    <t>HD 209100; https://doi.org/10.3847/1538-4365/ae633d; Explicit primary component; do not strip component letters generally</t>
  </si>
  <si>
    <t>eps Tau</t>
  </si>
  <si>
    <t>20837</t>
  </si>
  <si>
    <t>Ain</t>
  </si>
  <si>
    <t>gam Cep</t>
  </si>
  <si>
    <t>116361</t>
  </si>
  <si>
    <t>Errai</t>
  </si>
  <si>
    <t>gam Lib</t>
  </si>
  <si>
    <t>76100</t>
  </si>
  <si>
    <t>Zubenelhakrabi</t>
  </si>
  <si>
    <t>gam Psc</t>
  </si>
  <si>
    <t>114609</t>
  </si>
  <si>
    <t>6Gam Psc</t>
  </si>
  <si>
    <t>gam1 Leo</t>
  </si>
  <si>
    <t>50440</t>
  </si>
  <si>
    <t>Algieba</t>
  </si>
  <si>
    <t>iot Dra</t>
  </si>
  <si>
    <t>75229</t>
  </si>
  <si>
    <t>Edasich</t>
  </si>
  <si>
    <t>kap And</t>
  </si>
  <si>
    <t>116439</t>
  </si>
  <si>
    <t>Kaffalmusalsala</t>
  </si>
  <si>
    <t>kap CrB</t>
  </si>
  <si>
    <t>77420</t>
  </si>
  <si>
    <t>11Kap CrB</t>
  </si>
  <si>
    <t>mu Leo</t>
  </si>
  <si>
    <t>48318</t>
  </si>
  <si>
    <t>Rasalas</t>
  </si>
  <si>
    <t>mu2 Sco</t>
  </si>
  <si>
    <t>82294</t>
  </si>
  <si>
    <t>Pipirima</t>
  </si>
  <si>
    <t>nu Oct A</t>
  </si>
  <si>
    <t>nu Oph</t>
  </si>
  <si>
    <t>87775</t>
  </si>
  <si>
    <t>64Nu  Oph</t>
  </si>
  <si>
    <t>ome Ser</t>
  </si>
  <si>
    <t>77342</t>
  </si>
  <si>
    <t>34Ome Ser</t>
  </si>
  <si>
    <t>omi CrB</t>
  </si>
  <si>
    <t>74820</t>
  </si>
  <si>
    <t>1Omi CrB</t>
  </si>
  <si>
    <t>omi UMa</t>
  </si>
  <si>
    <t>41586</t>
  </si>
  <si>
    <t>Muscida</t>
  </si>
  <si>
    <t>psi1 Dra B</t>
  </si>
  <si>
    <t>rho CrB</t>
  </si>
  <si>
    <t>78223</t>
  </si>
  <si>
    <t>Gl 606.2</t>
  </si>
  <si>
    <t>tau Boo</t>
  </si>
  <si>
    <t>67063</t>
  </si>
  <si>
    <t>Gl 527A</t>
  </si>
  <si>
    <t>tau Gem</t>
  </si>
  <si>
    <t>34601</t>
  </si>
  <si>
    <t>46Tau Gem</t>
  </si>
  <si>
    <t>ups And</t>
  </si>
  <si>
    <t>7499</t>
  </si>
  <si>
    <t>Titawin</t>
  </si>
  <si>
    <t>ups Leo</t>
  </si>
  <si>
    <t>56478</t>
  </si>
  <si>
    <t>91Ups Leo</t>
  </si>
  <si>
    <t>xi Aql</t>
  </si>
  <si>
    <t>97627</t>
  </si>
  <si>
    <t>Libertas</t>
  </si>
  <si>
    <t>used_in_planets</t>
  </si>
  <si>
    <t>pl_name</t>
  </si>
  <si>
    <t>hostname</t>
  </si>
  <si>
    <t>default_flag</t>
  </si>
  <si>
    <t>sy_snum</t>
  </si>
  <si>
    <t>sy_pnum</t>
  </si>
  <si>
    <t>discoverymethod</t>
  </si>
  <si>
    <t>disc_year</t>
  </si>
  <si>
    <t>disc_facility</t>
  </si>
  <si>
    <t>soltype</t>
  </si>
  <si>
    <t>pl_controv_flag</t>
  </si>
  <si>
    <t>pl_refname</t>
  </si>
  <si>
    <t>pl_orbper</t>
  </si>
  <si>
    <t>pl_orbpererr1</t>
  </si>
  <si>
    <t>pl_orbpererr2</t>
  </si>
  <si>
    <t>pl_orbperlim</t>
  </si>
  <si>
    <t>pl_orbsmax</t>
  </si>
  <si>
    <t>pl_orbsmaxerr1</t>
  </si>
  <si>
    <t>pl_orbsmaxerr2</t>
  </si>
  <si>
    <t>pl_orbsmaxlim</t>
  </si>
  <si>
    <t>pl_rade</t>
  </si>
  <si>
    <t>pl_radeerr1</t>
  </si>
  <si>
    <t>pl_radeerr2</t>
  </si>
  <si>
    <t>pl_radelim</t>
  </si>
  <si>
    <t>pl_radj</t>
  </si>
  <si>
    <t>pl_radjerr1</t>
  </si>
  <si>
    <t>pl_radjerr2</t>
  </si>
  <si>
    <t>pl_radjlim</t>
  </si>
  <si>
    <t>pl_bmasse</t>
  </si>
  <si>
    <t>pl_bmasseerr1</t>
  </si>
  <si>
    <t>pl_bmasseerr2</t>
  </si>
  <si>
    <t>pl_bmasselim</t>
  </si>
  <si>
    <t>pl_bmassj</t>
  </si>
  <si>
    <t>pl_bmassjerr1</t>
  </si>
  <si>
    <t>pl_bmassjerr2</t>
  </si>
  <si>
    <t>pl_bmassjlim</t>
  </si>
  <si>
    <t>pl_bmassprov</t>
  </si>
  <si>
    <t>pl_orbeccen</t>
  </si>
  <si>
    <t>pl_orbeccenerr1</t>
  </si>
  <si>
    <t>pl_orbeccenerr2</t>
  </si>
  <si>
    <t>pl_orbeccenlim</t>
  </si>
  <si>
    <t>pl_insol</t>
  </si>
  <si>
    <t>pl_insolerr1</t>
  </si>
  <si>
    <t>pl_insolerr2</t>
  </si>
  <si>
    <t>pl_insollim</t>
  </si>
  <si>
    <t>pl_eqt</t>
  </si>
  <si>
    <t>pl_eqterr1</t>
  </si>
  <si>
    <t>pl_eqterr2</t>
  </si>
  <si>
    <t>pl_eqtlim</t>
  </si>
  <si>
    <t>ttv_flag</t>
  </si>
  <si>
    <t>st_refname</t>
  </si>
  <si>
    <t>st_spectype</t>
  </si>
  <si>
    <t>st_teff</t>
  </si>
  <si>
    <t>st_tefferr1</t>
  </si>
  <si>
    <t>st_tefferr2</t>
  </si>
  <si>
    <t>st_tefflim</t>
  </si>
  <si>
    <t>st_rad</t>
  </si>
  <si>
    <t>st_raderr1</t>
  </si>
  <si>
    <t>st_raderr2</t>
  </si>
  <si>
    <t>st_radlim</t>
  </si>
  <si>
    <t>st_mass</t>
  </si>
  <si>
    <t>st_masserr1</t>
  </si>
  <si>
    <t>st_masserr2</t>
  </si>
  <si>
    <t>st_masslim</t>
  </si>
  <si>
    <t>st_met</t>
  </si>
  <si>
    <t>st_meterr1</t>
  </si>
  <si>
    <t>st_meterr2</t>
  </si>
  <si>
    <t>st_metlim</t>
  </si>
  <si>
    <t>st_metratio</t>
  </si>
  <si>
    <t>st_logg</t>
  </si>
  <si>
    <t>st_loggerr1</t>
  </si>
  <si>
    <t>st_loggerr2</t>
  </si>
  <si>
    <t>st_logglim</t>
  </si>
  <si>
    <t>sy_refname</t>
  </si>
  <si>
    <t>rastr</t>
  </si>
  <si>
    <t>ra</t>
  </si>
  <si>
    <t>decstr</t>
  </si>
  <si>
    <t>dec</t>
  </si>
  <si>
    <t>sy_dist</t>
  </si>
  <si>
    <t>sy_disterr1</t>
  </si>
  <si>
    <t>sy_disterr2</t>
  </si>
  <si>
    <t>sy_vmag</t>
  </si>
  <si>
    <t>sy_vmagerr1</t>
  </si>
  <si>
    <t>sy_vmagerr2</t>
  </si>
  <si>
    <t>sy_kmag</t>
  </si>
  <si>
    <t>sy_kmagerr1</t>
  </si>
  <si>
    <t>sy_kmagerr2</t>
  </si>
  <si>
    <t>sy_gaiamag</t>
  </si>
  <si>
    <t>sy_gaiamagerr1</t>
  </si>
  <si>
    <t>sy_gaiamagerr2</t>
  </si>
  <si>
    <t>rowupdate</t>
  </si>
  <si>
    <t>pl_pubdate</t>
  </si>
  <si>
    <t>releasedate</t>
  </si>
  <si>
    <t>Multiple Observatories</t>
  </si>
  <si>
    <t>&lt;a refstr=VOGT_ET_AL__2010 href=https://ui.adsabs.harvard.edu/abs/2010ApJ...708.1366V/abstract target=ref&gt; Vogt et al. 2010 &lt;/a&gt;</t>
  </si>
  <si>
    <t>G5 V</t>
  </si>
  <si>
    <t>[Fe/H]</t>
  </si>
  <si>
    <t>&lt;a refstr=STASSUN_ET_AL__2019 href=https://ui.adsabs.harvard.edu/abs/2019AJ....158..138S/abstract target=ref&gt;TICv8&lt;/a&gt;</t>
  </si>
  <si>
    <t>13h18m23.15s</t>
  </si>
  <si>
    <t>-18d18m56.79s</t>
  </si>
  <si>
    <t>2010-01</t>
  </si>
  <si>
    <t>&lt;a refstr=HARADA_ET_AL_2025 href=https://ui.adsabs.harvard.edu/abs/2025AJ....170..343H/abstract target=ref&gt;Harada et al. 2025&lt;/a&gt;</t>
  </si>
  <si>
    <t>2025-12</t>
  </si>
  <si>
    <t>&lt;a refstr=ROSENTHAL_ET_AL__2021 href=https://ui.adsabs.harvard.edu/abs/2021ApJS..255....8R/abstract target=ref&gt;Rosenthal et al. 2021&lt;/a&gt;</t>
  </si>
  <si>
    <t>2021-09-20</t>
  </si>
  <si>
    <t>2021-07</t>
  </si>
  <si>
    <t>Paranal Observatory</t>
  </si>
  <si>
    <t>&lt;a refstr=BASANT_ET_AL__2025 href=https://ui.adsabs.harvard.edu/abs/2025ApJ...982L...1B/abstract target=ref&gt;Basant et al. 2025&lt;/a&gt;</t>
  </si>
  <si>
    <t>&lt;a refstr=GONZALEZ_HERNANDEZ_ET_AL_2024 href=https://ui.adsabs.harvard.edu/abs/2024A&amp;A...690A..79G/abstract target=ref&gt;Gonz&amp;aacute;lez Hern&amp;aacute;ndez et al. 2024&lt;/a&gt;</t>
  </si>
  <si>
    <t>M3.5-4 V</t>
  </si>
  <si>
    <t>17h57m47.67s</t>
  </si>
  <si>
    <t>+04d44m16.73s</t>
  </si>
  <si>
    <t>2025-03</t>
  </si>
  <si>
    <t>2024-10-07</t>
  </si>
  <si>
    <t>2024-10</t>
  </si>
  <si>
    <t>Gemini Observatory</t>
  </si>
  <si>
    <t>Calar Alto Observatory</t>
  </si>
  <si>
    <t>&lt;a refstr=BAUER_ET_AL__2020 href=https://ui.adsabs.harvard.edu/abs/2020A&amp;A...640A..50B/abstract target=ref&gt;Bauer et al. 2020&lt;/a&gt;</t>
  </si>
  <si>
    <t>M5.0 V</t>
  </si>
  <si>
    <t>03h13m24.72s</t>
  </si>
  <si>
    <t>+04d46m30.68s</t>
  </si>
  <si>
    <t>2020-08</t>
  </si>
  <si>
    <t>&lt;a refstr=SUAREZ_MASCARENO_ET_AL_2023 href=https://ui.adsabs.harvard.edu/abs/2023A&amp;A...670A...5S/abstract target=ref&gt;Su&amp;aacute;rez Mascare&amp;ntilde;o et al. 2023&lt;/a&gt;</t>
  </si>
  <si>
    <t>M5.5 V</t>
  </si>
  <si>
    <t>00h06m42.35s</t>
  </si>
  <si>
    <t>-07d32m46.36s</t>
  </si>
  <si>
    <t>2023-02</t>
  </si>
  <si>
    <t>La Silla Observatory</t>
  </si>
  <si>
    <t>&lt;a refstr=DREIZLER_ET_AL_2025 href=https://ui.adsabs.harvard.edu/abs/2025A&amp;A...698A.114D/abstract target=ref&gt;Dreizler et al. 2025&lt;/a&gt;</t>
  </si>
  <si>
    <t>03h36m00.78s</t>
  </si>
  <si>
    <t>-44d30m51.52s</t>
  </si>
  <si>
    <t>2025-06</t>
  </si>
  <si>
    <t>&lt;a refstr=DREIZLER_ET_AL__2020 href=https://ui.adsabs.harvard.edu/abs/2020MNRAS.493..536D/abstract target=ref&gt;Dreizler et al. 2020&lt;/a&gt;</t>
  </si>
  <si>
    <t>2020-02-21</t>
  </si>
  <si>
    <t>2020-03</t>
  </si>
  <si>
    <t>2020-02-27</t>
  </si>
  <si>
    <t>Multiple Facilities</t>
  </si>
  <si>
    <t>&lt;a refstr=BLANCO_POZO_ET_AL_2023 href=https://ui.adsabs.harvard.edu/abs/2023A&amp;A...671A..50B/abstract target=ref&gt;Blanco-Pozo et al. 2023&lt;/a&gt;</t>
  </si>
  <si>
    <t>M 4.5V</t>
  </si>
  <si>
    <t>11h50m55.32s</t>
  </si>
  <si>
    <t>+48d22m23.64s</t>
  </si>
  <si>
    <t>2023-03</t>
  </si>
  <si>
    <t>&lt;a refstr=MOUTOU_ET_AL__2024 href=https://ui.adsabs.harvard.edu/abs/2024A&amp;A...688A.196M/abstract target=ref&gt;Moutou et al. 2024&lt;/a&gt;</t>
  </si>
  <si>
    <t>M4.5 Ve</t>
  </si>
  <si>
    <t>[M/H]</t>
  </si>
  <si>
    <t>23h43m07.52s</t>
  </si>
  <si>
    <t>+36d32m10.79s</t>
  </si>
  <si>
    <t>2024-08</t>
  </si>
  <si>
    <t>W. M. Keck Observatory</t>
  </si>
  <si>
    <t>&lt;a refstr=HOWARD_ET_AL__2014 href=https://ui.adsabs.harvard.edu/abs/2014ApJ...794...51H/abstract target=ref&gt;Howard et al. 2014&lt;/a&gt;</t>
  </si>
  <si>
    <t>M2 V</t>
  </si>
  <si>
    <t>00h18m27.04s</t>
  </si>
  <si>
    <t>+44d01m29.03s</t>
  </si>
  <si>
    <t>2014-10</t>
  </si>
  <si>
    <t>2019-10-10</t>
  </si>
  <si>
    <t>&lt;a refstr=PINAMONTI_ET_AL__2018 href=https://ui.adsabs.harvard.edu/abs/2018A&amp;A...617A.104P/abstract target=ref&gt;Pinamonti et al. 2018&lt;/a&gt;</t>
  </si>
  <si>
    <t>2018-09</t>
  </si>
  <si>
    <t>Roque de los Muchachos Observatory</t>
  </si>
  <si>
    <t>&lt;a refstr=FENG_ET_AL__2020 href=https://ui.adsabs.harvard.edu/abs/2020ApJS..246...11F/abstract target=ref&gt;Feng et al. 2020&lt;/a&gt;</t>
  </si>
  <si>
    <t>06h10m34.46s</t>
  </si>
  <si>
    <t>-21d52m03.80s</t>
  </si>
  <si>
    <t>2020-01</t>
  </si>
  <si>
    <t>2020-02-13</t>
  </si>
  <si>
    <t>&lt;a refstr=FENG_ET_AL__2022 href=https://ui.adsabs.harvard.edu/abs/2022ApJS..262...21F/abstract target=ref&gt;Feng et al. 2022&lt;/a&gt;</t>
  </si>
  <si>
    <t>2022-09</t>
  </si>
  <si>
    <t>&lt;a refstr=TUOMI_ET_AL__2014 href=https://ui.adsabs.harvard.edu/abs/2014MNRAS.441.1545T/abstract target=ref&gt;Tuomi et al. 2014&lt;/a&gt;</t>
  </si>
  <si>
    <t>M1/M2 V</t>
  </si>
  <si>
    <t>2014-06</t>
  </si>
  <si>
    <t>&lt;a refstr=BEARD_ET_AL__2025 href=https://ui.adsabs.harvard.edu/abs/2025AJ....170..279B/abstract target=ref&gt;Beard et al. 2025&lt;/a&gt;</t>
  </si>
  <si>
    <t>06h54m48.06s</t>
  </si>
  <si>
    <t>+33d15m59.27s</t>
  </si>
  <si>
    <t>2025-11</t>
  </si>
  <si>
    <t>&lt;a refstr=STOCK_ET_AL__2020 href=https://ui.adsabs.harvard.edu/abs/2020A&amp;A...643A.112S/abstract target=ref&gt;Stock et al. 2020&lt;/a&gt;</t>
  </si>
  <si>
    <t>M3.0 V</t>
  </si>
  <si>
    <t>2021-02-26</t>
  </si>
  <si>
    <t>2020-11</t>
  </si>
  <si>
    <t>2021-03-04</t>
  </si>
  <si>
    <t>&lt;a refstr=ASTUDILLO_DEFRU_ET_AL__2017 href=https://ui.adsabs.harvard.edu/abs/2017A&amp;A...602A..88A/abstract target=ref&gt;Astudillo-Defru et al. 2017&lt;/a&gt;</t>
  </si>
  <si>
    <t>07h27m24.50s</t>
  </si>
  <si>
    <t>+05d13m32.91s</t>
  </si>
  <si>
    <t>2017-06</t>
  </si>
  <si>
    <t>2017-03-30</t>
  </si>
  <si>
    <t>05h01m56.85s</t>
  </si>
  <si>
    <t>-06d56m54.65s</t>
  </si>
  <si>
    <t>Mauna Kea Observatory</t>
  </si>
  <si>
    <t>Published Candidate</t>
  </si>
  <si>
    <t>M4 V</t>
  </si>
  <si>
    <t>06h01m10.83s</t>
  </si>
  <si>
    <t>+59d35m35.49s</t>
  </si>
  <si>
    <t>&lt;a refstr=ROBERTSON_ET_AL_2026 href=https://ui.adsabs.harvard.edu/abs/2026ApJ..1005...32R/abstract target=ref&gt;Robertson et al. 2026&lt;/a&gt;</t>
  </si>
  <si>
    <t>2026-07</t>
  </si>
  <si>
    <t>&lt;a refstr=DITOMASSO_ET_AL_2023 href=https://ui.adsabs.harvard.edu/abs/2023AJ....165...38D/abstract target=ref&gt;DiTomasso et al. 2023&lt;/a&gt;</t>
  </si>
  <si>
    <t>09h14m22.00s</t>
  </si>
  <si>
    <t>+52d41m00.68s</t>
  </si>
  <si>
    <t>&lt;a refstr=GONZ_AACUTE_LEZ__AACUTE_LVAREZ_ET_AL__2020 href=https://ui.adsabs.harvard.edu/abs/2020A&amp;A...637A..93G/abstract target=ref&gt;Gonz&amp;aacute;lez-&amp;Aacute;lvarez et al. 2020&lt;/a&gt;</t>
  </si>
  <si>
    <t>M0.0 V</t>
  </si>
  <si>
    <t>2020-07-02</t>
  </si>
  <si>
    <t>2020-05</t>
  </si>
  <si>
    <t>2020-07-09</t>
  </si>
  <si>
    <t>Transiting Exoplanet Survey Satellite (TESS)</t>
  </si>
  <si>
    <t>&lt;a refstr=KOKORI_ET_AL__2023 href=https://ui.adsabs.harvard.edu/abs/2023ApJS..265....4K/abstract target=ref&gt;Kokori et al. 2023&lt;/a&gt;</t>
  </si>
  <si>
    <t>&lt;a refstr=LUQUE_ET_AL__2019 href=https://ui.adsabs.harvard.edu/abs/2019A&amp;A...628A..39L/abstract target=ref&gt;Luque et al. 2019&lt;/a&gt;</t>
  </si>
  <si>
    <t>M2.5 V</t>
  </si>
  <si>
    <t>09h36m01.79s</t>
  </si>
  <si>
    <t>-21d39m54.23s</t>
  </si>
  <si>
    <t>2024-03-04</t>
  </si>
  <si>
    <t>&lt;a refstr=ODDO_ET_AL__2023 href=https://ui.adsabs.harvard.edu/abs/2023AJ....165..134O/abstract target=ref&gt;Oddo et al. 2023&lt;/a&gt;</t>
  </si>
  <si>
    <t>TESS Project Candidate</t>
  </si>
  <si>
    <t>&lt;a refstr=EXOFOP href=https://exofop.ipac.caltech.edu/tess/view_toi.php target=ref&gt;ExoFOP&lt;/a&gt;</t>
  </si>
  <si>
    <t>2023-04-17</t>
  </si>
  <si>
    <t>2017-07</t>
  </si>
  <si>
    <t>2019-08-09</t>
  </si>
  <si>
    <t>2019-08</t>
  </si>
  <si>
    <t>2019-08-15</t>
  </si>
  <si>
    <t>&lt;a refstr=ADAMS_REDAI_ET_AL__2025 href=https://ui.adsabs.harvard.edu/abs/2025AJ....170..219A/abstract target=ref&gt;Adams Redai et al. 2025&lt;/a&gt;</t>
  </si>
  <si>
    <t>2025-11-13</t>
  </si>
  <si>
    <t>2025-10</t>
  </si>
  <si>
    <t>&lt;a refstr=WEISSERMAN_ET_AL_2026 href=https://ui.adsabs.harvard.edu/abs/2026A&amp;A...709A.165W/abstract target=ref&gt;Weisserman et al. 2026&lt;/a&gt;</t>
  </si>
  <si>
    <t>2026-05-07</t>
  </si>
  <si>
    <t>2026-05</t>
  </si>
  <si>
    <t>2019-08-01</t>
  </si>
  <si>
    <t>&lt;a refstr=AMADO_ET_AL__2021 href=https://ui.adsabs.harvard.edu/abs/2021A&amp;A...650A.188A/abstract target=ref&gt;Amado et al. 2021&lt;/a&gt;</t>
  </si>
  <si>
    <t>M2.0 V</t>
  </si>
  <si>
    <t>10h28m54.93s</t>
  </si>
  <si>
    <t>+00d50m16.25s</t>
  </si>
  <si>
    <t>2021-06</t>
  </si>
  <si>
    <t>Haute-Provence Observatory</t>
  </si>
  <si>
    <t>M1.5 V</t>
  </si>
  <si>
    <t>11h03m20.27s</t>
  </si>
  <si>
    <t>+35d58m20.34s</t>
  </si>
  <si>
    <t>&lt;a refstr=HURT_ET_AL__2022 href=https://ui.adsabs.harvard.edu/abs/2022AJ....163..218H/abstract target=ref&gt;Hurt et al. 2022&lt;/a&gt;</t>
  </si>
  <si>
    <t>2022-05</t>
  </si>
  <si>
    <t>&lt;a refstr=D_IACUTE_AZ_ET_AL__2019 href=https://ui.adsabs.harvard.edu/abs/2019A&amp;A...625A..17D/abstract target=ref&gt;D&amp;iacute;az et al. 2019&lt;/a&gt;</t>
  </si>
  <si>
    <t>M1.9</t>
  </si>
  <si>
    <t>2019-05</t>
  </si>
  <si>
    <t>2019-03-05</t>
  </si>
  <si>
    <t>&lt;a refstr=CHARPENTIER_ET_AL_2026 href=https://ui.adsabs.harvard.edu/abs/2026A&amp;A...705A.243C/abstract target=ref&gt;Charpentier et al. 2026&lt;/a&gt;</t>
  </si>
  <si>
    <t>M4.5 V</t>
  </si>
  <si>
    <t>22h23m07.33s</t>
  </si>
  <si>
    <t>-17d36m37.47s</t>
  </si>
  <si>
    <t>2026-01</t>
  </si>
  <si>
    <t>&lt;a refstr=DELFOSSE_ET_AL__2013 href=https://ui.adsabs.harvard.edu/abs/2013A%26A...553A...8D/abstract target=ref&gt; Delfosse et al. 2013 &lt;/a&gt;</t>
  </si>
  <si>
    <t>M1.5</t>
  </si>
  <si>
    <t>11h35m26.86s</t>
  </si>
  <si>
    <t>-32d32m37.07s</t>
  </si>
  <si>
    <t>2013-05</t>
  </si>
  <si>
    <t>&lt;a refstr=STASSUN_ET_AL__2017 href=https://ui.adsabs.harvard.edu/abs/2017AJ....153..136S/abstract target=ref&gt;Stassun et al. 2017&lt;/a&gt;</t>
  </si>
  <si>
    <t>2017-03</t>
  </si>
  <si>
    <t>2018-09-06</t>
  </si>
  <si>
    <t>&lt;a refstr=WEINER_MANSFIELD_ET_AL__2024 href=https://ui.adsabs.harvard.edu/abs/2024ApJ...975L..22W/abstract target=ref&gt;Weiner Mansfield et al. 2024&lt;/a&gt;</t>
  </si>
  <si>
    <t>12h47m55.57s</t>
  </si>
  <si>
    <t>+09d44m57.91s</t>
  </si>
  <si>
    <t>2024-11</t>
  </si>
  <si>
    <t>&lt;a refstr=TRIFONOV_ET_AL__2021 href=https://ui.adsabs.harvard.edu/abs/2021Sci...371.1038T/abstract target=ref&gt;Trifonov et al. 2021&lt;/a&gt;</t>
  </si>
  <si>
    <t>M3.5 V</t>
  </si>
  <si>
    <t>2024-07-12</t>
  </si>
  <si>
    <t>2021-03</t>
  </si>
  <si>
    <t>&lt;a refstr=CABALLERO_ET_AL__2022 href=https://ui.adsabs.harvard.edu/abs/2022A&amp;A...665A.120C/abstract target=ref&gt;Caballero et al. 2022&lt;/a&gt;</t>
  </si>
  <si>
    <t>2024-08-29</t>
  </si>
  <si>
    <t>2022-11-14</t>
  </si>
  <si>
    <t>&lt;a refstr=DAMASSO_ET_AL_2022 href=https://ui.adsabs.harvard.edu/abs/2022A&amp;A...666A.187D/abstract target=ref&gt;Damasso et al. 2022&lt;/a&gt;</t>
  </si>
  <si>
    <t>M0.5-1.0 V</t>
  </si>
  <si>
    <t>13h30m00.97s</t>
  </si>
  <si>
    <t>+10d22m21.14s</t>
  </si>
  <si>
    <t>2022-10</t>
  </si>
  <si>
    <t>&lt;a refstr=MAYOR_ET_AL__2009 href=https://ui.adsabs.harvard.edu/abs/2009A&amp;A...507..487M/abstract target=ref&gt; Mayor et al. 2009 &lt;/a&gt;</t>
  </si>
  <si>
    <t>15h19m25.55s</t>
  </si>
  <si>
    <t>-07d43m21.70s</t>
  </si>
  <si>
    <t>2009-11</t>
  </si>
  <si>
    <t>&lt;a refstr=ROBERTSON_ET_AL__2014 href=https://ui.adsabs.harvard.edu/abs/2014Sci...345..440R/abstract target=ref&gt;Robertson et al. 2014&lt;/a&gt;</t>
  </si>
  <si>
    <t>2014-07-09</t>
  </si>
  <si>
    <t>2014-07</t>
  </si>
  <si>
    <t>&lt;a refstr=BONFILS_ET_AL__2005 href=https://ui.adsabs.harvard.edu/abs/2005A&amp;A...443L..15B/abstract target=ref&gt; Bonfils et al. 2005 &lt;/a&gt;</t>
  </si>
  <si>
    <t>M3 V</t>
  </si>
  <si>
    <t>2016-11-01</t>
  </si>
  <si>
    <t>2005-12</t>
  </si>
  <si>
    <t>2016-11-03</t>
  </si>
  <si>
    <t>&lt;a refstr=VON_STAUFFENBERG_ET_AL__2024 href=https://ui.adsabs.harvard.edu/abs/2024A&amp;A...688A.112V/abstract target=ref&gt;von Stauffenberg et al. 2024&lt;/a&gt;</t>
  </si>
  <si>
    <t>&lt;a refstr=VOGT_ET_AL__2010 href=https://ui.adsabs.harvard.edu/abs/2010ApJ...723..954V/abstract target=ref&gt;Vogt et al. 2010&lt;/a&gt;</t>
  </si>
  <si>
    <t>2016-11-30</t>
  </si>
  <si>
    <t>2010-11</t>
  </si>
  <si>
    <t>2016-12-01</t>
  </si>
  <si>
    <t>&lt;a refstr=TRIFONOV_ET_AL__2018 href=https://ui.adsabs.harvard.edu/abs/2018A&amp;A...609A.117T/abstract target=ref&gt;Trifonov et al. 2018&lt;/a&gt;</t>
  </si>
  <si>
    <t>2017-10-16</t>
  </si>
  <si>
    <t>2018-02</t>
  </si>
  <si>
    <t>2017-10-19</t>
  </si>
  <si>
    <t>&lt;a refstr=SU_AACUTE_REZ_MASCARE_NTILDE_O_ET_AL__2017 href=https://ui.adsabs.harvard.edu/abs/2017A&amp;A...605A..92S/abstract target=ref&gt;Su&amp;aacute;rez Mascare&amp;ntilde;o et al. 2017&lt;/a&gt;</t>
  </si>
  <si>
    <t>16h25m25.39s</t>
  </si>
  <si>
    <t>+54d18m12.10s</t>
  </si>
  <si>
    <t>2017-09</t>
  </si>
  <si>
    <t>2017-09-28</t>
  </si>
  <si>
    <t>&lt;a refstr=ANGLADA_ESCUDE_ET_AL__2012 href=https://ui.adsabs.harvard.edu/abs/2012ApJ...751L..16A/abstract target=ref&gt; Anglada-Escud&amp;eacute; et al. 2012 &lt;/a&gt;</t>
  </si>
  <si>
    <t>17h19m00.25s</t>
  </si>
  <si>
    <t>-34d59m51.95s</t>
  </si>
  <si>
    <t>2014-05-16</t>
  </si>
  <si>
    <t>2012-05</t>
  </si>
  <si>
    <t>&lt;a refstr=FEROZ__AMP__HOBSON_2014 href=https://ui.adsabs.harvard.edu/abs/2014MNRAS.437.3540F/abstract target=ref&gt;Feroz &amp;amp; Hobson 2014&lt;/a&gt;</t>
  </si>
  <si>
    <t>2014-09-18</t>
  </si>
  <si>
    <t>2014-02</t>
  </si>
  <si>
    <t>&lt;a refstr=BONFILS_ET_AL__2013 href=https://ui.adsabs.harvard.edu/abs/2013A%26A...549A.109B/abstract target=ref&gt; Bonfils et al. 2013 &lt;/a&gt;</t>
  </si>
  <si>
    <t>2013-01</t>
  </si>
  <si>
    <t>&lt;a refstr=ROBERTSON__AMP__MAHADEVAN_2014 href=https://ui.adsabs.harvard.edu/abs/2014ApJ...793L..24R/abstract target=ref&gt;Robertson &amp;amp; Mahadevan 2014&lt;/a&gt;</t>
  </si>
  <si>
    <t>&lt;a refstr=ANGLADA_ESCUDE_ET_AL__2013 href=https://ui.adsabs.harvard.edu/abs/2013A%26A...556A.126A/abstract target=ref&gt; Anglada-Escude et al. 2013 &lt;/a&gt;</t>
  </si>
  <si>
    <t>2013-08</t>
  </si>
  <si>
    <t>&lt;a refstr=BONFILS_ET_AL__2007 href=https://ui.adsabs.harvard.edu/abs/2007A&amp;A...474..293B/abstract target=ref&gt; Bonfils et al. 2007 &lt;/a&gt;</t>
  </si>
  <si>
    <t>17h28m40.81s</t>
  </si>
  <si>
    <t>-46d53m56.34s</t>
  </si>
  <si>
    <t>2007-10</t>
  </si>
  <si>
    <t>17h37m02.65s</t>
  </si>
  <si>
    <t>-44d19m23.71s</t>
  </si>
  <si>
    <t>Lick Observatory</t>
  </si>
  <si>
    <t>&lt;a refstr=FENG_ET_AL__2020 href=https://ui.adsabs.harvard.edu/abs/2020ApJS..250...29F/abstract target=ref&gt;Feng et al. 2020&lt;/a&gt;</t>
  </si>
  <si>
    <t>17h36m25.00s</t>
  </si>
  <si>
    <t>+68d20m01.23s</t>
  </si>
  <si>
    <t>2020-10</t>
  </si>
  <si>
    <t>2020-09-03</t>
  </si>
  <si>
    <t>&lt;a refstr=BURT_ET_AL__2014 href=https://ui.adsabs.harvard.edu/abs/2014ApJ...789..114B/abstract target=ref&gt; Burt et al. 2014&lt;/a&gt;</t>
  </si>
  <si>
    <t>2014-05-28</t>
  </si>
  <si>
    <t>Anglo-Australian Telescope</t>
  </si>
  <si>
    <t>&lt;a refstr=WITTENMYER_ET_AL__2014 href=https://ui.adsabs.harvard.edu/abs/2014ApJ...791..114W/abstract target=ref&gt; Wittenmyer et al. 2014&lt;/a&gt;</t>
  </si>
  <si>
    <t>21h33m33.90s</t>
  </si>
  <si>
    <t>-49d00m45.06s</t>
  </si>
  <si>
    <t>2014-06-25</t>
  </si>
  <si>
    <t>2014-08</t>
  </si>
  <si>
    <t>&lt;a refstr=PHILIPOT_ET_AL_2023 href=https://ui.adsabs.harvard.edu/abs/2023A&amp;A...678A.107P/abstract target=ref&gt;Philipot et al. 2023&lt;/a&gt;</t>
  </si>
  <si>
    <t>M2/3 V</t>
  </si>
  <si>
    <t>2023-10</t>
  </si>
  <si>
    <t>&lt;a refstr=XIAO_ET_AL__2023 href=https://ui.adsabs.harvard.edu/abs/2023RAA....23e5022X/abstract target=ref&gt;Xiao et al. 2023&lt;/a&gt;</t>
  </si>
  <si>
    <t>M1 V</t>
  </si>
  <si>
    <t>2023-06-12</t>
  </si>
  <si>
    <t>2023-05</t>
  </si>
  <si>
    <t>&lt;a refstr=BAILEY_ET_AL__2009 href=https://ui.adsabs.harvard.edu/abs/2009ApJ...690..743B/abstract target=ref&gt; Bailey et al. 2009 &lt;/a&gt;</t>
  </si>
  <si>
    <t>2009-01</t>
  </si>
  <si>
    <t>&lt;a refstr=AN_ET_AL_2025 href=https://ui.adsabs.harvard.edu/abs/2025ApJS..280...61A/abstract target=ref&gt;An et al. 2025&lt;/a&gt;</t>
  </si>
  <si>
    <t>&lt;a refstr=PINAMONTI_ET_AL__2023 href=https://ui.adsabs.harvard.edu/abs/2023A&amp;A...677A.122P/abstract target=ref&gt;Pinamonti et al. 2023&lt;/a&gt;</t>
  </si>
  <si>
    <t>22h09m41.52s</t>
  </si>
  <si>
    <t>-04d38m26.99s</t>
  </si>
  <si>
    <t>2023-09</t>
  </si>
  <si>
    <t>&lt;a refstr=BUTLER_ET_AL__2006 href=https://ui.adsabs.harvard.edu/abs/2006PASP..118.1685B/abstract target=ref&gt; Butler et al. 2006 &lt;/a&gt;</t>
  </si>
  <si>
    <t>2018-04-25</t>
  </si>
  <si>
    <t>2006-12</t>
  </si>
  <si>
    <t>2018-09-04</t>
  </si>
  <si>
    <t>&lt;a refstr=MONTET_ET_AL__2014 href=https://ui.adsabs.harvard.edu/abs/2014ApJ...781...28M/abstract target=ref&gt;Montet et al. 2014&lt;/a&gt;</t>
  </si>
  <si>
    <t>2021-06-28</t>
  </si>
  <si>
    <t>2014-01</t>
  </si>
  <si>
    <t>&lt;a refstr=FENG_ET_AL__2015 href=https://ui.adsabs.harvard.edu/abs/2015ApJ...800...22F/abstract target=ref&gt;Feng et al. 2015&lt;/a&gt;</t>
  </si>
  <si>
    <t>2015-02</t>
  </si>
  <si>
    <t>2015-02-12</t>
  </si>
  <si>
    <t>22h53m17.75s</t>
  </si>
  <si>
    <t>-14d15m59.74s</t>
  </si>
  <si>
    <t>&lt;a refstr=GAIA_COLLABORATION_ET_AL__2023 href=https://ui.adsabs.harvard.edu/abs/2023A&amp;A...674A..34G/abstract target=ref&gt;Gaia Collaboration et al. 2023&lt;/a&gt;</t>
  </si>
  <si>
    <t>2024-09-16</t>
  </si>
  <si>
    <t>2023-06</t>
  </si>
  <si>
    <t>&lt;a refstr=RIVERA_ET_AL__2010 href=https://ui.adsabs.harvard.edu/abs/2010ApJ...719..890R/abstract target=ref&gt; Rivera et al. 2010 &lt;/a&gt;</t>
  </si>
  <si>
    <t>2010-08</t>
  </si>
  <si>
    <t>&lt;a refstr=RIVERA_ET_AL__2005 href=https://ui.adsabs.harvard.edu/abs/2005ApJ...634..625R/abstract target=ref&gt; Rivera et al. 2005 &lt;/a&gt;</t>
  </si>
  <si>
    <t>2005-11</t>
  </si>
  <si>
    <t>&lt;a refstr=MARCY_ET_AL__2001 href=https://ui.adsabs.harvard.edu/abs/2001ApJ...556..296M/abstract target=ref&gt; Marcy et al. 2001 &lt;/a&gt;</t>
  </si>
  <si>
    <t>2001-07</t>
  </si>
  <si>
    <t>&lt;a refstr=NELSON_ET_AL__2016 href=https://ui.adsabs.harvard.edu/abs/2016MNRAS.455.2484N/abstract target=ref&gt;Nelson et al. 2016&lt;/a&gt;</t>
  </si>
  <si>
    <t>2016-01-27</t>
  </si>
  <si>
    <t>2016-01</t>
  </si>
  <si>
    <t>2016-01-28</t>
  </si>
  <si>
    <t>&lt;a refstr=CORREIA_ET_AL__2010 href=https://ui.adsabs.harvard.edu/abs/2010A%26A...511A..21C/abstract target=ref&gt; Correia et al. 2010 &lt;/a&gt;</t>
  </si>
  <si>
    <t>2010-02</t>
  </si>
  <si>
    <t>&lt;a refstr=MARCY_ET_AL__1998 href=https://ui.adsabs.harvard.edu/abs/1998ApJ...505L.147M/abstract target=ref&gt; Marcy et al. 1998 &lt;/a&gt;</t>
  </si>
  <si>
    <t>1998-10</t>
  </si>
  <si>
    <t>2022-05-09</t>
  </si>
  <si>
    <t>&lt;a refstr=KAMMER_ET_AL__2014 href=https://ui.adsabs.harvard.edu/abs/2014ApJ...781..103K/abstract target=ref&gt;Kammer et al. 2014&lt;/a&gt;</t>
  </si>
  <si>
    <t>2015-04-24</t>
  </si>
  <si>
    <t>&lt;a refstr=HARTOGH_ET_AL_2026 href=https://ui.adsabs.harvard.edu/abs/2026A&amp;A...707A..93H/abstract target=ref&gt;Hartogh et al. 2026&lt;/a&gt;</t>
  </si>
  <si>
    <t>23h06m00.66s</t>
  </si>
  <si>
    <t>-35d50m50.46s</t>
  </si>
  <si>
    <t>2026-03</t>
  </si>
  <si>
    <t>&lt;a refstr=JEFFERS_ET_AL__2020 href=https://ui.adsabs.harvard.edu/abs/2020Sci...368.1477J/abstract target=ref&gt;Jeffers et al. 2020&lt;/a&gt;</t>
  </si>
  <si>
    <t>&lt;a refstr=HIPPARCOS_AND_TYCHO_CATALOGS href=https://ui.adsabs.harvard.edu/abs/1997HIP...C......0E/abstract target=ref&gt; Hipparcos and Tycho Catalogs &lt;/a&gt;</t>
  </si>
  <si>
    <t>23h05m52.04s</t>
  </si>
  <si>
    <t>-35d51m11.0s</t>
  </si>
  <si>
    <t>2020-06</t>
  </si>
  <si>
    <t>Very Long Baseline Array</t>
  </si>
  <si>
    <t>&lt;a refstr=CURIEL_ET_AL__2022 href=https://ui.adsabs.harvard.edu/abs/2022AJ....164...93C/abstract target=ref&gt;Curiel et al. 2022&lt;/a&gt;</t>
  </si>
  <si>
    <t>23h31m52.81s</t>
  </si>
  <si>
    <t>+19d56m13.20s</t>
  </si>
  <si>
    <t>02h00m14.12s</t>
  </si>
  <si>
    <t>+13d02m39.54s</t>
  </si>
  <si>
    <t>&lt;a refstr=QUIRRENBACH_ET_AL_2022 href=https://ui.adsabs.harvard.edu/abs/2022A&amp;A...663A..48Q/abstract target=ref&gt;Quirrenbach et al. 2022&lt;/a&gt;</t>
  </si>
  <si>
    <t>2022-07</t>
  </si>
  <si>
    <t>&lt;a refstr=LALITHA_ET_AL__2019 href=https://ui.adsabs.harvard.edu/abs/2019A&amp;A...627A.116L/abstract target=ref&gt;Lalitha et al. 2019&lt;/a&gt;</t>
  </si>
  <si>
    <t>M1.0 V</t>
  </si>
  <si>
    <t>17h37m54.36s</t>
  </si>
  <si>
    <t>+18d35m45.42s</t>
  </si>
  <si>
    <t>2019-07</t>
  </si>
  <si>
    <t>2019-06-13</t>
  </si>
  <si>
    <t>&lt;a refstr=BURT_ET_AL__2021 href=https://ui.adsabs.harvard.edu/abs/2021AJ....161...10B/abstract target=ref&gt;Burt et al. 2021&lt;/a&gt;</t>
  </si>
  <si>
    <t>2021-01</t>
  </si>
  <si>
    <t>2020-12-17</t>
  </si>
  <si>
    <t>&lt;a refstr=AFFER_ET_AL__2019 href=https://ui.adsabs.harvard.edu/abs/2019A&amp;A...622A.193A/abstract target=ref&gt;Affer et al. 2019&lt;/a&gt;</t>
  </si>
  <si>
    <t>2024-06-25</t>
  </si>
  <si>
    <t>2019-02</t>
  </si>
  <si>
    <t>&lt;a refstr=CORTES_ZULETA_ET_AL_2025 href=https://ui.adsabs.harvard.edu/abs/2025A&amp;A...693A.164C/abstract target=ref&gt;Cort&amp;eacute;s-Zuleta et al. 2025&lt;/a&gt;</t>
  </si>
  <si>
    <t>18h42m44.02s</t>
  </si>
  <si>
    <t>+59d38m17.19s</t>
  </si>
  <si>
    <t>2025-01</t>
  </si>
  <si>
    <t>&lt;a refstr=OULD_ELHKIM_ET_AL_2026 href=https://ui.adsabs.harvard.edu/abs/2026A&amp;A...705A.234O/abstract target=ref&gt;Ould-Elhkim et al. 2026&lt;/a&gt;</t>
  </si>
  <si>
    <t>18h42m46.88s</t>
  </si>
  <si>
    <t>+59d37m37.42s</t>
  </si>
  <si>
    <t>&lt;a refstr=CONZO_ET_AL_2026 href=https://ui.adsabs.harvard.edu/abs/2026OEJV..273....1C/abstract target=ref&gt;Conzo et al. 2026&lt;/a&gt;</t>
  </si>
  <si>
    <t>01h02m37.98s</t>
  </si>
  <si>
    <t>+71d40m41.42s</t>
  </si>
  <si>
    <t>2026-06</t>
  </si>
  <si>
    <t>&lt;a refstr=KAMINSKI_ET_AL__2018 href=https://ui.adsabs.harvard.edu/abs/2018A&amp;A...618A.115K/abstract target=ref&gt;Kaminski et al. 2018&lt;/a&gt;</t>
  </si>
  <si>
    <t>19h16m54.66s</t>
  </si>
  <si>
    <t>+05d09m47.38s</t>
  </si>
  <si>
    <t>2018-10</t>
  </si>
  <si>
    <t>20h15m18.83s</t>
  </si>
  <si>
    <t>-27d02m01.52s</t>
  </si>
  <si>
    <t>&lt;a refstr=PEPE_ET_AL__2011 href=https://ui.adsabs.harvard.edu/abs/2011A%26A...534A..58P/abstract target=ref&gt; Pepe et al. 2011 &lt;/a&gt;</t>
  </si>
  <si>
    <t>2011-10</t>
  </si>
  <si>
    <t>2015-07-02</t>
  </si>
  <si>
    <t>&lt;a refstr=HOWARD_ET_AL__2011 href=https://ui.adsabs.harvard.edu/abs/2011ApJ...730...10H/abstract target=ref&gt; Howard et al. 2011 &lt;/a&gt;</t>
  </si>
  <si>
    <t>2015-04-16</t>
  </si>
  <si>
    <t>2011-03</t>
  </si>
  <si>
    <t>03h19m59.94s</t>
  </si>
  <si>
    <t>-43d03m59.95s</t>
  </si>
  <si>
    <t>G8 V</t>
  </si>
  <si>
    <t>2015-08-27</t>
  </si>
  <si>
    <t>&lt;a refstr=NARI_ET_AL_2025 href=https://ui.adsabs.harvard.edu/abs/2025A&amp;A...693A.297N/abstract target=ref&gt;Nari et al. 2025&lt;/a&gt;</t>
  </si>
  <si>
    <t>G6 V</t>
  </si>
  <si>
    <t>&lt;a refstr=FENG_ET_AL__2017 href=https://ui.adsabs.harvard.edu/abs/2017A&amp;A...605A.103F/abstract target=ref&gt;Feng et al. 2017&lt;/a&gt;</t>
  </si>
  <si>
    <t>G8</t>
  </si>
  <si>
    <t>2017-06-08</t>
  </si>
  <si>
    <t>23h13m20.93s</t>
  </si>
  <si>
    <t>+57d10m10.65s</t>
  </si>
  <si>
    <t>&lt;a refstr=SEAGER_ET_AL__2021 href=https://ui.adsabs.harvard.edu/abs/2021AJ....161..117S/abstract target=ref&gt;Seager et al. 2021&lt;/a&gt;</t>
  </si>
  <si>
    <t>2022-11-07</t>
  </si>
  <si>
    <t>2025-05-05</t>
  </si>
  <si>
    <t>&lt;a refstr=GILLON_ET_AL__2017 href=https://ui.adsabs.harvard.edu/abs/2017NatAs...1E..56G/abstract target=ref&gt;Gillon et al. 2017&lt;/a&gt;</t>
  </si>
  <si>
    <t>2017-03-16</t>
  </si>
  <si>
    <t>&lt;a refstr=MOTALEBI_ET_AL__2015 href=https://ui.adsabs.harvard.edu/abs/2015A&amp;A...584A..72M/abstract target=ref&gt;Motalebi et al. 2015&lt;/a&gt;</t>
  </si>
  <si>
    <t>K3 V</t>
  </si>
  <si>
    <t>&lt;a refstr=VOGT_ET_AL__2015 href=https://ui.adsabs.harvard.edu/abs/2015ApJ...814...12V/abstract target=ref&gt;Vogt et al. 2015&lt;/a&gt;</t>
  </si>
  <si>
    <t>2015-11</t>
  </si>
  <si>
    <t>2015-11-19</t>
  </si>
  <si>
    <t>2015-12</t>
  </si>
  <si>
    <t>&lt;a refstr=JOHNSON_ET_AL__2016 href=https://ui.adsabs.harvard.edu/abs/2016ApJ...821...74J/abstract target=ref&gt;Johnson et al. 2016&lt;/a&gt;</t>
  </si>
  <si>
    <t>2016-03-09</t>
  </si>
  <si>
    <t>2016-04</t>
  </si>
  <si>
    <t>2016-03-10</t>
  </si>
  <si>
    <t>&lt;a refstr=GONZ_AACUTE_LEZ__AACUTE_LVAREZ_ET_AL__2023 href=https://ui.adsabs.harvard.edu/abs/2023A&amp;A...675A.141G/abstract target=ref&gt;Gonz&amp;aacute;lez-&amp;Aacute;lvarez et al. 2023&lt;/a&gt;</t>
  </si>
  <si>
    <t>M4.0 V</t>
  </si>
  <si>
    <t>14h34m16.44s</t>
  </si>
  <si>
    <t>-12d31m01.22s</t>
  </si>
  <si>
    <t>2023-07</t>
  </si>
  <si>
    <t>&lt;a refstr=ANGLADA_ESCUD_EACUTE__ET_AL__2014 href=https://ui.adsabs.harvard.edu/abs/2014MNRAS.443L..89A/abstract target=ref&gt; Anglada-Escud&amp;eacute; et al. 2014&lt;/a&gt;</t>
  </si>
  <si>
    <t>05h11m50.08s</t>
  </si>
  <si>
    <t>-45d02m34.87s</t>
  </si>
  <si>
    <t>2014-09</t>
  </si>
  <si>
    <t>European Southern Observatory</t>
  </si>
  <si>
    <t>&lt;a refstr=ANGLADA_ESCUD_EACUTE__ET_AL__2016 href=https://ui.adsabs.harvard.edu/abs/2016Natur.536..437A/abstract target=ref&gt;Anglada-Escud&amp;eacute; et al. 2016&lt;/a&gt;</t>
  </si>
  <si>
    <t>14h29m34.43s</t>
  </si>
  <si>
    <t>-62d40m34.26s</t>
  </si>
  <si>
    <t>2016-08-25</t>
  </si>
  <si>
    <t>2016-08</t>
  </si>
  <si>
    <t>&lt;a refstr=SU_AMP_AACUTE_REZ_MASCARE_AMP_NTILDE_O_ET_AL__2025 href=https://ui.adsabs.harvard.edu/abs/2025A&amp;A...700A..11M/abstract target=ref&gt;Su&amp;aacute;rez Mascare&amp;ntilde;o et al. 2025&lt;/a&gt;</t>
  </si>
  <si>
    <t>2025-08</t>
  </si>
  <si>
    <t>&lt;a refstr=FARIA_ET_AL__2022 href=https://ui.adsabs.harvard.edu/abs/2022A&amp;A...658A.115F/abstract target=ref&gt;Faria et al. 2022&lt;/a&gt;</t>
  </si>
  <si>
    <t>2023-05-15</t>
  </si>
  <si>
    <t>2022-02</t>
  </si>
  <si>
    <t>&lt;a refstr=JENKINS_ET_AL__2019 href=https://ui.adsabs.harvard.edu/abs/2019MNRAS.487..268J/abstract target=ref&gt;Jenkins et al. 2019&lt;/a&gt;</t>
  </si>
  <si>
    <t>2019-06-19</t>
  </si>
  <si>
    <t>2019-06-27</t>
  </si>
  <si>
    <t>&lt;a refstr=DAMASSO_ET_AL__2020 href=https://ui.adsabs.harvard.edu/abs/2020SciA....6.7467D/abstract target=ref&gt;Damasso et al. 2020&lt;/a&gt;</t>
  </si>
  <si>
    <t>Leoncito Astronomical Complex</t>
  </si>
  <si>
    <t>&lt;a refstr=QIAN_ET_AL__2012 href=https://ui.adsabs.harvard.edu/abs/2012MNRAS.422L..24Q/abstract target=ref&gt; Qian et al. 2012 &lt;/a&gt;</t>
  </si>
  <si>
    <t>M</t>
  </si>
  <si>
    <t>04h21m05.61s</t>
  </si>
  <si>
    <t>-48d39m15.34s</t>
  </si>
  <si>
    <t>&lt;a refstr=BONFILS_ET_AL__2018 href=https://ui.adsabs.harvard.edu/abs/2018A&amp;A...613A..25B/abstract target=ref&gt;Bonfils et al. 2018&lt;/a&gt;</t>
  </si>
  <si>
    <t>11h47m45.02s</t>
  </si>
  <si>
    <t>+00d47m57.44s</t>
  </si>
  <si>
    <t>2018-05</t>
  </si>
  <si>
    <t>2017-11-17</t>
  </si>
  <si>
    <t>16h30m17.96s</t>
  </si>
  <si>
    <t>-12d40m03.67s</t>
  </si>
  <si>
    <t>&lt;a refstr=WRIGHT_ET_AL__2016 href=https://ui.adsabs.harvard.edu/abs/2016ApJ...817L..20W/abstract target=ref&gt;Wright et al. 2016&lt;/a&gt;</t>
  </si>
  <si>
    <t>M3/3.5 V</t>
  </si>
  <si>
    <t>2016-02</t>
  </si>
  <si>
    <t>2016-01-05</t>
  </si>
  <si>
    <t>&lt;a refstr=STOCK_ET_AL__2020 href=https://ui.adsabs.harvard.edu/abs/2020A&amp;A...636A.119S/abstract target=ref&gt;Stock et al. 2020&lt;/a&gt;</t>
  </si>
  <si>
    <t>01h12m31.94s</t>
  </si>
  <si>
    <t>-16d59m46.48s</t>
  </si>
  <si>
    <t>2020-04</t>
  </si>
  <si>
    <t>&lt;a refstr=ROBERTSON_2018 href=https://ui.adsabs.harvard.edu/abs/2018ApJ...864L..28R/abstract target=ref&gt;Robertson 2018&lt;/a&gt;</t>
  </si>
  <si>
    <t>2019-03-25</t>
  </si>
  <si>
    <t>2019-03-28</t>
  </si>
  <si>
    <t>&lt;a refstr=ASTUDILLO_DEFRU_ET_AL__2017 href=https://ui.adsabs.harvard.edu/abs/2017A&amp;A...605L..11A/abstract target=ref&gt;Astudillo-Defru et al. 2017&lt;/a&gt;</t>
  </si>
  <si>
    <t>2017-08-22</t>
  </si>
  <si>
    <t>2017-08-24</t>
  </si>
  <si>
    <t>&lt;a refstr=THOMPSON_ET_AL_2025 href=https://ui.adsabs.harvard.edu/abs/2025AJ....170..301T/abstract target=ref&gt;Thompson et al. 2025&lt;/a&gt;</t>
  </si>
  <si>
    <t>03h32m54.82s</t>
  </si>
  <si>
    <t>-09d27m29.42s</t>
  </si>
  <si>
    <t>&lt;a refstr=MAWET_ET_AL__2019 href=https://ui.adsabs.harvard.edu/abs/2019AJ....157...33M/abstract target=ref&gt;Mawet et al. 2019&lt;/a&gt;</t>
  </si>
  <si>
    <t>2019-01</t>
  </si>
  <si>
    <t>&lt;a refstr=LLOP_SAYSON_ET_AL__2021 href=https://ui.adsabs.harvard.edu/abs/2021AJ....162..181L/abstract target=ref&gt;Llop-Sayson et al. 2021&lt;/a&gt;</t>
  </si>
  <si>
    <t>2022-07-18</t>
  </si>
  <si>
    <t>2021-11</t>
  </si>
  <si>
    <t>&lt;a refstr=HATZES_ET_AL__2000 href=https://ui.adsabs.harvard.edu/abs/2000ApJ...544L.145H/abstract target=ref&gt; Hatzes et al. 2000 &lt;/a&gt;</t>
  </si>
  <si>
    <t>2000-12</t>
  </si>
  <si>
    <t>2015-09-03</t>
  </si>
  <si>
    <t>&lt;a refstr=BENEDICT_ET_AL__2006 href=https://ui.adsabs.harvard.edu/abs/2006AJ....132.2206B/abstract target=ref&gt; Benedict et al. 2006 &lt;/a&gt;</t>
  </si>
  <si>
    <t>2006-11</t>
  </si>
  <si>
    <t>&lt;a refstr=SANGHI_ET_AL_2026 href=https://ui.adsabs.harvard.edu/abs/2026AJ....172..115S/abstract target=ref&gt;Sanghi et al. 2026&lt;/a&gt;</t>
  </si>
  <si>
    <t>22h03m29.14s</t>
  </si>
  <si>
    <t>-56d47m48.85s</t>
  </si>
  <si>
    <t>2026-08</t>
  </si>
  <si>
    <t>&lt;a refstr=MATTHEWS_ET_AL__2024 href=https://ui.adsabs.harvard.edu/abs/2024Natur.633..789M/abstract target=ref&gt;Matthews et al. 2024&lt;/a&gt;</t>
  </si>
  <si>
    <t>2024-08-07</t>
  </si>
  <si>
    <t>2024-09</t>
  </si>
  <si>
    <t>&lt;a refstr=MATTHEWS_ET_AL_2026 href=https://ui.adsabs.harvard.edu/abs/2026arXiv260308780M/abstract target=ref&gt;Matthews et al. 2026&lt;/a&gt;</t>
  </si>
  <si>
    <t>2026-05-14</t>
  </si>
  <si>
    <t>&lt;a refstr=FENG_ET_AL__2019 href=https://ui.adsabs.harvard.edu/abs/2019MNRAS.490.5002F/abstract target=ref&gt;Feng et al. 2019&lt;/a&gt;</t>
  </si>
  <si>
    <t>2019-10-18</t>
  </si>
  <si>
    <t>2019-12</t>
  </si>
  <si>
    <t>2019-10-24</t>
  </si>
  <si>
    <t>&lt;a refstr=FENG_ET_AL__2017 href=https://ui.adsabs.harvard.edu/abs/2017AJ....154..135F/abstract target=ref&gt;Feng et al. 2017&lt;/a&gt;</t>
  </si>
  <si>
    <t>01h44m02.23s</t>
  </si>
  <si>
    <t>-15d56m01.68s</t>
  </si>
  <si>
    <t>2017-10</t>
  </si>
  <si>
    <t>2017-08-17</t>
  </si>
  <si>
    <t>field</t>
  </si>
  <si>
    <t>Planet Name</t>
  </si>
  <si>
    <t>Host Name</t>
  </si>
  <si>
    <t>Default Parameter Set</t>
  </si>
  <si>
    <t>Number of Stars</t>
  </si>
  <si>
    <t>Number of Planets</t>
  </si>
  <si>
    <t>Discovery Method</t>
  </si>
  <si>
    <t>Discovery Year</t>
  </si>
  <si>
    <t>Discovery Facility</t>
  </si>
  <si>
    <t>Solution Type</t>
  </si>
  <si>
    <t>Controversial Flag</t>
  </si>
  <si>
    <t>Planetary Parameter Reference</t>
  </si>
  <si>
    <t>Orbital Period [days]</t>
  </si>
  <si>
    <t>Orbital Period Upper Unc. [days]</t>
  </si>
  <si>
    <t>Orbital Period Lower Unc. [days]</t>
  </si>
  <si>
    <t>Orbital Period Limit Flag</t>
  </si>
  <si>
    <t>Orbit Semi-Major Axis [au]</t>
  </si>
  <si>
    <t>Orbit Semi-Major Axis Upper Unc. [au]</t>
  </si>
  <si>
    <t>Orbit Semi-Major Axis Lower Unc. [au]</t>
  </si>
  <si>
    <t>Orbit Semi-Major Axis Limit Flag</t>
  </si>
  <si>
    <t>Planet Radius [Earth Radius]</t>
  </si>
  <si>
    <t>Planet Radius Upper Unc. [Earth Radius]</t>
  </si>
  <si>
    <t>Planet Radius Lower Unc. [Earth Radius]</t>
  </si>
  <si>
    <t>Planet Radius Limit Flag</t>
  </si>
  <si>
    <t>Planet Radius [Jupiter Radius]</t>
  </si>
  <si>
    <t>Planet Radius Upper Unc. [Jupiter Radius]</t>
  </si>
  <si>
    <t>Planet Radius Lower Unc. [Jupiter Radius]</t>
  </si>
  <si>
    <t>Planet Mass or Mass*sin(i) [Earth Mass]</t>
  </si>
  <si>
    <t>Planet Mass or Mass*sin(i) [Earth Mass] Upper Unc.</t>
  </si>
  <si>
    <t>Planet Mass or Mass*sin(i) [Earth Mass] Lower Unc.</t>
  </si>
  <si>
    <t>Planet Mass or Mass*sin(i) [Earth Mass] Limit Flag</t>
  </si>
  <si>
    <t>Planet Mass or Mass*sin(i) [Jupiter Mass]</t>
  </si>
  <si>
    <t>Planet Mass or Mass*sin(i) [Jupiter Mass] Upper Unc.</t>
  </si>
  <si>
    <t>Planet Mass or Mass*sin(i) [Jupiter Mass] Lower Unc.</t>
  </si>
  <si>
    <t>Planet Mass or Mass*sin(i) [Jupiter Mass] Limit Flag</t>
  </si>
  <si>
    <t>Planet Mass or Mass*sin(i) Provenance</t>
  </si>
  <si>
    <t>Eccentricity</t>
  </si>
  <si>
    <t>Eccentricity Upper Unc.</t>
  </si>
  <si>
    <t>Eccentricity Lower Unc.</t>
  </si>
  <si>
    <t>Eccentricity Limit Flag</t>
  </si>
  <si>
    <t>Insolation Flux [Earth Flux]</t>
  </si>
  <si>
    <t>Insolation Flux Upper Unc. [Earth Flux]</t>
  </si>
  <si>
    <t>Insolation Flux Lower Unc. [Earth Flux]</t>
  </si>
  <si>
    <t>Insolation Flux Limit Flag</t>
  </si>
  <si>
    <t>Equilibrium Temperature [K]</t>
  </si>
  <si>
    <t>Equilibrium Temperature Upper Unc. [K]</t>
  </si>
  <si>
    <t>Equilibrium Temperature Lower Unc. [K]</t>
  </si>
  <si>
    <t>Equilibrium Temperature Limit Flag</t>
  </si>
  <si>
    <t>Data show Transit Timing Variations</t>
  </si>
  <si>
    <t>Stellar Parameter Reference</t>
  </si>
  <si>
    <t>Spectral Type</t>
  </si>
  <si>
    <t>Stellar Effective Temperature [K]</t>
  </si>
  <si>
    <t>Stellar Effective Temperature Upper Unc. [K]</t>
  </si>
  <si>
    <t>Stellar Effective Temperature Lower Unc. [K]</t>
  </si>
  <si>
    <t>Stellar Effective Temperature Limit Flag</t>
  </si>
  <si>
    <t>Stellar Radius [Solar Radius]</t>
  </si>
  <si>
    <t>Stellar Radius Upper Unc. [Solar Radius]</t>
  </si>
  <si>
    <t>Stellar Radius Lower Unc. [Solar Radius]</t>
  </si>
  <si>
    <t>Stellar Radius Limit Flag</t>
  </si>
  <si>
    <t>Stellar Mass [Solar mass]</t>
  </si>
  <si>
    <t>Stellar Mass Upper Unc. [Solar mass]</t>
  </si>
  <si>
    <t>Stellar Mass Lower Unc. [Solar mass]</t>
  </si>
  <si>
    <t>Stellar Mass Limit Flag</t>
  </si>
  <si>
    <t>Stellar Metallicity [dex]</t>
  </si>
  <si>
    <t>Stellar Metallicity Upper Unc. [dex]</t>
  </si>
  <si>
    <t>Stellar Metallicity Lower Unc. [dex]</t>
  </si>
  <si>
    <t>Stellar Metallicity Limit Flag</t>
  </si>
  <si>
    <t>Stellar Metallicity Ratio</t>
  </si>
  <si>
    <t>Stellar Surface Gravity [log10(cm/s**2)]</t>
  </si>
  <si>
    <t>Stellar Surface Gravity Upper Unc. [log10(cm/s**2)]</t>
  </si>
  <si>
    <t>Stellar Surface Gravity Lower Unc. [log10(cm/s**2)]</t>
  </si>
  <si>
    <t>Stellar Surface Gravity Limit Flag</t>
  </si>
  <si>
    <t>System Parameter Reference</t>
  </si>
  <si>
    <t>RA [sexagesimal]</t>
  </si>
  <si>
    <t>RA [deg]</t>
  </si>
  <si>
    <t>Dec [sexagesimal]</t>
  </si>
  <si>
    <t>Dec [deg]</t>
  </si>
  <si>
    <t>Distance [pc]</t>
  </si>
  <si>
    <t>Distance [pc] Upper Unc</t>
  </si>
  <si>
    <t>Distance [pc] Lower Unc</t>
  </si>
  <si>
    <t>V (Johnson) Magnitude</t>
  </si>
  <si>
    <t>V (Johnson) Magnitude Upper Unc</t>
  </si>
  <si>
    <t>V (Johnson) Magnitude Lower Unc</t>
  </si>
  <si>
    <t>Ks (2MASS) Magnitude</t>
  </si>
  <si>
    <t>Ks (2MASS) Magnitude Upper Unc</t>
  </si>
  <si>
    <t>Ks (2MASS) Magnitude Lower Unc</t>
  </si>
  <si>
    <t>Gaia Magnitude</t>
  </si>
  <si>
    <t>Gaia Magnitude Upper Unc</t>
  </si>
  <si>
    <t>Gaia Magnitude Lower Unc</t>
  </si>
  <si>
    <t>Date of Last Update</t>
  </si>
  <si>
    <t>Planetary Parameter Reference Publication Date</t>
  </si>
  <si>
    <t>Release Date</t>
  </si>
  <si>
    <t>test_one</t>
  </si>
  <si>
    <t>red</t>
  </si>
  <si>
    <t>test_two</t>
  </si>
  <si>
    <t>blue</t>
  </si>
  <si>
    <t>test_three</t>
  </si>
  <si>
    <t>green</t>
  </si>
  <si>
    <t>#FF0000</t>
  </si>
  <si>
    <t>#3127F5</t>
  </si>
  <si>
    <t>#27F54D</t>
  </si>
  <si>
    <t>test_two;test_three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</si>
</sst>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 x14ac:knownFonts="1">
    <font>
      <sz val="11"/>
      <color theme="1"/>
      <name val="Calibri"/>
      <family val="2"/>
      <scheme val="minor"/>
    </font>
    <font>
      <b/>
      <sz val="11"/>
      <color rgb="FFFFFFFF"/>
      <name val="Calibri"/>
    </font>
  </fonts>
  <fills count="4">
    <fill>
      <patternFill patternType="none"/>
    </fill>
    <fill>
      <patternFill patternType="gray125"/>
    </fill>
    <fill>
      <patternFill patternType="solid">
        <fgColor rgb="FF183C54"/>
      </patternFill>
    </fill>
    <fill>
      <patternFill patternType="solid">
        <fgColor rgb="FFFFF2CC"/>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center" wrapText="1"/>
    </xf>
    <xf numFmtId="0" fontId="0" fillId="3" borderId="0" xfId="0" applyFill="1"/>
    <xf numFmtId="164" fontId="0" fillId="0" borderId="0" xfId="0" applyNumberFormat="1"/>
  </cellXfs>
  <cellStyles count="1">
    <cellStyle name="Normal" xfId="0" builtinId="0"/>
  </cellStyles>
  <dxfs count="1">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1" displayName="Data1" ref="A1:AJ271">
  <autoFilter ref="A1:AJ271" xr:uid="{00000000-0009-0000-0100-000001000000}"/>
  <tableColumns count="36">
    <tableColumn id="1" xr3:uid="{00000000-0010-0000-0000-000001000000}" name="star_name"/>
    <tableColumn id="2" xr3:uid="{00000000-0010-0000-0000-000002000000}" name="has_planets"/>
    <tableColumn id="3" xr3:uid="{00000000-0010-0000-0000-000003000000}" name="planet_count"/>
    <tableColumn id="4" xr3:uid="{00000000-0010-0000-0000-000004000000}" name="planet_count_override"/>
    <tableColumn id="5" xr3:uid="{00000000-0010-0000-0000-000005000000}" name="confirmed_exoplanet_count"/>
    <tableColumn id="6" xr3:uid="{00000000-0010-0000-0000-000006000000}" name="distance_ly"/>
    <tableColumn id="7" xr3:uid="{00000000-0010-0000-0000-000007000000}" name="planet_names"/>
    <tableColumn id="8" xr3:uid="{00000000-0010-0000-0000-000008000000}" name="notes"/>
    <tableColumn id="9" xr3:uid="{00000000-0010-0000-0000-000009000000}" name="hyg_id"/>
    <tableColumn id="10" xr3:uid="{00000000-0010-0000-0000-00000A000000}" name="nasa_hosts"/>
    <tableColumn id="11" xr3:uid="{00000000-0010-0000-0000-00000B000000}" name="match_method"/>
    <tableColumn id="12" xr3:uid="{00000000-0010-0000-0000-00000C000000}" name="controversial_planet_count"/>
    <tableColumn id="13" xr3:uid="{00000000-0010-0000-0000-00000D000000}" name="distance_pc"/>
    <tableColumn id="14" xr3:uid="{00000000-0010-0000-0000-00000E000000}" name="spectral_type"/>
    <tableColumn id="15" xr3:uid="{00000000-0010-0000-0000-00000F000000}" name="hyg_luminosity_solar"/>
    <tableColumn id="16" xr3:uid="{00000000-0010-0000-0000-000010000000}" name="apparent_magnitude"/>
    <tableColumn id="17" xr3:uid="{00000000-0010-0000-0000-000011000000}" name="hip"/>
    <tableColumn id="18" xr3:uid="{00000000-0010-0000-0000-000012000000}" name="hd"/>
    <tableColumn id="19" xr3:uid="{00000000-0010-0000-0000-000013000000}" name="hr"/>
    <tableColumn id="20" xr3:uid="{00000000-0010-0000-0000-000014000000}" name="gliese"/>
    <tableColumn id="21" xr3:uid="{00000000-0010-0000-0000-000015000000}" name="bayer_flamsteed"/>
    <tableColumn id="22" xr3:uid="{00000000-0010-0000-0000-000016000000}" name="proper_name"/>
    <tableColumn id="23" xr3:uid="{00000000-0010-0000-0000-000017000000}" name="ra_deg_j2000"/>
    <tableColumn id="24" xr3:uid="{00000000-0010-0000-0000-000018000000}" name="dec_deg_j2000"/>
    <tableColumn id="25" xr3:uid="{00000000-0010-0000-0000-000019000000}" name="x_ly"/>
    <tableColumn id="26" xr3:uid="{00000000-0010-0000-0000-00001A000000}" name="y_ly"/>
    <tableColumn id="27" xr3:uid="{00000000-0010-0000-0000-00001B000000}" name="z_ly"/>
    <tableColumn id="28" xr3:uid="{00000000-0010-0000-0000-00001C000000}" name="component"/>
    <tableColumn id="29" xr3:uid="{00000000-0010-0000-0000-00001D000000}" name="primary_hyg_id"/>
    <tableColumn id="30" xr3:uid="{00000000-0010-0000-0000-00001E000000}" name="archive_planet_count"/>
    <tableColumn id="31" xr3:uid="{00000000-0010-0000-0000-00001F000000}" name="solar_system_planet_count"/>
    <tableColumn id="32" xr3:uid="{00000000-0010-0000-0000-000020000000}" name="x_pc"/>
    <tableColumn id="33" xr3:uid="{00000000-0010-0000-0000-000021000000}" name="y_pc"/>
    <tableColumn id="34" xr3:uid="{00000000-0010-0000-0000-000022000000}" name="z_pc"/>
    <tableColumn id="35" xr3:uid="{00000000-0010-0000-0000-000023000000}" name="system_id"/>
    <tableColumn id="36" xr3:uid="{00000000-0010-0000-0000-000024000000}" name="faction_owner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2" displayName="Data2" ref="A1:AK102">
  <autoFilter ref="A1:AK102" xr:uid="{00000000-0009-0000-0100-000002000000}"/>
  <tableColumns count="37">
    <tableColumn id="1" xr3:uid="{00000000-0010-0000-0100-000001000000}" name="planet_name"/>
    <tableColumn id="2" xr3:uid="{00000000-0010-0000-0100-000002000000}" name="host_name"/>
    <tableColumn id="3" xr3:uid="{00000000-0010-0000-0100-000003000000}" name="hyg_id"/>
    <tableColumn id="4" xr3:uid="{00000000-0010-0000-0100-000004000000}" name="hyg_star_name"/>
    <tableColumn id="5" xr3:uid="{00000000-0010-0000-0100-000005000000}" name="include_in_count"/>
    <tableColumn id="6" xr3:uid="{00000000-0010-0000-0100-000006000000}" name="notes"/>
    <tableColumn id="7" xr3:uid="{00000000-0010-0000-0100-000007000000}" name="semi_major_axis_au"/>
    <tableColumn id="8" xr3:uid="{00000000-0010-0000-0100-000008000000}" name="orbital_period_days"/>
    <tableColumn id="9" xr3:uid="{00000000-0010-0000-0100-000009000000}" name="eccentricity"/>
    <tableColumn id="10" xr3:uid="{00000000-0010-0000-0100-00000A000000}" name="insolation_earth"/>
    <tableColumn id="11" xr3:uid="{00000000-0010-0000-0100-00000B000000}" name="equilibrium_temperature_k"/>
    <tableColumn id="12" xr3:uid="{00000000-0010-0000-0100-00000C000000}" name="radius_earth"/>
    <tableColumn id="13" xr3:uid="{00000000-0010-0000-0100-00000D000000}" name="mass_or_msini_earth"/>
    <tableColumn id="14" xr3:uid="{00000000-0010-0000-0100-00000E000000}" name="stellar_temperature_k"/>
    <tableColumn id="15" xr3:uid="{00000000-0010-0000-0100-00000F000000}" name="stellar_mass_solar"/>
    <tableColumn id="16" xr3:uid="{00000000-0010-0000-0100-000010000000}" name="stellar_radius_solar"/>
    <tableColumn id="17" xr3:uid="{00000000-0010-0000-0100-000011000000}" name="stellar_metallicity_dex"/>
    <tableColumn id="18" xr3:uid="{00000000-0010-0000-0100-000012000000}" name="mass_provenance"/>
    <tableColumn id="19" xr3:uid="{00000000-0010-0000-0100-000013000000}" name="controversial"/>
    <tableColumn id="20" xr3:uid="{00000000-0010-0000-0100-000014000000}" name="discovery_method"/>
    <tableColumn id="21" xr3:uid="{00000000-0010-0000-0100-000015000000}" name="discovery_year"/>
    <tableColumn id="22" xr3:uid="{00000000-0010-0000-0100-000016000000}" name="nasa_distance_ly"/>
    <tableColumn id="23" xr3:uid="{00000000-0010-0000-0100-000017000000}" name="hyg_distance_ly"/>
    <tableColumn id="24" xr3:uid="{00000000-0010-0000-0100-000018000000}" name="distance_difference_percent"/>
    <tableColumn id="25" xr3:uid="{00000000-0010-0000-0100-000019000000}" name="match_method"/>
    <tableColumn id="26" xr3:uid="{00000000-0010-0000-0100-00001A000000}" name="angular_separation_arcsec"/>
    <tableColumn id="27" xr3:uid="{00000000-0010-0000-0100-00001B000000}" name="parameter_selection"/>
    <tableColumn id="28" xr3:uid="{00000000-0010-0000-0100-00001C000000}" name="source_rows"/>
    <tableColumn id="29" xr3:uid="{00000000-0010-0000-0100-00001D000000}" name="system_planet_count"/>
    <tableColumn id="30" xr3:uid="{00000000-0010-0000-0100-00001E000000}" name="system_star_count"/>
    <tableColumn id="31" xr3:uid="{00000000-0010-0000-0100-00001F000000}" name="solution_type"/>
    <tableColumn id="32" xr3:uid="{00000000-0010-0000-0100-000020000000}" name="reference"/>
    <tableColumn id="33" xr3:uid="{00000000-0010-0000-0100-000021000000}" name="reference_url"/>
    <tableColumn id="34" xr3:uid="{00000000-0010-0000-0100-000022000000}" name="stellar_reference"/>
    <tableColumn id="35" xr3:uid="{00000000-0010-0000-0100-000023000000}" name="system_reference"/>
    <tableColumn id="36" xr3:uid="{00000000-0010-0000-0100-000024000000}" name="row_updated"/>
    <tableColumn id="37" xr3:uid="{00000000-0010-0000-0100-000025000000}" name="faction_owner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4" displayName="Data4" ref="A1:B37">
  <autoFilter ref="A1:B37" xr:uid="{00000000-0009-0000-0100-000003000000}"/>
  <tableColumns count="2">
    <tableColumn id="1" xr3:uid="{00000000-0010-0000-0200-000001000000}" name="topic"/>
    <tableColumn id="2" xr3:uid="{00000000-0010-0000-0200-000002000000}"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ata5" displayName="Data5" ref="A1:M7">
  <autoFilter ref="A1:M7" xr:uid="{00000000-0009-0000-0100-000004000000}"/>
  <tableColumns count="13">
    <tableColumn id="1" xr3:uid="{00000000-0010-0000-0300-000001000000}" name="nasa_host"/>
    <tableColumn id="2" xr3:uid="{00000000-0010-0000-0300-000002000000}" name="planet_count"/>
    <tableColumn id="3" xr3:uid="{00000000-0010-0000-0300-000003000000}" name="status"/>
    <tableColumn id="4" xr3:uid="{00000000-0010-0000-0300-000004000000}" name="hyg_id"/>
    <tableColumn id="5" xr3:uid="{00000000-0010-0000-0300-000005000000}" name="hyg_name"/>
    <tableColumn id="6" xr3:uid="{00000000-0010-0000-0300-000006000000}" name="hyg_distance_ly"/>
    <tableColumn id="7" xr3:uid="{00000000-0010-0000-0300-000007000000}" name="nasa_distance_ly"/>
    <tableColumn id="8" xr3:uid="{00000000-0010-0000-0300-000008000000}" name="method"/>
    <tableColumn id="9" xr3:uid="{00000000-0010-0000-0300-000009000000}" name="evidence"/>
    <tableColumn id="10" xr3:uid="{00000000-0010-0000-0300-00000A000000}" name="angular_separation_arcsec"/>
    <tableColumn id="11" xr3:uid="{00000000-0010-0000-0300-00000B000000}" name="distance_difference_percent"/>
    <tableColumn id="12" xr3:uid="{00000000-0010-0000-0300-00000C000000}" name="candidate_hyg_ids"/>
    <tableColumn id="13" xr3:uid="{00000000-0010-0000-0300-00000D000000}" name="not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Data6" displayName="Data6" ref="A1:M4776">
  <autoFilter ref="A1:M4776" xr:uid="{00000000-0009-0000-0100-000005000000}"/>
  <tableColumns count="13">
    <tableColumn id="1" xr3:uid="{00000000-0010-0000-0400-000001000000}" name="nasa_host"/>
    <tableColumn id="2" xr3:uid="{00000000-0010-0000-0400-000002000000}" name="planet_count"/>
    <tableColumn id="3" xr3:uid="{00000000-0010-0000-0400-000003000000}" name="status"/>
    <tableColumn id="4" xr3:uid="{00000000-0010-0000-0400-000004000000}" name="hyg_id"/>
    <tableColumn id="5" xr3:uid="{00000000-0010-0000-0400-000005000000}" name="hyg_name"/>
    <tableColumn id="6" xr3:uid="{00000000-0010-0000-0400-000006000000}" name="hyg_distance_ly"/>
    <tableColumn id="7" xr3:uid="{00000000-0010-0000-0400-000007000000}" name="nasa_distance_ly"/>
    <tableColumn id="8" xr3:uid="{00000000-0010-0000-0400-000008000000}" name="method"/>
    <tableColumn id="9" xr3:uid="{00000000-0010-0000-0400-000009000000}" name="evidence"/>
    <tableColumn id="10" xr3:uid="{00000000-0010-0000-0400-00000A000000}" name="angular_separation_arcsec"/>
    <tableColumn id="11" xr3:uid="{00000000-0010-0000-0400-00000B000000}" name="distance_difference_percent"/>
    <tableColumn id="12" xr3:uid="{00000000-0010-0000-0400-00000C000000}" name="candidate_hyg_ids"/>
    <tableColumn id="13" xr3:uid="{00000000-0010-0000-0400-00000D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Data7" displayName="Data7" ref="A1:CP262">
  <autoFilter ref="A1:CP262" xr:uid="{00000000-0009-0000-0100-000006000000}"/>
  <tableColumns count="94">
    <tableColumn id="1" xr3:uid="{00000000-0010-0000-0500-000001000000}" name="hyg_id"/>
    <tableColumn id="2" xr3:uid="{00000000-0010-0000-0500-000002000000}" name="used_in_planets"/>
    <tableColumn id="3" xr3:uid="{00000000-0010-0000-0500-000003000000}" name="pl_name"/>
    <tableColumn id="4" xr3:uid="{00000000-0010-0000-0500-000004000000}" name="hostname"/>
    <tableColumn id="5" xr3:uid="{00000000-0010-0000-0500-000005000000}" name="default_flag"/>
    <tableColumn id="6" xr3:uid="{00000000-0010-0000-0500-000006000000}" name="sy_snum"/>
    <tableColumn id="7" xr3:uid="{00000000-0010-0000-0500-000007000000}" name="sy_pnum"/>
    <tableColumn id="8" xr3:uid="{00000000-0010-0000-0500-000008000000}" name="discoverymethod"/>
    <tableColumn id="9" xr3:uid="{00000000-0010-0000-0500-000009000000}" name="disc_year"/>
    <tableColumn id="10" xr3:uid="{00000000-0010-0000-0500-00000A000000}" name="disc_facility"/>
    <tableColumn id="11" xr3:uid="{00000000-0010-0000-0500-00000B000000}" name="soltype"/>
    <tableColumn id="12" xr3:uid="{00000000-0010-0000-0500-00000C000000}" name="pl_controv_flag"/>
    <tableColumn id="13" xr3:uid="{00000000-0010-0000-0500-00000D000000}" name="pl_refname"/>
    <tableColumn id="14" xr3:uid="{00000000-0010-0000-0500-00000E000000}" name="pl_orbper"/>
    <tableColumn id="15" xr3:uid="{00000000-0010-0000-0500-00000F000000}" name="pl_orbpererr1"/>
    <tableColumn id="16" xr3:uid="{00000000-0010-0000-0500-000010000000}" name="pl_orbpererr2"/>
    <tableColumn id="17" xr3:uid="{00000000-0010-0000-0500-000011000000}" name="pl_orbperlim"/>
    <tableColumn id="18" xr3:uid="{00000000-0010-0000-0500-000012000000}" name="pl_orbsmax"/>
    <tableColumn id="19" xr3:uid="{00000000-0010-0000-0500-000013000000}" name="pl_orbsmaxerr1"/>
    <tableColumn id="20" xr3:uid="{00000000-0010-0000-0500-000014000000}" name="pl_orbsmaxerr2"/>
    <tableColumn id="21" xr3:uid="{00000000-0010-0000-0500-000015000000}" name="pl_orbsmaxlim"/>
    <tableColumn id="22" xr3:uid="{00000000-0010-0000-0500-000016000000}" name="pl_rade"/>
    <tableColumn id="23" xr3:uid="{00000000-0010-0000-0500-000017000000}" name="pl_radeerr1"/>
    <tableColumn id="24" xr3:uid="{00000000-0010-0000-0500-000018000000}" name="pl_radeerr2"/>
    <tableColumn id="25" xr3:uid="{00000000-0010-0000-0500-000019000000}" name="pl_radelim"/>
    <tableColumn id="26" xr3:uid="{00000000-0010-0000-0500-00001A000000}" name="pl_radj"/>
    <tableColumn id="27" xr3:uid="{00000000-0010-0000-0500-00001B000000}" name="pl_radjerr1"/>
    <tableColumn id="28" xr3:uid="{00000000-0010-0000-0500-00001C000000}" name="pl_radjerr2"/>
    <tableColumn id="29" xr3:uid="{00000000-0010-0000-0500-00001D000000}" name="pl_radjlim"/>
    <tableColumn id="30" xr3:uid="{00000000-0010-0000-0500-00001E000000}" name="pl_bmasse"/>
    <tableColumn id="31" xr3:uid="{00000000-0010-0000-0500-00001F000000}" name="pl_bmasseerr1"/>
    <tableColumn id="32" xr3:uid="{00000000-0010-0000-0500-000020000000}" name="pl_bmasseerr2"/>
    <tableColumn id="33" xr3:uid="{00000000-0010-0000-0500-000021000000}" name="pl_bmasselim"/>
    <tableColumn id="34" xr3:uid="{00000000-0010-0000-0500-000022000000}" name="pl_bmassj"/>
    <tableColumn id="35" xr3:uid="{00000000-0010-0000-0500-000023000000}" name="pl_bmassjerr1"/>
    <tableColumn id="36" xr3:uid="{00000000-0010-0000-0500-000024000000}" name="pl_bmassjerr2"/>
    <tableColumn id="37" xr3:uid="{00000000-0010-0000-0500-000025000000}" name="pl_bmassjlim"/>
    <tableColumn id="38" xr3:uid="{00000000-0010-0000-0500-000026000000}" name="pl_bmassprov"/>
    <tableColumn id="39" xr3:uid="{00000000-0010-0000-0500-000027000000}" name="pl_orbeccen"/>
    <tableColumn id="40" xr3:uid="{00000000-0010-0000-0500-000028000000}" name="pl_orbeccenerr1"/>
    <tableColumn id="41" xr3:uid="{00000000-0010-0000-0500-000029000000}" name="pl_orbeccenerr2"/>
    <tableColumn id="42" xr3:uid="{00000000-0010-0000-0500-00002A000000}" name="pl_orbeccenlim"/>
    <tableColumn id="43" xr3:uid="{00000000-0010-0000-0500-00002B000000}" name="pl_insol"/>
    <tableColumn id="44" xr3:uid="{00000000-0010-0000-0500-00002C000000}" name="pl_insolerr1"/>
    <tableColumn id="45" xr3:uid="{00000000-0010-0000-0500-00002D000000}" name="pl_insolerr2"/>
    <tableColumn id="46" xr3:uid="{00000000-0010-0000-0500-00002E000000}" name="pl_insollim"/>
    <tableColumn id="47" xr3:uid="{00000000-0010-0000-0500-00002F000000}" name="pl_eqt"/>
    <tableColumn id="48" xr3:uid="{00000000-0010-0000-0500-000030000000}" name="pl_eqterr1"/>
    <tableColumn id="49" xr3:uid="{00000000-0010-0000-0500-000031000000}" name="pl_eqterr2"/>
    <tableColumn id="50" xr3:uid="{00000000-0010-0000-0500-000032000000}" name="pl_eqtlim"/>
    <tableColumn id="51" xr3:uid="{00000000-0010-0000-0500-000033000000}" name="ttv_flag"/>
    <tableColumn id="52" xr3:uid="{00000000-0010-0000-0500-000034000000}" name="st_refname"/>
    <tableColumn id="53" xr3:uid="{00000000-0010-0000-0500-000035000000}" name="st_spectype"/>
    <tableColumn id="54" xr3:uid="{00000000-0010-0000-0500-000036000000}" name="st_teff"/>
    <tableColumn id="55" xr3:uid="{00000000-0010-0000-0500-000037000000}" name="st_tefferr1"/>
    <tableColumn id="56" xr3:uid="{00000000-0010-0000-0500-000038000000}" name="st_tefferr2"/>
    <tableColumn id="57" xr3:uid="{00000000-0010-0000-0500-000039000000}" name="st_tefflim"/>
    <tableColumn id="58" xr3:uid="{00000000-0010-0000-0500-00003A000000}" name="st_rad"/>
    <tableColumn id="59" xr3:uid="{00000000-0010-0000-0500-00003B000000}" name="st_raderr1"/>
    <tableColumn id="60" xr3:uid="{00000000-0010-0000-0500-00003C000000}" name="st_raderr2"/>
    <tableColumn id="61" xr3:uid="{00000000-0010-0000-0500-00003D000000}" name="st_radlim"/>
    <tableColumn id="62" xr3:uid="{00000000-0010-0000-0500-00003E000000}" name="st_mass"/>
    <tableColumn id="63" xr3:uid="{00000000-0010-0000-0500-00003F000000}" name="st_masserr1"/>
    <tableColumn id="64" xr3:uid="{00000000-0010-0000-0500-000040000000}" name="st_masserr2"/>
    <tableColumn id="65" xr3:uid="{00000000-0010-0000-0500-000041000000}" name="st_masslim"/>
    <tableColumn id="66" xr3:uid="{00000000-0010-0000-0500-000042000000}" name="st_met"/>
    <tableColumn id="67" xr3:uid="{00000000-0010-0000-0500-000043000000}" name="st_meterr1"/>
    <tableColumn id="68" xr3:uid="{00000000-0010-0000-0500-000044000000}" name="st_meterr2"/>
    <tableColumn id="69" xr3:uid="{00000000-0010-0000-0500-000045000000}" name="st_metlim"/>
    <tableColumn id="70" xr3:uid="{00000000-0010-0000-0500-000046000000}" name="st_metratio"/>
    <tableColumn id="71" xr3:uid="{00000000-0010-0000-0500-000047000000}" name="st_logg"/>
    <tableColumn id="72" xr3:uid="{00000000-0010-0000-0500-000048000000}" name="st_loggerr1"/>
    <tableColumn id="73" xr3:uid="{00000000-0010-0000-0500-000049000000}" name="st_loggerr2"/>
    <tableColumn id="74" xr3:uid="{00000000-0010-0000-0500-00004A000000}" name="st_logglim"/>
    <tableColumn id="75" xr3:uid="{00000000-0010-0000-0500-00004B000000}" name="sy_refname"/>
    <tableColumn id="76" xr3:uid="{00000000-0010-0000-0500-00004C000000}" name="rastr"/>
    <tableColumn id="77" xr3:uid="{00000000-0010-0000-0500-00004D000000}" name="ra"/>
    <tableColumn id="78" xr3:uid="{00000000-0010-0000-0500-00004E000000}" name="decstr"/>
    <tableColumn id="79" xr3:uid="{00000000-0010-0000-0500-00004F000000}" name="dec"/>
    <tableColumn id="80" xr3:uid="{00000000-0010-0000-0500-000050000000}" name="sy_dist"/>
    <tableColumn id="81" xr3:uid="{00000000-0010-0000-0500-000051000000}" name="sy_disterr1"/>
    <tableColumn id="82" xr3:uid="{00000000-0010-0000-0500-000052000000}" name="sy_disterr2"/>
    <tableColumn id="83" xr3:uid="{00000000-0010-0000-0500-000053000000}" name="sy_vmag"/>
    <tableColumn id="84" xr3:uid="{00000000-0010-0000-0500-000054000000}" name="sy_vmagerr1"/>
    <tableColumn id="85" xr3:uid="{00000000-0010-0000-0500-000055000000}" name="sy_vmagerr2"/>
    <tableColumn id="86" xr3:uid="{00000000-0010-0000-0500-000056000000}" name="sy_kmag"/>
    <tableColumn id="87" xr3:uid="{00000000-0010-0000-0500-000057000000}" name="sy_kmagerr1"/>
    <tableColumn id="88" xr3:uid="{00000000-0010-0000-0500-000058000000}" name="sy_kmagerr2"/>
    <tableColumn id="89" xr3:uid="{00000000-0010-0000-0500-000059000000}" name="sy_gaiamag"/>
    <tableColumn id="90" xr3:uid="{00000000-0010-0000-0500-00005A000000}" name="sy_gaiamagerr1"/>
    <tableColumn id="91" xr3:uid="{00000000-0010-0000-0500-00005B000000}" name="sy_gaiamagerr2"/>
    <tableColumn id="92" xr3:uid="{00000000-0010-0000-0500-00005C000000}" name="rowupdate"/>
    <tableColumn id="93" xr3:uid="{00000000-0010-0000-0500-00005D000000}" name="pl_pubdate"/>
    <tableColumn id="94" xr3:uid="{00000000-0010-0000-0500-00005E000000}" name="releasedat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Data8" displayName="Data8" ref="A1:B93">
  <autoFilter ref="A1:B93" xr:uid="{00000000-0009-0000-0100-000007000000}"/>
  <tableColumns count="2">
    <tableColumn id="1" xr3:uid="{00000000-0010-0000-0600-000001000000}" name="field"/>
    <tableColumn id="2" xr3:uid="{00000000-0010-0000-0600-000002000000}"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71"/>
  <sheetViews>
    <sheetView tabSelected="1" workbookViewId="0">
      <pane xSplit="1" ySplit="1" topLeftCell="AC68" activePane="bottomRight" state="frozen"/>
      <selection pane="topRight"/>
      <selection pane="bottomLeft"/>
      <selection pane="bottomRight" activeCell="AK23" sqref="AK23"/>
    </sheetView>
  </sheetViews>
  <sheetFormatPr defaultRowHeight="14.25" x14ac:dyDescent="0.45"/>
  <cols>
    <col min="1" max="3" width="16" customWidth="1"/>
    <col min="4" max="4" width="23" customWidth="1"/>
    <col min="5" max="5" width="27" customWidth="1"/>
    <col min="6" max="6" width="16" customWidth="1"/>
    <col min="7" max="8" width="65" customWidth="1"/>
    <col min="9" max="11" width="16" customWidth="1"/>
    <col min="12" max="12" width="28" customWidth="1"/>
    <col min="13" max="14" width="16" customWidth="1"/>
    <col min="15" max="15" width="22" customWidth="1"/>
    <col min="16" max="16" width="20" customWidth="1"/>
    <col min="17" max="20" width="16" customWidth="1"/>
    <col min="21" max="21" width="17" customWidth="1"/>
    <col min="22" max="29" width="16" customWidth="1"/>
    <col min="30" max="30" width="22" customWidth="1"/>
    <col min="31" max="31" width="27" customWidth="1"/>
    <col min="32" max="34" width="16" customWidth="1"/>
    <col min="35" max="36" width="30" customWidth="1"/>
  </cols>
  <sheetData>
    <row r="1" spans="1:36" ht="34.049999999999997" customHeight="1" x14ac:dyDescent="0.4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row>
    <row r="2" spans="1:36" x14ac:dyDescent="0.45">
      <c r="A2" t="s">
        <v>36</v>
      </c>
      <c r="B2" t="str">
        <f t="shared" ref="B2:B65" si="0">IF(C2&gt;0,"Yes",IF(D2="","Unknown","No"))</f>
        <v>Yes</v>
      </c>
      <c r="C2">
        <f>IF(D2="",E2+8,D2)</f>
        <v>8</v>
      </c>
      <c r="D2" s="2"/>
      <c r="E2">
        <f>COUNTIFS(Planets!$C:$C,I2,Planets!$E:$E,1)</f>
        <v>0</v>
      </c>
      <c r="F2" s="3">
        <v>0</v>
      </c>
      <c r="G2" t="s">
        <v>37</v>
      </c>
      <c r="H2" s="2" t="s">
        <v>38</v>
      </c>
      <c r="I2" t="s">
        <v>39</v>
      </c>
      <c r="L2">
        <v>0</v>
      </c>
      <c r="M2" s="3">
        <v>0</v>
      </c>
      <c r="N2" t="s">
        <v>40</v>
      </c>
      <c r="O2" s="3">
        <v>1</v>
      </c>
      <c r="P2" s="3">
        <v>-26.7</v>
      </c>
      <c r="V2" t="s">
        <v>36</v>
      </c>
      <c r="W2" s="3">
        <v>0</v>
      </c>
      <c r="X2" s="3">
        <v>0</v>
      </c>
      <c r="Y2" s="3">
        <v>0</v>
      </c>
      <c r="Z2" s="3">
        <v>0</v>
      </c>
      <c r="AA2" s="3">
        <v>0</v>
      </c>
      <c r="AB2" t="s">
        <v>41</v>
      </c>
      <c r="AC2" t="s">
        <v>39</v>
      </c>
      <c r="AD2">
        <v>0</v>
      </c>
      <c r="AE2">
        <v>8</v>
      </c>
      <c r="AF2" s="3">
        <v>0</v>
      </c>
      <c r="AG2" s="3">
        <v>0</v>
      </c>
      <c r="AH2" s="3">
        <v>0</v>
      </c>
      <c r="AI2" s="2" t="s">
        <v>42</v>
      </c>
      <c r="AJ2" s="2" t="s">
        <v>8460</v>
      </c>
    </row>
    <row r="3" spans="1:36" x14ac:dyDescent="0.45">
      <c r="A3" t="s">
        <v>43</v>
      </c>
      <c r="B3" t="str">
        <f t="shared" si="0"/>
        <v>Yes</v>
      </c>
      <c r="C3">
        <f t="shared" ref="C3:C66" si="1">IF(D3="",E3+0,D3)</f>
        <v>2</v>
      </c>
      <c r="D3" s="2"/>
      <c r="E3">
        <f>COUNTIFS(Planets!$C:$C,I3,Planets!$E:$E,1)</f>
        <v>2</v>
      </c>
      <c r="F3" s="3">
        <v>4.2266604988312766</v>
      </c>
      <c r="G3" t="s">
        <v>44</v>
      </c>
      <c r="H3" s="2"/>
      <c r="I3" t="s">
        <v>45</v>
      </c>
      <c r="J3" t="s">
        <v>46</v>
      </c>
      <c r="K3" t="s">
        <v>47</v>
      </c>
      <c r="L3">
        <v>0</v>
      </c>
      <c r="M3" s="3">
        <v>1.2959000000000001</v>
      </c>
      <c r="N3" t="s">
        <v>48</v>
      </c>
      <c r="O3" s="3">
        <v>5.7703213533300003E-5</v>
      </c>
      <c r="P3" s="3">
        <v>11.01</v>
      </c>
      <c r="Q3" t="s">
        <v>49</v>
      </c>
      <c r="T3" t="s">
        <v>50</v>
      </c>
      <c r="V3" t="s">
        <v>43</v>
      </c>
      <c r="W3" s="3">
        <v>217.439775</v>
      </c>
      <c r="X3" s="3">
        <v>-62.679485</v>
      </c>
      <c r="Y3" s="3">
        <v>-1.5403191556602009</v>
      </c>
      <c r="Z3" s="3">
        <v>-1.178895488820946</v>
      </c>
      <c r="AA3" s="3">
        <v>-3.7547741899869149</v>
      </c>
      <c r="AB3" t="s">
        <v>41</v>
      </c>
      <c r="AC3" t="s">
        <v>45</v>
      </c>
      <c r="AD3">
        <v>2</v>
      </c>
      <c r="AE3">
        <v>0</v>
      </c>
      <c r="AF3" s="3">
        <v>-0.47226400000000002</v>
      </c>
      <c r="AG3" s="3">
        <v>-0.36145100000000002</v>
      </c>
      <c r="AH3" s="3">
        <v>-1.151219</v>
      </c>
      <c r="AI3" s="2" t="s">
        <v>51</v>
      </c>
      <c r="AJ3" s="2" t="s">
        <v>8460</v>
      </c>
    </row>
    <row r="4" spans="1:36" x14ac:dyDescent="0.45">
      <c r="A4" t="s">
        <v>52</v>
      </c>
      <c r="B4" t="str">
        <f t="shared" si="0"/>
        <v>Unknown</v>
      </c>
      <c r="C4">
        <f t="shared" si="1"/>
        <v>0</v>
      </c>
      <c r="D4" s="2"/>
      <c r="E4">
        <f>COUNTIFS(Planets!$C:$C,I4,Planets!$E:$E,1)</f>
        <v>0</v>
      </c>
      <c r="F4" s="3">
        <v>4.3209196919914152</v>
      </c>
      <c r="H4" s="2"/>
      <c r="I4" t="s">
        <v>53</v>
      </c>
      <c r="L4">
        <v>0</v>
      </c>
      <c r="M4" s="3">
        <v>1.3248</v>
      </c>
      <c r="N4" t="s">
        <v>54</v>
      </c>
      <c r="O4" s="3">
        <v>0.44096081645063762</v>
      </c>
      <c r="P4" s="3">
        <v>1.35</v>
      </c>
      <c r="Q4" t="s">
        <v>55</v>
      </c>
      <c r="R4" t="s">
        <v>56</v>
      </c>
      <c r="S4" t="s">
        <v>57</v>
      </c>
      <c r="T4" t="s">
        <v>58</v>
      </c>
      <c r="U4" t="s">
        <v>59</v>
      </c>
      <c r="V4" t="s">
        <v>52</v>
      </c>
      <c r="W4" s="3">
        <v>219.90519</v>
      </c>
      <c r="X4" s="3">
        <v>-60.838299999999997</v>
      </c>
      <c r="Y4" s="3">
        <v>-1.615064412741547</v>
      </c>
      <c r="Z4" s="3">
        <v>-1.3501993415253339</v>
      </c>
      <c r="AA4" s="3">
        <v>-3.772566020391364</v>
      </c>
      <c r="AB4" t="s">
        <v>60</v>
      </c>
      <c r="AC4" t="s">
        <v>61</v>
      </c>
      <c r="AD4">
        <v>0</v>
      </c>
      <c r="AE4">
        <v>0</v>
      </c>
      <c r="AF4" s="3">
        <v>-0.49518099999999998</v>
      </c>
      <c r="AG4" s="3">
        <v>-0.41397299999999998</v>
      </c>
      <c r="AH4" s="3">
        <v>-1.156674</v>
      </c>
      <c r="AI4" s="2" t="s">
        <v>62</v>
      </c>
      <c r="AJ4" s="2" t="s">
        <v>8460</v>
      </c>
    </row>
    <row r="5" spans="1:36" x14ac:dyDescent="0.45">
      <c r="A5" t="s">
        <v>63</v>
      </c>
      <c r="B5" t="str">
        <f t="shared" si="0"/>
        <v>Unknown</v>
      </c>
      <c r="C5">
        <f t="shared" si="1"/>
        <v>0</v>
      </c>
      <c r="D5" s="2"/>
      <c r="E5">
        <f>COUNTIFS(Planets!$C:$C,I5,Planets!$E:$E,1)</f>
        <v>0</v>
      </c>
      <c r="F5" s="3">
        <v>4.3209196919914152</v>
      </c>
      <c r="H5" s="2"/>
      <c r="I5" t="s">
        <v>61</v>
      </c>
      <c r="L5">
        <v>0</v>
      </c>
      <c r="M5" s="3">
        <v>1.3248</v>
      </c>
      <c r="N5" t="s">
        <v>40</v>
      </c>
      <c r="O5" s="3">
        <v>1.5431210656577921</v>
      </c>
      <c r="P5" s="3">
        <v>-0.01</v>
      </c>
      <c r="Q5" t="s">
        <v>64</v>
      </c>
      <c r="R5" t="s">
        <v>65</v>
      </c>
      <c r="S5" t="s">
        <v>66</v>
      </c>
      <c r="T5" t="s">
        <v>67</v>
      </c>
      <c r="U5" t="s">
        <v>68</v>
      </c>
      <c r="V5" t="s">
        <v>63</v>
      </c>
      <c r="W5" s="3">
        <v>219.911475</v>
      </c>
      <c r="X5" s="3">
        <v>-60.833976</v>
      </c>
      <c r="Y5" s="3">
        <v>-1.615136167144644</v>
      </c>
      <c r="Z5" s="3">
        <v>-1.3505613751045999</v>
      </c>
      <c r="AA5" s="3">
        <v>-3.7724062037662831</v>
      </c>
      <c r="AB5" t="s">
        <v>41</v>
      </c>
      <c r="AC5" t="s">
        <v>61</v>
      </c>
      <c r="AD5">
        <v>0</v>
      </c>
      <c r="AE5">
        <v>0</v>
      </c>
      <c r="AF5" s="3">
        <v>-0.495203</v>
      </c>
      <c r="AG5" s="3">
        <v>-0.41408400000000001</v>
      </c>
      <c r="AH5" s="3">
        <v>-1.156625</v>
      </c>
      <c r="AI5" s="2" t="s">
        <v>62</v>
      </c>
      <c r="AJ5" s="2" t="s">
        <v>8460</v>
      </c>
    </row>
    <row r="6" spans="1:36" x14ac:dyDescent="0.45">
      <c r="A6" t="s">
        <v>69</v>
      </c>
      <c r="B6" t="str">
        <f t="shared" si="0"/>
        <v>Yes</v>
      </c>
      <c r="C6">
        <f t="shared" si="1"/>
        <v>4</v>
      </c>
      <c r="D6" s="2"/>
      <c r="E6">
        <f>COUNTIFS(Planets!$C:$C,I6,Planets!$E:$E,1)</f>
        <v>4</v>
      </c>
      <c r="F6" s="3">
        <v>5.9484400167979654</v>
      </c>
      <c r="G6" t="s">
        <v>70</v>
      </c>
      <c r="H6" s="2"/>
      <c r="I6" t="s">
        <v>71</v>
      </c>
      <c r="J6" t="s">
        <v>72</v>
      </c>
      <c r="K6" t="s">
        <v>73</v>
      </c>
      <c r="L6">
        <v>0</v>
      </c>
      <c r="M6" s="3">
        <v>1.8238000000000001</v>
      </c>
      <c r="N6" t="s">
        <v>74</v>
      </c>
      <c r="O6" s="3">
        <v>4.4258837236260001E-4</v>
      </c>
      <c r="P6" s="3">
        <v>9.5399999999999991</v>
      </c>
      <c r="Q6" t="s">
        <v>75</v>
      </c>
      <c r="T6" t="s">
        <v>76</v>
      </c>
      <c r="V6" t="s">
        <v>69</v>
      </c>
      <c r="W6" s="3">
        <v>269.45208000000002</v>
      </c>
      <c r="X6" s="3">
        <v>4.6933879999999997</v>
      </c>
      <c r="Y6" s="3">
        <v>-5.6663147500729823E-2</v>
      </c>
      <c r="Z6" s="3">
        <v>-5.9249991579314623</v>
      </c>
      <c r="AA6" s="3">
        <v>0.48637417514253922</v>
      </c>
      <c r="AB6" t="s">
        <v>41</v>
      </c>
      <c r="AC6" t="s">
        <v>71</v>
      </c>
      <c r="AD6">
        <v>4</v>
      </c>
      <c r="AE6">
        <v>0</v>
      </c>
      <c r="AF6" s="3">
        <v>-1.7373E-2</v>
      </c>
      <c r="AG6" s="3">
        <v>-1.816613</v>
      </c>
      <c r="AH6" s="3">
        <v>0.14912300000000001</v>
      </c>
      <c r="AI6" s="2" t="s">
        <v>77</v>
      </c>
      <c r="AJ6" s="2" t="s">
        <v>8460</v>
      </c>
    </row>
    <row r="7" spans="1:36" x14ac:dyDescent="0.45">
      <c r="A7" t="s">
        <v>78</v>
      </c>
      <c r="B7" t="str">
        <f t="shared" si="0"/>
        <v>Unknown</v>
      </c>
      <c r="C7">
        <f t="shared" si="1"/>
        <v>0</v>
      </c>
      <c r="D7" s="2"/>
      <c r="E7">
        <f>COUNTIFS(Planets!$C:$C,I7,Planets!$E:$E,1)</f>
        <v>0</v>
      </c>
      <c r="F7" s="3">
        <v>7.7970943656964664</v>
      </c>
      <c r="H7" s="2"/>
      <c r="I7" t="s">
        <v>79</v>
      </c>
      <c r="L7">
        <v>0</v>
      </c>
      <c r="M7" s="3">
        <v>2.3906000000000001</v>
      </c>
      <c r="N7" t="s">
        <v>80</v>
      </c>
      <c r="O7" s="3">
        <v>2.0758692704999999E-5</v>
      </c>
      <c r="P7" s="3">
        <v>13.45</v>
      </c>
      <c r="T7" t="s">
        <v>81</v>
      </c>
      <c r="V7" t="s">
        <v>78</v>
      </c>
      <c r="W7" s="3">
        <v>164.12226000000001</v>
      </c>
      <c r="X7" s="3">
        <v>7.01532</v>
      </c>
      <c r="Y7" s="3">
        <v>-7.4455336677193662</v>
      </c>
      <c r="Z7" s="3">
        <v>2.1178442536832378</v>
      </c>
      <c r="AA7" s="3">
        <v>0.95256253206818908</v>
      </c>
      <c r="AB7" t="s">
        <v>41</v>
      </c>
      <c r="AC7" t="s">
        <v>79</v>
      </c>
      <c r="AD7">
        <v>0</v>
      </c>
      <c r="AE7">
        <v>0</v>
      </c>
      <c r="AF7" s="3">
        <v>-2.2828110000000001</v>
      </c>
      <c r="AG7" s="3">
        <v>0.64933399999999997</v>
      </c>
      <c r="AH7" s="3">
        <v>0.29205700000000001</v>
      </c>
      <c r="AI7" s="2" t="s">
        <v>82</v>
      </c>
      <c r="AJ7" s="2" t="s">
        <v>8460</v>
      </c>
    </row>
    <row r="8" spans="1:36" x14ac:dyDescent="0.45">
      <c r="A8" t="s">
        <v>83</v>
      </c>
      <c r="B8" t="str">
        <f t="shared" si="0"/>
        <v>Yes</v>
      </c>
      <c r="C8">
        <f t="shared" si="1"/>
        <v>2</v>
      </c>
      <c r="D8" s="2"/>
      <c r="E8">
        <f>COUNTIFS(Planets!$C:$C,I8,Planets!$E:$E,1)</f>
        <v>2</v>
      </c>
      <c r="F8" s="3">
        <v>8.306876784067736</v>
      </c>
      <c r="G8" t="s">
        <v>84</v>
      </c>
      <c r="H8" s="2" t="s">
        <v>85</v>
      </c>
      <c r="I8" t="s">
        <v>86</v>
      </c>
      <c r="J8" t="s">
        <v>87</v>
      </c>
      <c r="K8" t="s">
        <v>73</v>
      </c>
      <c r="L8">
        <v>0</v>
      </c>
      <c r="M8" s="3">
        <v>2.5468999999999999</v>
      </c>
      <c r="N8" t="s">
        <v>88</v>
      </c>
      <c r="O8" s="3">
        <v>5.7016427228074656E-3</v>
      </c>
      <c r="P8" s="3">
        <v>7.49</v>
      </c>
      <c r="Q8" t="s">
        <v>89</v>
      </c>
      <c r="R8" t="s">
        <v>90</v>
      </c>
      <c r="T8" t="s">
        <v>91</v>
      </c>
      <c r="V8" t="s">
        <v>83</v>
      </c>
      <c r="W8" s="3">
        <v>165.83448000000001</v>
      </c>
      <c r="X8" s="3">
        <v>35.969876999999997</v>
      </c>
      <c r="Y8" s="3">
        <v>-6.5166044267805319</v>
      </c>
      <c r="Z8" s="3">
        <v>1.644822920644422</v>
      </c>
      <c r="AA8" s="3">
        <v>4.8776816750090051</v>
      </c>
      <c r="AB8" t="s">
        <v>41</v>
      </c>
      <c r="AC8" t="s">
        <v>86</v>
      </c>
      <c r="AD8">
        <v>2</v>
      </c>
      <c r="AE8">
        <v>0</v>
      </c>
      <c r="AF8" s="3">
        <v>-1.998</v>
      </c>
      <c r="AG8" s="3">
        <v>0.504305</v>
      </c>
      <c r="AH8" s="3">
        <v>1.4955039999999999</v>
      </c>
      <c r="AI8" s="2" t="s">
        <v>92</v>
      </c>
      <c r="AJ8" s="2" t="s">
        <v>8460</v>
      </c>
    </row>
    <row r="9" spans="1:36" x14ac:dyDescent="0.45">
      <c r="A9" t="s">
        <v>93</v>
      </c>
      <c r="B9" t="str">
        <f t="shared" si="0"/>
        <v>Unknown</v>
      </c>
      <c r="C9">
        <f t="shared" si="1"/>
        <v>0</v>
      </c>
      <c r="D9" s="2"/>
      <c r="E9">
        <f>COUNTIFS(Planets!$C:$C,I9,Planets!$E:$E,1)</f>
        <v>0</v>
      </c>
      <c r="F9" s="3">
        <v>8.5671495734856968</v>
      </c>
      <c r="H9" s="2"/>
      <c r="I9" t="s">
        <v>94</v>
      </c>
      <c r="L9">
        <v>0</v>
      </c>
      <c r="M9" s="3">
        <v>2.6267</v>
      </c>
      <c r="N9" t="s">
        <v>95</v>
      </c>
      <c r="O9" s="3">
        <v>5.63378150851E-5</v>
      </c>
      <c r="P9" s="3">
        <v>12.57</v>
      </c>
      <c r="T9" t="s">
        <v>93</v>
      </c>
      <c r="W9" s="3">
        <v>24.752984999999999</v>
      </c>
      <c r="X9" s="3">
        <v>-17.949781999999999</v>
      </c>
      <c r="Y9" s="3">
        <v>7.4053772944948806</v>
      </c>
      <c r="Z9" s="3">
        <v>3.4147594277809881</v>
      </c>
      <c r="AA9" s="3">
        <v>-2.6417459816458662</v>
      </c>
      <c r="AB9" t="s">
        <v>41</v>
      </c>
      <c r="AC9" t="s">
        <v>94</v>
      </c>
      <c r="AD9">
        <v>0</v>
      </c>
      <c r="AE9">
        <v>0</v>
      </c>
      <c r="AF9" s="3">
        <v>2.270499</v>
      </c>
      <c r="AG9" s="3">
        <v>1.04697</v>
      </c>
      <c r="AH9" s="3">
        <v>-0.80996299999999999</v>
      </c>
      <c r="AI9" s="2" t="s">
        <v>96</v>
      </c>
      <c r="AJ9" s="2" t="s">
        <v>8462</v>
      </c>
    </row>
    <row r="10" spans="1:36" x14ac:dyDescent="0.45">
      <c r="A10" t="s">
        <v>97</v>
      </c>
      <c r="B10" t="str">
        <f t="shared" si="0"/>
        <v>Unknown</v>
      </c>
      <c r="C10">
        <f t="shared" si="1"/>
        <v>0</v>
      </c>
      <c r="D10" s="2"/>
      <c r="E10">
        <f>COUNTIFS(Planets!$C:$C,I10,Planets!$E:$E,1)</f>
        <v>0</v>
      </c>
      <c r="F10" s="3">
        <v>8.5671495734856968</v>
      </c>
      <c r="H10" s="2"/>
      <c r="I10" t="s">
        <v>98</v>
      </c>
      <c r="L10">
        <v>0</v>
      </c>
      <c r="M10" s="3">
        <v>2.6267</v>
      </c>
      <c r="N10" t="s">
        <v>95</v>
      </c>
      <c r="O10" s="3">
        <v>4.9980431357800003E-5</v>
      </c>
      <c r="P10" s="3">
        <v>12.7</v>
      </c>
      <c r="T10" t="s">
        <v>97</v>
      </c>
      <c r="W10" s="3">
        <v>24.752984999999999</v>
      </c>
      <c r="X10" s="3">
        <v>-17.949781999999999</v>
      </c>
      <c r="Y10" s="3">
        <v>7.4058078209134646</v>
      </c>
      <c r="Z10" s="3">
        <v>3.414958383171395</v>
      </c>
      <c r="AA10" s="3">
        <v>-2.641899275143393</v>
      </c>
      <c r="AB10" t="s">
        <v>60</v>
      </c>
      <c r="AC10" t="s">
        <v>94</v>
      </c>
      <c r="AD10">
        <v>0</v>
      </c>
      <c r="AE10">
        <v>0</v>
      </c>
      <c r="AF10" s="3">
        <v>2.2706309999999998</v>
      </c>
      <c r="AG10" s="3">
        <v>1.047031</v>
      </c>
      <c r="AH10" s="3">
        <v>-0.81001000000000001</v>
      </c>
      <c r="AI10" s="2" t="s">
        <v>96</v>
      </c>
      <c r="AJ10" s="2" t="s">
        <v>8462</v>
      </c>
    </row>
    <row r="11" spans="1:36" x14ac:dyDescent="0.45">
      <c r="A11" t="s">
        <v>99</v>
      </c>
      <c r="B11" t="str">
        <f t="shared" si="0"/>
        <v>Unknown</v>
      </c>
      <c r="C11">
        <f t="shared" si="1"/>
        <v>0</v>
      </c>
      <c r="D11" s="2"/>
      <c r="E11">
        <f>COUNTIFS(Planets!$C:$C,I11,Planets!$E:$E,1)</f>
        <v>0</v>
      </c>
      <c r="F11" s="3">
        <v>8.6010698367682394</v>
      </c>
      <c r="H11" s="2"/>
      <c r="I11" t="s">
        <v>100</v>
      </c>
      <c r="L11">
        <v>0</v>
      </c>
      <c r="M11" s="3">
        <v>2.6371000000000002</v>
      </c>
      <c r="N11" t="s">
        <v>101</v>
      </c>
      <c r="O11" s="3">
        <v>22.82443312173503</v>
      </c>
      <c r="P11" s="3">
        <v>-1.44</v>
      </c>
      <c r="Q11" t="s">
        <v>102</v>
      </c>
      <c r="R11" t="s">
        <v>103</v>
      </c>
      <c r="S11" t="s">
        <v>104</v>
      </c>
      <c r="T11" t="s">
        <v>105</v>
      </c>
      <c r="U11" t="s">
        <v>106</v>
      </c>
      <c r="V11" t="s">
        <v>99</v>
      </c>
      <c r="W11" s="3">
        <v>101.287215</v>
      </c>
      <c r="X11" s="3">
        <v>-16.716116</v>
      </c>
      <c r="Y11" s="3">
        <v>-1.6122659910207371</v>
      </c>
      <c r="Z11" s="3">
        <v>8.0780161153876744</v>
      </c>
      <c r="AA11" s="3">
        <v>-2.4738472015248409</v>
      </c>
      <c r="AB11" t="s">
        <v>41</v>
      </c>
      <c r="AC11" t="s">
        <v>100</v>
      </c>
      <c r="AD11">
        <v>0</v>
      </c>
      <c r="AE11">
        <v>0</v>
      </c>
      <c r="AF11" s="3">
        <v>-0.49432300000000001</v>
      </c>
      <c r="AG11" s="3">
        <v>2.476731</v>
      </c>
      <c r="AH11" s="3">
        <v>-0.75848499999999996</v>
      </c>
      <c r="AI11" s="2" t="s">
        <v>107</v>
      </c>
      <c r="AJ11" s="2" t="s">
        <v>8462</v>
      </c>
    </row>
    <row r="12" spans="1:36" x14ac:dyDescent="0.45">
      <c r="A12" t="s">
        <v>108</v>
      </c>
      <c r="B12" t="str">
        <f t="shared" si="0"/>
        <v>Unknown</v>
      </c>
      <c r="C12">
        <f t="shared" si="1"/>
        <v>0</v>
      </c>
      <c r="D12" s="2"/>
      <c r="E12">
        <f>COUNTIFS(Planets!$C:$C,I12,Planets!$E:$E,1)</f>
        <v>0</v>
      </c>
      <c r="F12" s="3">
        <v>8.6010698367682394</v>
      </c>
      <c r="H12" s="2"/>
      <c r="I12" t="s">
        <v>109</v>
      </c>
      <c r="L12">
        <v>0</v>
      </c>
      <c r="M12" s="3">
        <v>2.6371000000000002</v>
      </c>
      <c r="N12" t="s">
        <v>110</v>
      </c>
      <c r="O12" s="3">
        <v>2.5491770505091178E-3</v>
      </c>
      <c r="P12" s="3">
        <v>8.44</v>
      </c>
      <c r="T12" t="s">
        <v>108</v>
      </c>
      <c r="W12" s="3">
        <v>101.28838500000001</v>
      </c>
      <c r="X12" s="3">
        <v>-16.715240000000001</v>
      </c>
      <c r="Y12" s="3">
        <v>-1.612448638592259</v>
      </c>
      <c r="Z12" s="3">
        <v>8.0782868251811788</v>
      </c>
      <c r="AA12" s="3">
        <v>-2.4737982780681831</v>
      </c>
      <c r="AB12" t="s">
        <v>60</v>
      </c>
      <c r="AC12" t="s">
        <v>100</v>
      </c>
      <c r="AD12">
        <v>0</v>
      </c>
      <c r="AE12">
        <v>0</v>
      </c>
      <c r="AF12" s="3">
        <v>-0.49437900000000001</v>
      </c>
      <c r="AG12" s="3">
        <v>2.4768140000000001</v>
      </c>
      <c r="AH12" s="3">
        <v>-0.75846999999999998</v>
      </c>
      <c r="AI12" s="2" t="s">
        <v>107</v>
      </c>
      <c r="AJ12" s="2" t="s">
        <v>8462</v>
      </c>
    </row>
    <row r="13" spans="1:36" x14ac:dyDescent="0.45">
      <c r="A13" t="s">
        <v>111</v>
      </c>
      <c r="B13" t="str">
        <f t="shared" si="0"/>
        <v>Unknown</v>
      </c>
      <c r="C13">
        <f t="shared" si="1"/>
        <v>0</v>
      </c>
      <c r="D13" s="2"/>
      <c r="E13">
        <f>COUNTIFS(Planets!$C:$C,I13,Planets!$E:$E,1)</f>
        <v>0</v>
      </c>
      <c r="F13" s="3">
        <v>9.6861921054318447</v>
      </c>
      <c r="H13" s="2"/>
      <c r="I13" t="s">
        <v>112</v>
      </c>
      <c r="L13">
        <v>0</v>
      </c>
      <c r="M13" s="3">
        <v>2.9698000000000002</v>
      </c>
      <c r="N13" t="s">
        <v>113</v>
      </c>
      <c r="O13" s="3">
        <v>5.4651237451989998E-4</v>
      </c>
      <c r="P13" s="3">
        <v>10.37</v>
      </c>
      <c r="Q13" t="s">
        <v>114</v>
      </c>
      <c r="T13" t="s">
        <v>115</v>
      </c>
      <c r="V13" t="s">
        <v>111</v>
      </c>
      <c r="W13" s="3">
        <v>282.455535</v>
      </c>
      <c r="X13" s="3">
        <v>-23.836231999999999</v>
      </c>
      <c r="Y13" s="3">
        <v>1.910894770458188</v>
      </c>
      <c r="Z13" s="3">
        <v>-8.6511478870028675</v>
      </c>
      <c r="AA13" s="3">
        <v>-3.914277704945512</v>
      </c>
      <c r="AB13" t="s">
        <v>41</v>
      </c>
      <c r="AC13" t="s">
        <v>112</v>
      </c>
      <c r="AD13">
        <v>0</v>
      </c>
      <c r="AE13">
        <v>0</v>
      </c>
      <c r="AF13" s="3">
        <v>0.58588300000000004</v>
      </c>
      <c r="AG13" s="3">
        <v>-2.6524540000000001</v>
      </c>
      <c r="AH13" s="3">
        <v>-1.2001230000000001</v>
      </c>
      <c r="AI13" s="2" t="s">
        <v>116</v>
      </c>
      <c r="AJ13" s="2" t="s">
        <v>8462</v>
      </c>
    </row>
    <row r="14" spans="1:36" x14ac:dyDescent="0.45">
      <c r="A14" t="s">
        <v>117</v>
      </c>
      <c r="B14" t="str">
        <f t="shared" si="0"/>
        <v>Unknown</v>
      </c>
      <c r="C14">
        <f t="shared" si="1"/>
        <v>0</v>
      </c>
      <c r="D14" s="2"/>
      <c r="E14">
        <f>COUNTIFS(Planets!$C:$C,I14,Planets!$E:$E,1)</f>
        <v>0</v>
      </c>
      <c r="F14" s="3">
        <v>10.334590984332729</v>
      </c>
      <c r="H14" s="2"/>
      <c r="I14" t="s">
        <v>118</v>
      </c>
      <c r="L14">
        <v>0</v>
      </c>
      <c r="M14" s="3">
        <v>3.1686000000000001</v>
      </c>
      <c r="N14" t="s">
        <v>119</v>
      </c>
      <c r="O14" s="3">
        <v>1.060718149635E-4</v>
      </c>
      <c r="P14" s="3">
        <v>12.29</v>
      </c>
      <c r="T14" t="s">
        <v>120</v>
      </c>
      <c r="V14" t="s">
        <v>117</v>
      </c>
      <c r="W14" s="3">
        <v>355.475685</v>
      </c>
      <c r="X14" s="3">
        <v>44.174923999999997</v>
      </c>
      <c r="Y14" s="3">
        <v>7.3797740188441159</v>
      </c>
      <c r="Z14" s="3">
        <v>-0.58389167051606816</v>
      </c>
      <c r="AA14" s="3">
        <v>7.1926417971291352</v>
      </c>
      <c r="AB14" t="s">
        <v>41</v>
      </c>
      <c r="AC14" t="s">
        <v>118</v>
      </c>
      <c r="AD14">
        <v>0</v>
      </c>
      <c r="AE14">
        <v>0</v>
      </c>
      <c r="AF14" s="3">
        <v>2.2626490000000001</v>
      </c>
      <c r="AG14" s="3">
        <v>-0.17902199999999999</v>
      </c>
      <c r="AH14" s="3">
        <v>2.2052740000000002</v>
      </c>
      <c r="AI14" s="2" t="s">
        <v>121</v>
      </c>
      <c r="AJ14" s="2" t="s">
        <v>8462</v>
      </c>
    </row>
    <row r="15" spans="1:36" x14ac:dyDescent="0.45">
      <c r="A15" t="s">
        <v>122</v>
      </c>
      <c r="B15" t="str">
        <f t="shared" si="0"/>
        <v>Yes</v>
      </c>
      <c r="C15">
        <f t="shared" si="1"/>
        <v>1</v>
      </c>
      <c r="D15" s="2"/>
      <c r="E15">
        <f>COUNTIFS(Planets!$C:$C,I15,Planets!$E:$E,1)</f>
        <v>1</v>
      </c>
      <c r="F15" s="3">
        <v>10.48951526374818</v>
      </c>
      <c r="G15" t="s">
        <v>123</v>
      </c>
      <c r="H15" s="2"/>
      <c r="I15" t="s">
        <v>124</v>
      </c>
      <c r="J15" t="s">
        <v>125</v>
      </c>
      <c r="K15" t="s">
        <v>73</v>
      </c>
      <c r="L15">
        <v>0</v>
      </c>
      <c r="M15" s="3">
        <v>3.2161</v>
      </c>
      <c r="N15" t="s">
        <v>126</v>
      </c>
      <c r="O15" s="3">
        <v>0.2929543829769431</v>
      </c>
      <c r="P15" s="3">
        <v>3.72</v>
      </c>
      <c r="Q15" t="s">
        <v>127</v>
      </c>
      <c r="R15" t="s">
        <v>128</v>
      </c>
      <c r="S15" t="s">
        <v>129</v>
      </c>
      <c r="T15" t="s">
        <v>130</v>
      </c>
      <c r="U15" t="s">
        <v>131</v>
      </c>
      <c r="V15" t="s">
        <v>122</v>
      </c>
      <c r="W15" s="3">
        <v>53.23272</v>
      </c>
      <c r="X15" s="3">
        <v>-9.4582619999999995</v>
      </c>
      <c r="Y15" s="3">
        <v>6.1936117659276411</v>
      </c>
      <c r="Z15" s="3">
        <v>8.2890229839515204</v>
      </c>
      <c r="AA15" s="3">
        <v>-1.723811472199863</v>
      </c>
      <c r="AB15" t="s">
        <v>41</v>
      </c>
      <c r="AC15" t="s">
        <v>124</v>
      </c>
      <c r="AD15">
        <v>1</v>
      </c>
      <c r="AE15">
        <v>0</v>
      </c>
      <c r="AF15" s="3">
        <v>1.89897</v>
      </c>
      <c r="AG15" s="3">
        <v>2.541426</v>
      </c>
      <c r="AH15" s="3">
        <v>-0.52852299999999997</v>
      </c>
      <c r="AI15" s="2" t="s">
        <v>132</v>
      </c>
      <c r="AJ15" s="2" t="s">
        <v>8462</v>
      </c>
    </row>
    <row r="16" spans="1:36" x14ac:dyDescent="0.45">
      <c r="A16" t="s">
        <v>133</v>
      </c>
      <c r="B16" t="str">
        <f t="shared" si="0"/>
        <v>Yes</v>
      </c>
      <c r="C16">
        <f t="shared" si="1"/>
        <v>4</v>
      </c>
      <c r="D16" s="2"/>
      <c r="E16">
        <f>COUNTIFS(Planets!$C:$C,I16,Planets!$E:$E,1)</f>
        <v>4</v>
      </c>
      <c r="F16" s="3">
        <v>10.684556777622801</v>
      </c>
      <c r="G16" t="s">
        <v>134</v>
      </c>
      <c r="H16" s="2"/>
      <c r="I16" t="s">
        <v>135</v>
      </c>
      <c r="J16" t="s">
        <v>136</v>
      </c>
      <c r="K16" t="s">
        <v>73</v>
      </c>
      <c r="L16">
        <v>0</v>
      </c>
      <c r="M16" s="3">
        <v>3.2759</v>
      </c>
      <c r="N16" t="s">
        <v>137</v>
      </c>
      <c r="O16" s="3">
        <v>1.073494935805235E-2</v>
      </c>
      <c r="P16" s="3">
        <v>7.35</v>
      </c>
      <c r="Q16" t="s">
        <v>138</v>
      </c>
      <c r="R16" t="s">
        <v>139</v>
      </c>
      <c r="T16" t="s">
        <v>140</v>
      </c>
      <c r="V16" t="s">
        <v>133</v>
      </c>
      <c r="W16" s="3">
        <v>346.462965</v>
      </c>
      <c r="X16" s="3">
        <v>-35.853073000000002</v>
      </c>
      <c r="Y16" s="3">
        <v>8.419831260798599</v>
      </c>
      <c r="Z16" s="3">
        <v>-2.0265824376343158</v>
      </c>
      <c r="AA16" s="3">
        <v>-6.2582005134068881</v>
      </c>
      <c r="AB16" t="s">
        <v>41</v>
      </c>
      <c r="AC16" t="s">
        <v>135</v>
      </c>
      <c r="AD16">
        <v>4</v>
      </c>
      <c r="AE16">
        <v>0</v>
      </c>
      <c r="AF16" s="3">
        <v>2.5815320000000002</v>
      </c>
      <c r="AG16" s="3">
        <v>-0.62135300000000004</v>
      </c>
      <c r="AH16" s="3">
        <v>-1.9187730000000001</v>
      </c>
      <c r="AI16" s="2" t="s">
        <v>141</v>
      </c>
      <c r="AJ16" s="2" t="s">
        <v>8462</v>
      </c>
    </row>
    <row r="17" spans="1:36" x14ac:dyDescent="0.45">
      <c r="A17" t="s">
        <v>142</v>
      </c>
      <c r="B17" t="str">
        <f t="shared" si="0"/>
        <v>Yes</v>
      </c>
      <c r="C17">
        <f t="shared" si="1"/>
        <v>1</v>
      </c>
      <c r="D17" s="2"/>
      <c r="E17">
        <f>COUNTIFS(Planets!$C:$C,I17,Planets!$E:$E,1)</f>
        <v>1</v>
      </c>
      <c r="F17" s="3">
        <v>10.943524941529891</v>
      </c>
      <c r="G17" t="s">
        <v>143</v>
      </c>
      <c r="H17" s="2"/>
      <c r="I17" t="s">
        <v>144</v>
      </c>
      <c r="J17" t="s">
        <v>142</v>
      </c>
      <c r="K17" t="s">
        <v>73</v>
      </c>
      <c r="L17">
        <v>0</v>
      </c>
      <c r="M17" s="3">
        <v>3.3553000000000002</v>
      </c>
      <c r="N17" t="s">
        <v>145</v>
      </c>
      <c r="O17" s="3">
        <v>3.496230040027E-4</v>
      </c>
      <c r="P17" s="3">
        <v>11.12</v>
      </c>
      <c r="Q17" t="s">
        <v>146</v>
      </c>
      <c r="T17" t="s">
        <v>147</v>
      </c>
      <c r="V17" t="s">
        <v>142</v>
      </c>
      <c r="W17" s="3">
        <v>176.93499</v>
      </c>
      <c r="X17" s="3">
        <v>0.80456300000000003</v>
      </c>
      <c r="Y17" s="3">
        <v>-10.92588640462297</v>
      </c>
      <c r="Z17" s="3">
        <v>0.58503321783807682</v>
      </c>
      <c r="AA17" s="3">
        <v>0.15365553110613489</v>
      </c>
      <c r="AB17" t="s">
        <v>41</v>
      </c>
      <c r="AC17" t="s">
        <v>144</v>
      </c>
      <c r="AD17">
        <v>1</v>
      </c>
      <c r="AE17">
        <v>0</v>
      </c>
      <c r="AF17" s="3">
        <v>-3.3498920000000001</v>
      </c>
      <c r="AG17" s="3">
        <v>0.179372</v>
      </c>
      <c r="AH17" s="3">
        <v>4.7111E-2</v>
      </c>
      <c r="AI17" s="2" t="s">
        <v>148</v>
      </c>
      <c r="AJ17" s="2" t="s">
        <v>8462</v>
      </c>
    </row>
    <row r="18" spans="1:36" x14ac:dyDescent="0.45">
      <c r="A18" t="s">
        <v>149</v>
      </c>
      <c r="B18" t="str">
        <f t="shared" si="0"/>
        <v>Unknown</v>
      </c>
      <c r="C18">
        <f t="shared" si="1"/>
        <v>0</v>
      </c>
      <c r="D18" s="2"/>
      <c r="E18">
        <f>COUNTIFS(Planets!$C:$C,I18,Planets!$E:$E,1)</f>
        <v>0</v>
      </c>
      <c r="F18" s="3">
        <v>11.082467558437219</v>
      </c>
      <c r="H18" s="2"/>
      <c r="I18" t="s">
        <v>150</v>
      </c>
      <c r="L18">
        <v>0</v>
      </c>
      <c r="M18" s="3">
        <v>3.3978999999999999</v>
      </c>
      <c r="N18" t="s">
        <v>151</v>
      </c>
      <c r="O18" s="3">
        <v>8.6776074499100001E-5</v>
      </c>
      <c r="P18" s="3">
        <v>12.66</v>
      </c>
      <c r="T18" t="s">
        <v>152</v>
      </c>
      <c r="V18" t="s">
        <v>149</v>
      </c>
      <c r="W18" s="3">
        <v>339.63843000000003</v>
      </c>
      <c r="X18" s="3">
        <v>-15.302542000000001</v>
      </c>
      <c r="Y18" s="3">
        <v>10.012651808579861</v>
      </c>
      <c r="Z18" s="3">
        <v>-3.7157821950308789</v>
      </c>
      <c r="AA18" s="3">
        <v>-2.9221948045893851</v>
      </c>
      <c r="AB18" t="s">
        <v>41</v>
      </c>
      <c r="AC18" t="s">
        <v>150</v>
      </c>
      <c r="AD18">
        <v>0</v>
      </c>
      <c r="AE18">
        <v>0</v>
      </c>
      <c r="AF18" s="3">
        <v>3.069893</v>
      </c>
      <c r="AG18" s="3">
        <v>-1.1392640000000001</v>
      </c>
      <c r="AH18" s="3">
        <v>-0.895949</v>
      </c>
      <c r="AI18" s="2" t="s">
        <v>153</v>
      </c>
      <c r="AJ18" s="2" t="s">
        <v>8462</v>
      </c>
    </row>
    <row r="19" spans="1:36" x14ac:dyDescent="0.45">
      <c r="A19" t="s">
        <v>154</v>
      </c>
      <c r="B19" t="str">
        <f t="shared" si="0"/>
        <v>Yes</v>
      </c>
      <c r="C19">
        <f t="shared" si="1"/>
        <v>1</v>
      </c>
      <c r="D19" s="2"/>
      <c r="E19">
        <f>COUNTIFS(Planets!$C:$C,I19,Planets!$E:$E,1)</f>
        <v>1</v>
      </c>
      <c r="F19" s="3">
        <v>11.2670720682249</v>
      </c>
      <c r="G19" t="s">
        <v>155</v>
      </c>
      <c r="H19" s="2" t="s">
        <v>156</v>
      </c>
      <c r="I19" t="s">
        <v>157</v>
      </c>
      <c r="J19" t="s">
        <v>158</v>
      </c>
      <c r="K19" t="s">
        <v>73</v>
      </c>
      <c r="L19">
        <v>0</v>
      </c>
      <c r="M19" s="3">
        <v>3.4544999999999999</v>
      </c>
      <c r="N19" t="s">
        <v>159</v>
      </c>
      <c r="O19" s="3">
        <v>1.370250597124245E-3</v>
      </c>
      <c r="P19" s="3">
        <v>9.6999999999999993</v>
      </c>
      <c r="Q19" t="s">
        <v>160</v>
      </c>
      <c r="R19" t="s">
        <v>161</v>
      </c>
      <c r="T19" t="s">
        <v>162</v>
      </c>
      <c r="V19" t="s">
        <v>154</v>
      </c>
      <c r="W19" s="3">
        <v>280.698735</v>
      </c>
      <c r="X19" s="3">
        <v>59.626846999999998</v>
      </c>
      <c r="Y19" s="3">
        <v>1.057291344953035</v>
      </c>
      <c r="Z19" s="3">
        <v>-5.598011081451542</v>
      </c>
      <c r="AA19" s="3">
        <v>9.7207027117580527</v>
      </c>
      <c r="AB19" t="s">
        <v>60</v>
      </c>
      <c r="AC19" t="s">
        <v>163</v>
      </c>
      <c r="AD19">
        <v>1</v>
      </c>
      <c r="AE19">
        <v>0</v>
      </c>
      <c r="AF19" s="3">
        <v>0.32416699999999998</v>
      </c>
      <c r="AG19" s="3">
        <v>-1.7163580000000001</v>
      </c>
      <c r="AH19" s="3">
        <v>2.9803809999999999</v>
      </c>
      <c r="AI19" s="2" t="s">
        <v>164</v>
      </c>
      <c r="AJ19" s="2" t="s">
        <v>8462</v>
      </c>
    </row>
    <row r="20" spans="1:36" x14ac:dyDescent="0.45">
      <c r="A20" t="s">
        <v>165</v>
      </c>
      <c r="B20" t="str">
        <f t="shared" si="0"/>
        <v>Unknown</v>
      </c>
      <c r="C20">
        <f t="shared" si="1"/>
        <v>0</v>
      </c>
      <c r="D20" s="2"/>
      <c r="E20">
        <f>COUNTIFS(Planets!$C:$C,I20,Planets!$E:$E,1)</f>
        <v>0</v>
      </c>
      <c r="F20" s="3">
        <v>11.371442109094261</v>
      </c>
      <c r="H20" s="2"/>
      <c r="I20" t="s">
        <v>166</v>
      </c>
      <c r="L20">
        <v>0</v>
      </c>
      <c r="M20" s="3">
        <v>3.4864999999999999</v>
      </c>
      <c r="N20" t="s">
        <v>167</v>
      </c>
      <c r="O20" s="3">
        <v>8.8064322841806431E-2</v>
      </c>
      <c r="P20" s="3">
        <v>5.2</v>
      </c>
      <c r="Q20" t="s">
        <v>168</v>
      </c>
      <c r="R20" t="s">
        <v>169</v>
      </c>
      <c r="S20" t="s">
        <v>170</v>
      </c>
      <c r="T20" t="s">
        <v>165</v>
      </c>
      <c r="U20" t="s">
        <v>171</v>
      </c>
      <c r="W20" s="3">
        <v>316.72190999999998</v>
      </c>
      <c r="X20" s="3">
        <v>38.749414999999999</v>
      </c>
      <c r="Y20" s="3">
        <v>6.4557958317190218</v>
      </c>
      <c r="Z20" s="3">
        <v>-6.0783676714252071</v>
      </c>
      <c r="AA20" s="3">
        <v>7.1163799128914054</v>
      </c>
      <c r="AB20" t="s">
        <v>41</v>
      </c>
      <c r="AC20" t="s">
        <v>166</v>
      </c>
      <c r="AD20">
        <v>0</v>
      </c>
      <c r="AE20">
        <v>0</v>
      </c>
      <c r="AF20" s="3">
        <v>1.9793559999999999</v>
      </c>
      <c r="AG20" s="3">
        <v>-1.8636360000000001</v>
      </c>
      <c r="AH20" s="3">
        <v>2.1818919999999999</v>
      </c>
      <c r="AI20" s="2" t="s">
        <v>172</v>
      </c>
      <c r="AJ20" s="2" t="s">
        <v>8462</v>
      </c>
    </row>
    <row r="21" spans="1:36" x14ac:dyDescent="0.45">
      <c r="A21" t="s">
        <v>173</v>
      </c>
      <c r="B21" t="str">
        <f t="shared" si="0"/>
        <v>Unknown</v>
      </c>
      <c r="C21">
        <f t="shared" si="1"/>
        <v>0</v>
      </c>
      <c r="D21" s="2"/>
      <c r="E21">
        <f>COUNTIFS(Planets!$C:$C,I21,Planets!$E:$E,1)</f>
        <v>0</v>
      </c>
      <c r="F21" s="3">
        <v>11.406993154265381</v>
      </c>
      <c r="H21" s="2"/>
      <c r="I21" t="s">
        <v>174</v>
      </c>
      <c r="L21">
        <v>0</v>
      </c>
      <c r="M21" s="3">
        <v>3.4973999999999998</v>
      </c>
      <c r="N21" t="s">
        <v>175</v>
      </c>
      <c r="O21" s="3">
        <v>5.5924228304090001E-4</v>
      </c>
      <c r="P21" s="3">
        <v>10.7</v>
      </c>
      <c r="T21" t="s">
        <v>173</v>
      </c>
      <c r="W21" s="3">
        <v>114.82509</v>
      </c>
      <c r="X21" s="3">
        <v>5.2268239999999997</v>
      </c>
      <c r="Y21" s="3">
        <v>-4.7692999106937313</v>
      </c>
      <c r="Z21" s="3">
        <v>10.30987159246558</v>
      </c>
      <c r="AA21" s="3">
        <v>1.0391668350433161</v>
      </c>
      <c r="AB21" t="s">
        <v>60</v>
      </c>
      <c r="AC21" t="s">
        <v>176</v>
      </c>
      <c r="AD21">
        <v>0</v>
      </c>
      <c r="AE21">
        <v>0</v>
      </c>
      <c r="AF21" s="3">
        <v>-1.4622740000000001</v>
      </c>
      <c r="AG21" s="3">
        <v>3.1610209999999999</v>
      </c>
      <c r="AH21" s="3">
        <v>0.31861</v>
      </c>
      <c r="AI21" s="2" t="s">
        <v>177</v>
      </c>
      <c r="AJ21" s="2" t="s">
        <v>8469</v>
      </c>
    </row>
    <row r="22" spans="1:36" x14ac:dyDescent="0.45">
      <c r="A22" t="s">
        <v>178</v>
      </c>
      <c r="B22" t="str">
        <f t="shared" si="0"/>
        <v>Unknown</v>
      </c>
      <c r="C22">
        <f t="shared" si="1"/>
        <v>0</v>
      </c>
      <c r="D22" s="2"/>
      <c r="E22">
        <f>COUNTIFS(Planets!$C:$C,I22,Planets!$E:$E,1)</f>
        <v>0</v>
      </c>
      <c r="F22" s="3">
        <v>11.408950092531679</v>
      </c>
      <c r="H22" s="2"/>
      <c r="I22" t="s">
        <v>179</v>
      </c>
      <c r="L22">
        <v>0</v>
      </c>
      <c r="M22" s="3">
        <v>3.4980000000000002</v>
      </c>
      <c r="N22" t="s">
        <v>180</v>
      </c>
      <c r="O22" s="3">
        <v>4.0513522022926372E-2</v>
      </c>
      <c r="P22" s="3">
        <v>6.05</v>
      </c>
      <c r="Q22" t="s">
        <v>181</v>
      </c>
      <c r="R22" t="s">
        <v>182</v>
      </c>
      <c r="S22" t="s">
        <v>183</v>
      </c>
      <c r="T22" t="s">
        <v>178</v>
      </c>
      <c r="U22" t="s">
        <v>171</v>
      </c>
      <c r="W22" s="3">
        <v>316.72744499999999</v>
      </c>
      <c r="X22" s="3">
        <v>38.742055000000001</v>
      </c>
      <c r="Y22" s="3">
        <v>6.4783560683656889</v>
      </c>
      <c r="Z22" s="3">
        <v>-6.098436073346118</v>
      </c>
      <c r="AA22" s="3">
        <v>7.1387216247650018</v>
      </c>
      <c r="AB22" t="s">
        <v>60</v>
      </c>
      <c r="AC22" t="s">
        <v>166</v>
      </c>
      <c r="AD22">
        <v>0</v>
      </c>
      <c r="AE22">
        <v>0</v>
      </c>
      <c r="AF22" s="3">
        <v>1.986273</v>
      </c>
      <c r="AG22" s="3">
        <v>-1.8697889999999999</v>
      </c>
      <c r="AH22" s="3">
        <v>2.188742</v>
      </c>
      <c r="AI22" s="2" t="s">
        <v>172</v>
      </c>
      <c r="AJ22" s="2" t="s">
        <v>8469</v>
      </c>
    </row>
    <row r="23" spans="1:36" x14ac:dyDescent="0.45">
      <c r="A23" t="s">
        <v>184</v>
      </c>
      <c r="B23" t="str">
        <f t="shared" si="0"/>
        <v>Unknown</v>
      </c>
      <c r="C23">
        <f t="shared" si="1"/>
        <v>0</v>
      </c>
      <c r="D23" s="2"/>
      <c r="E23">
        <f>COUNTIFS(Planets!$C:$C,I23,Planets!$E:$E,1)</f>
        <v>0</v>
      </c>
      <c r="F23" s="3">
        <v>11.46178742572179</v>
      </c>
      <c r="H23" s="2"/>
      <c r="I23" t="s">
        <v>176</v>
      </c>
      <c r="L23">
        <v>0</v>
      </c>
      <c r="M23" s="3">
        <v>3.5142000000000002</v>
      </c>
      <c r="N23" t="s">
        <v>185</v>
      </c>
      <c r="O23" s="3">
        <v>7.4404636619191944</v>
      </c>
      <c r="P23" s="3">
        <v>0.4</v>
      </c>
      <c r="Q23" t="s">
        <v>186</v>
      </c>
      <c r="R23" t="s">
        <v>187</v>
      </c>
      <c r="S23" t="s">
        <v>188</v>
      </c>
      <c r="T23" t="s">
        <v>189</v>
      </c>
      <c r="U23" t="s">
        <v>190</v>
      </c>
      <c r="V23" t="s">
        <v>184</v>
      </c>
      <c r="W23" s="3">
        <v>114.825495</v>
      </c>
      <c r="X23" s="3">
        <v>5.2249930000000004</v>
      </c>
      <c r="Y23" s="3">
        <v>-4.7922547965574358</v>
      </c>
      <c r="Z23" s="3">
        <v>10.35928102212589</v>
      </c>
      <c r="AA23" s="3">
        <v>1.0437786862242311</v>
      </c>
      <c r="AB23" t="s">
        <v>41</v>
      </c>
      <c r="AC23" t="s">
        <v>176</v>
      </c>
      <c r="AD23">
        <v>0</v>
      </c>
      <c r="AE23">
        <v>0</v>
      </c>
      <c r="AF23" s="3">
        <v>-1.469312</v>
      </c>
      <c r="AG23" s="3">
        <v>3.1761699999999999</v>
      </c>
      <c r="AH23" s="3">
        <v>0.32002399999999998</v>
      </c>
      <c r="AI23" s="2" t="s">
        <v>177</v>
      </c>
      <c r="AJ23" s="2" t="s">
        <v>8469</v>
      </c>
    </row>
    <row r="24" spans="1:36" x14ac:dyDescent="0.45">
      <c r="A24" t="s">
        <v>191</v>
      </c>
      <c r="B24" t="str">
        <f t="shared" si="0"/>
        <v>Unknown</v>
      </c>
      <c r="C24">
        <f t="shared" si="1"/>
        <v>0</v>
      </c>
      <c r="D24" s="2"/>
      <c r="E24">
        <f>COUNTIFS(Planets!$C:$C,I24,Planets!$E:$E,1)</f>
        <v>0</v>
      </c>
      <c r="F24" s="3">
        <v>11.637259556933399</v>
      </c>
      <c r="H24" s="2"/>
      <c r="I24" t="s">
        <v>192</v>
      </c>
      <c r="L24">
        <v>0</v>
      </c>
      <c r="M24" s="3">
        <v>3.5680000000000001</v>
      </c>
      <c r="N24" t="s">
        <v>193</v>
      </c>
      <c r="O24" s="3">
        <v>4.1763799295100001E-4</v>
      </c>
      <c r="P24" s="3">
        <v>11.06</v>
      </c>
      <c r="T24" t="s">
        <v>191</v>
      </c>
      <c r="W24" s="3">
        <v>4.5773999999999999</v>
      </c>
      <c r="X24" s="3">
        <v>44.023502000000001</v>
      </c>
      <c r="Y24" s="3">
        <v>8.3423104129428829</v>
      </c>
      <c r="Z24" s="3">
        <v>0.67018612493236418</v>
      </c>
      <c r="AA24" s="3">
        <v>8.0886585979925716</v>
      </c>
      <c r="AB24" t="s">
        <v>60</v>
      </c>
      <c r="AC24" t="s">
        <v>194</v>
      </c>
      <c r="AD24">
        <v>0</v>
      </c>
      <c r="AE24">
        <v>0</v>
      </c>
      <c r="AF24" s="3">
        <v>2.5577640000000001</v>
      </c>
      <c r="AG24" s="3">
        <v>0.20548</v>
      </c>
      <c r="AH24" s="3">
        <v>2.479994</v>
      </c>
      <c r="AI24" s="2" t="s">
        <v>195</v>
      </c>
      <c r="AJ24" s="2" t="s">
        <v>8469</v>
      </c>
    </row>
    <row r="25" spans="1:36" x14ac:dyDescent="0.45">
      <c r="A25" t="s">
        <v>196</v>
      </c>
      <c r="B25" t="str">
        <f t="shared" si="0"/>
        <v>Yes</v>
      </c>
      <c r="C25">
        <f t="shared" si="1"/>
        <v>1</v>
      </c>
      <c r="D25" s="2"/>
      <c r="E25">
        <f>COUNTIFS(Planets!$C:$C,I25,Planets!$E:$E,1)</f>
        <v>1</v>
      </c>
      <c r="F25" s="3">
        <v>11.640847277088289</v>
      </c>
      <c r="G25" t="s">
        <v>197</v>
      </c>
      <c r="H25" s="2"/>
      <c r="I25" t="s">
        <v>163</v>
      </c>
      <c r="J25" t="s">
        <v>198</v>
      </c>
      <c r="K25" t="s">
        <v>73</v>
      </c>
      <c r="L25">
        <v>0</v>
      </c>
      <c r="M25" s="3">
        <v>3.5691000000000002</v>
      </c>
      <c r="N25" t="s">
        <v>159</v>
      </c>
      <c r="O25" s="3">
        <v>2.945777902339458E-3</v>
      </c>
      <c r="P25" s="3">
        <v>8.94</v>
      </c>
      <c r="Q25" t="s">
        <v>199</v>
      </c>
      <c r="R25" t="s">
        <v>200</v>
      </c>
      <c r="T25" t="s">
        <v>201</v>
      </c>
      <c r="V25" t="s">
        <v>196</v>
      </c>
      <c r="W25" s="3">
        <v>280.69768499999998</v>
      </c>
      <c r="X25" s="3">
        <v>59.630395999999998</v>
      </c>
      <c r="Y25" s="3">
        <v>1.092154200167178</v>
      </c>
      <c r="Z25" s="3">
        <v>-5.7830950411144606</v>
      </c>
      <c r="AA25" s="3">
        <v>10.04349315565676</v>
      </c>
      <c r="AB25" t="s">
        <v>41</v>
      </c>
      <c r="AC25" t="s">
        <v>163</v>
      </c>
      <c r="AD25">
        <v>1</v>
      </c>
      <c r="AE25">
        <v>0</v>
      </c>
      <c r="AF25" s="3">
        <v>0.33485599999999999</v>
      </c>
      <c r="AG25" s="3">
        <v>-1.7731049999999999</v>
      </c>
      <c r="AH25" s="3">
        <v>3.0793490000000001</v>
      </c>
      <c r="AI25" s="2" t="s">
        <v>164</v>
      </c>
      <c r="AJ25" s="2" t="s">
        <v>8469</v>
      </c>
    </row>
    <row r="26" spans="1:36" x14ac:dyDescent="0.45">
      <c r="A26" t="s">
        <v>202</v>
      </c>
      <c r="B26" t="str">
        <f t="shared" si="0"/>
        <v>Yes</v>
      </c>
      <c r="C26">
        <f t="shared" si="1"/>
        <v>2</v>
      </c>
      <c r="D26" s="2"/>
      <c r="E26">
        <f>COUNTIFS(Planets!$C:$C,I26,Planets!$E:$E,1)</f>
        <v>2</v>
      </c>
      <c r="F26" s="3">
        <v>11.700207737832731</v>
      </c>
      <c r="G26" t="s">
        <v>203</v>
      </c>
      <c r="H26" s="2"/>
      <c r="I26" t="s">
        <v>194</v>
      </c>
      <c r="J26" t="s">
        <v>204</v>
      </c>
      <c r="K26" t="s">
        <v>73</v>
      </c>
      <c r="L26">
        <v>1</v>
      </c>
      <c r="M26" s="3">
        <v>3.5872999999999999</v>
      </c>
      <c r="N26" t="s">
        <v>205</v>
      </c>
      <c r="O26" s="3">
        <v>6.5102849843486068E-3</v>
      </c>
      <c r="P26" s="3">
        <v>8.09</v>
      </c>
      <c r="Q26" t="s">
        <v>206</v>
      </c>
      <c r="R26" t="s">
        <v>207</v>
      </c>
      <c r="T26" t="s">
        <v>208</v>
      </c>
      <c r="V26" t="s">
        <v>202</v>
      </c>
      <c r="W26" s="3">
        <v>4.5926099999999996</v>
      </c>
      <c r="X26" s="3">
        <v>44.022953999999999</v>
      </c>
      <c r="Y26" s="3">
        <v>8.3863774011361922</v>
      </c>
      <c r="Z26" s="3">
        <v>0.67406738582719339</v>
      </c>
      <c r="AA26" s="3">
        <v>8.1312644056137096</v>
      </c>
      <c r="AB26" t="s">
        <v>41</v>
      </c>
      <c r="AC26" t="s">
        <v>194</v>
      </c>
      <c r="AD26">
        <v>2</v>
      </c>
      <c r="AE26">
        <v>0</v>
      </c>
      <c r="AF26" s="3">
        <v>2.571275</v>
      </c>
      <c r="AG26" s="3">
        <v>0.20666999999999999</v>
      </c>
      <c r="AH26" s="3">
        <v>2.4930569999999999</v>
      </c>
      <c r="AI26" s="2" t="s">
        <v>195</v>
      </c>
      <c r="AJ26" s="2" t="s">
        <v>8469</v>
      </c>
    </row>
    <row r="27" spans="1:36" x14ac:dyDescent="0.45">
      <c r="A27" t="s">
        <v>209</v>
      </c>
      <c r="B27" t="str">
        <f t="shared" si="0"/>
        <v>Yes</v>
      </c>
      <c r="C27">
        <f t="shared" si="1"/>
        <v>1</v>
      </c>
      <c r="D27" s="2"/>
      <c r="E27">
        <f>COUNTIFS(Planets!$C:$C,I27,Planets!$E:$E,1)</f>
        <v>1</v>
      </c>
      <c r="F27" s="3">
        <v>11.814688626411311</v>
      </c>
      <c r="G27" t="s">
        <v>210</v>
      </c>
      <c r="H27" s="2"/>
      <c r="I27" t="s">
        <v>211</v>
      </c>
      <c r="J27" t="s">
        <v>212</v>
      </c>
      <c r="K27" t="s">
        <v>47</v>
      </c>
      <c r="L27">
        <v>0</v>
      </c>
      <c r="M27" s="3">
        <v>3.6223999999999998</v>
      </c>
      <c r="N27" t="s">
        <v>167</v>
      </c>
      <c r="O27" s="3">
        <v>0.15205475297324961</v>
      </c>
      <c r="P27" s="3">
        <v>4.6900000000000004</v>
      </c>
      <c r="Q27" t="s">
        <v>213</v>
      </c>
      <c r="R27" t="s">
        <v>214</v>
      </c>
      <c r="S27" t="s">
        <v>215</v>
      </c>
      <c r="T27" t="s">
        <v>209</v>
      </c>
      <c r="U27" t="s">
        <v>216</v>
      </c>
      <c r="W27" s="3">
        <v>330.83229</v>
      </c>
      <c r="X27" s="3">
        <v>-56.785977000000003</v>
      </c>
      <c r="Y27" s="3">
        <v>5.6509495231187454</v>
      </c>
      <c r="Z27" s="3">
        <v>-3.1530026268444149</v>
      </c>
      <c r="AA27" s="3">
        <v>-9.8835395448969141</v>
      </c>
      <c r="AB27" t="s">
        <v>41</v>
      </c>
      <c r="AC27" t="s">
        <v>211</v>
      </c>
      <c r="AD27">
        <v>1</v>
      </c>
      <c r="AE27">
        <v>0</v>
      </c>
      <c r="AF27" s="3">
        <v>1.7325889999999999</v>
      </c>
      <c r="AG27" s="3">
        <v>-0.96671499999999999</v>
      </c>
      <c r="AH27" s="3">
        <v>-3.0303070000000001</v>
      </c>
      <c r="AI27" s="2" t="s">
        <v>217</v>
      </c>
      <c r="AJ27" s="2" t="s">
        <v>8469</v>
      </c>
    </row>
    <row r="28" spans="1:36" x14ac:dyDescent="0.45">
      <c r="A28" t="s">
        <v>218</v>
      </c>
      <c r="B28" t="str">
        <f t="shared" si="0"/>
        <v>Unknown</v>
      </c>
      <c r="C28">
        <f t="shared" si="1"/>
        <v>0</v>
      </c>
      <c r="D28" s="2"/>
      <c r="E28">
        <f>COUNTIFS(Planets!$C:$C,I28,Planets!$E:$E,1)</f>
        <v>0</v>
      </c>
      <c r="F28" s="3">
        <v>11.82577794325368</v>
      </c>
      <c r="H28" s="2"/>
      <c r="I28" t="s">
        <v>219</v>
      </c>
      <c r="L28">
        <v>0</v>
      </c>
      <c r="M28" s="3">
        <v>3.6257999999999999</v>
      </c>
      <c r="N28" t="s">
        <v>220</v>
      </c>
      <c r="O28" s="3">
        <v>1.3639548675100001E-5</v>
      </c>
      <c r="P28" s="3">
        <v>14.81</v>
      </c>
      <c r="T28" t="s">
        <v>218</v>
      </c>
      <c r="W28" s="3">
        <v>127.45865999999999</v>
      </c>
      <c r="X28" s="3">
        <v>26.778531999999998</v>
      </c>
      <c r="Y28" s="3">
        <v>-6.4202317402927891</v>
      </c>
      <c r="Z28" s="3">
        <v>8.3801021524289219</v>
      </c>
      <c r="AA28" s="3">
        <v>5.3276470137070246</v>
      </c>
      <c r="AB28" t="s">
        <v>41</v>
      </c>
      <c r="AC28" t="s">
        <v>219</v>
      </c>
      <c r="AD28">
        <v>0</v>
      </c>
      <c r="AE28">
        <v>0</v>
      </c>
      <c r="AF28" s="3">
        <v>-1.9684520000000001</v>
      </c>
      <c r="AG28" s="3">
        <v>2.5693510000000002</v>
      </c>
      <c r="AH28" s="3">
        <v>1.633464</v>
      </c>
      <c r="AI28" s="2" t="s">
        <v>221</v>
      </c>
      <c r="AJ28" s="2" t="s">
        <v>8469</v>
      </c>
    </row>
    <row r="29" spans="1:36" x14ac:dyDescent="0.45">
      <c r="A29" t="s">
        <v>222</v>
      </c>
      <c r="B29" t="str">
        <f t="shared" si="0"/>
        <v>Yes</v>
      </c>
      <c r="C29">
        <f t="shared" si="1"/>
        <v>3</v>
      </c>
      <c r="D29" s="2"/>
      <c r="E29">
        <f>COUNTIFS(Planets!$C:$C,I29,Planets!$E:$E,1)</f>
        <v>3</v>
      </c>
      <c r="F29" s="3">
        <v>11.90536009941656</v>
      </c>
      <c r="G29" t="s">
        <v>223</v>
      </c>
      <c r="H29" s="2"/>
      <c r="I29" t="s">
        <v>224</v>
      </c>
      <c r="J29" t="s">
        <v>225</v>
      </c>
      <c r="K29" t="s">
        <v>73</v>
      </c>
      <c r="L29">
        <v>3</v>
      </c>
      <c r="M29" s="3">
        <v>3.6501999999999999</v>
      </c>
      <c r="N29" t="s">
        <v>226</v>
      </c>
      <c r="O29" s="3">
        <v>0.46644452520377949</v>
      </c>
      <c r="P29" s="3">
        <v>3.49</v>
      </c>
      <c r="Q29" t="s">
        <v>227</v>
      </c>
      <c r="R29" t="s">
        <v>228</v>
      </c>
      <c r="S29" t="s">
        <v>229</v>
      </c>
      <c r="T29" t="s">
        <v>222</v>
      </c>
      <c r="U29" t="s">
        <v>230</v>
      </c>
      <c r="W29" s="3">
        <v>26.017185000000001</v>
      </c>
      <c r="X29" s="3">
        <v>-15.937480000000001</v>
      </c>
      <c r="Y29" s="3">
        <v>10.287242862979589</v>
      </c>
      <c r="Z29" s="3">
        <v>5.0212035274594813</v>
      </c>
      <c r="AA29" s="3">
        <v>-3.2689349113038308</v>
      </c>
      <c r="AB29" t="s">
        <v>41</v>
      </c>
      <c r="AC29" t="s">
        <v>224</v>
      </c>
      <c r="AD29">
        <v>3</v>
      </c>
      <c r="AE29">
        <v>0</v>
      </c>
      <c r="AF29" s="3">
        <v>3.154083</v>
      </c>
      <c r="AG29" s="3">
        <v>1.5395080000000001</v>
      </c>
      <c r="AH29" s="3">
        <v>-1.0022599999999999</v>
      </c>
      <c r="AI29" s="2" t="s">
        <v>231</v>
      </c>
      <c r="AJ29" s="2" t="s">
        <v>8469</v>
      </c>
    </row>
    <row r="30" spans="1:36" x14ac:dyDescent="0.45">
      <c r="A30" t="s">
        <v>232</v>
      </c>
      <c r="B30" t="str">
        <f t="shared" si="0"/>
        <v>Yes</v>
      </c>
      <c r="C30">
        <f t="shared" si="1"/>
        <v>3</v>
      </c>
      <c r="D30" s="2"/>
      <c r="E30">
        <f>COUNTIFS(Planets!$C:$C,I30,Planets!$E:$E,1)</f>
        <v>3</v>
      </c>
      <c r="F30" s="3">
        <v>12.03484418137011</v>
      </c>
      <c r="G30" t="s">
        <v>233</v>
      </c>
      <c r="H30" s="2"/>
      <c r="I30" t="s">
        <v>234</v>
      </c>
      <c r="J30" t="s">
        <v>235</v>
      </c>
      <c r="K30" t="s">
        <v>73</v>
      </c>
      <c r="L30">
        <v>0</v>
      </c>
      <c r="M30" s="3">
        <v>3.6899000000000002</v>
      </c>
      <c r="N30" t="s">
        <v>236</v>
      </c>
      <c r="O30" s="3">
        <v>1.7139573075080001E-4</v>
      </c>
      <c r="P30" s="3">
        <v>12.1</v>
      </c>
      <c r="Q30" t="s">
        <v>237</v>
      </c>
      <c r="T30" t="s">
        <v>232</v>
      </c>
      <c r="W30" s="3">
        <v>18.12753</v>
      </c>
      <c r="X30" s="3">
        <v>-16.998967</v>
      </c>
      <c r="Y30" s="3">
        <v>10.93854127207838</v>
      </c>
      <c r="Z30" s="3">
        <v>3.5811154882354121</v>
      </c>
      <c r="AA30" s="3">
        <v>-3.518679372849097</v>
      </c>
      <c r="AB30" t="s">
        <v>41</v>
      </c>
      <c r="AC30" t="s">
        <v>234</v>
      </c>
      <c r="AD30">
        <v>3</v>
      </c>
      <c r="AE30">
        <v>0</v>
      </c>
      <c r="AF30" s="3">
        <v>3.3537720000000002</v>
      </c>
      <c r="AG30" s="3">
        <v>1.0979749999999999</v>
      </c>
      <c r="AH30" s="3">
        <v>-1.078832</v>
      </c>
      <c r="AI30" s="2" t="s">
        <v>238</v>
      </c>
      <c r="AJ30" s="2" t="s">
        <v>8469</v>
      </c>
    </row>
    <row r="31" spans="1:36" x14ac:dyDescent="0.45">
      <c r="A31" t="s">
        <v>239</v>
      </c>
      <c r="B31" t="str">
        <f t="shared" si="0"/>
        <v>Unknown</v>
      </c>
      <c r="C31">
        <f t="shared" si="1"/>
        <v>0</v>
      </c>
      <c r="D31" s="2"/>
      <c r="E31">
        <f>COUNTIFS(Planets!$C:$C,I31,Planets!$E:$E,1)</f>
        <v>0</v>
      </c>
      <c r="F31" s="3">
        <v>12.0560443459217</v>
      </c>
      <c r="H31" s="2"/>
      <c r="I31" t="s">
        <v>240</v>
      </c>
      <c r="L31">
        <v>0</v>
      </c>
      <c r="M31" s="3">
        <v>3.6964000000000001</v>
      </c>
      <c r="N31" t="s">
        <v>241</v>
      </c>
      <c r="O31" s="3">
        <v>2.1657084947099999E-4</v>
      </c>
      <c r="P31" s="3">
        <v>11.85</v>
      </c>
      <c r="Q31" t="s">
        <v>242</v>
      </c>
      <c r="W31" s="3">
        <v>253.63294500000001</v>
      </c>
      <c r="X31" s="3">
        <v>-62.399734000000002</v>
      </c>
      <c r="Y31" s="3">
        <v>-1.573880646927253</v>
      </c>
      <c r="Z31" s="3">
        <v>-5.359238520452668</v>
      </c>
      <c r="AA31" s="3">
        <v>-10.68408385087511</v>
      </c>
      <c r="AB31" t="s">
        <v>41</v>
      </c>
      <c r="AC31" t="s">
        <v>240</v>
      </c>
      <c r="AD31">
        <v>0</v>
      </c>
      <c r="AE31">
        <v>0</v>
      </c>
      <c r="AF31" s="3">
        <v>-0.48255399999999998</v>
      </c>
      <c r="AG31" s="3">
        <v>-1.6431500000000001</v>
      </c>
      <c r="AH31" s="3">
        <v>-3.2757550000000002</v>
      </c>
      <c r="AI31" s="2" t="s">
        <v>243</v>
      </c>
      <c r="AJ31" s="2" t="s">
        <v>8469</v>
      </c>
    </row>
    <row r="32" spans="1:36" x14ac:dyDescent="0.45">
      <c r="A32" t="s">
        <v>244</v>
      </c>
      <c r="B32" t="str">
        <f t="shared" si="0"/>
        <v>Yes</v>
      </c>
      <c r="C32">
        <f t="shared" si="1"/>
        <v>2</v>
      </c>
      <c r="D32" s="2"/>
      <c r="E32">
        <f>COUNTIFS(Planets!$C:$C,I32,Planets!$E:$E,1)</f>
        <v>2</v>
      </c>
      <c r="F32" s="3">
        <v>12.402422419056879</v>
      </c>
      <c r="G32" t="s">
        <v>245</v>
      </c>
      <c r="H32" s="2" t="s">
        <v>246</v>
      </c>
      <c r="I32" t="s">
        <v>247</v>
      </c>
      <c r="J32" t="s">
        <v>248</v>
      </c>
      <c r="K32" t="s">
        <v>73</v>
      </c>
      <c r="L32">
        <v>0</v>
      </c>
      <c r="M32" s="3">
        <v>3.8026</v>
      </c>
      <c r="N32" t="s">
        <v>249</v>
      </c>
      <c r="O32" s="3">
        <v>1.458814260275347E-3</v>
      </c>
      <c r="P32" s="3">
        <v>9.84</v>
      </c>
      <c r="Q32" t="s">
        <v>250</v>
      </c>
      <c r="T32" t="s">
        <v>251</v>
      </c>
      <c r="V32" t="s">
        <v>244</v>
      </c>
      <c r="W32" s="3">
        <v>111.852075</v>
      </c>
      <c r="X32" s="3">
        <v>5.2257850000000001</v>
      </c>
      <c r="Y32" s="3">
        <v>-4.5973339605425778</v>
      </c>
      <c r="Z32" s="3">
        <v>11.463927011559621</v>
      </c>
      <c r="AA32" s="3">
        <v>1.129668706732158</v>
      </c>
      <c r="AB32" t="s">
        <v>41</v>
      </c>
      <c r="AC32" t="s">
        <v>247</v>
      </c>
      <c r="AD32">
        <v>2</v>
      </c>
      <c r="AE32">
        <v>0</v>
      </c>
      <c r="AF32" s="3">
        <v>-1.4095489999999999</v>
      </c>
      <c r="AG32" s="3">
        <v>3.514856</v>
      </c>
      <c r="AH32" s="3">
        <v>0.346358</v>
      </c>
      <c r="AI32" s="2" t="s">
        <v>252</v>
      </c>
      <c r="AJ32" s="2" t="s">
        <v>8469</v>
      </c>
    </row>
    <row r="33" spans="1:36" x14ac:dyDescent="0.45">
      <c r="A33" t="s">
        <v>253</v>
      </c>
      <c r="B33" t="str">
        <f t="shared" si="0"/>
        <v>Yes</v>
      </c>
      <c r="C33">
        <f t="shared" si="1"/>
        <v>1</v>
      </c>
      <c r="D33" s="2"/>
      <c r="E33">
        <f>COUNTIFS(Planets!$C:$C,I33,Planets!$E:$E,1)</f>
        <v>1</v>
      </c>
      <c r="F33" s="3">
        <v>12.757280558012701</v>
      </c>
      <c r="G33" t="s">
        <v>254</v>
      </c>
      <c r="H33" s="2"/>
      <c r="I33" t="s">
        <v>255</v>
      </c>
      <c r="J33" t="s">
        <v>256</v>
      </c>
      <c r="K33" t="s">
        <v>47</v>
      </c>
      <c r="L33">
        <v>1</v>
      </c>
      <c r="M33" s="3">
        <v>3.9114</v>
      </c>
      <c r="N33" t="s">
        <v>257</v>
      </c>
      <c r="O33" s="3">
        <v>3.808903764981351E-3</v>
      </c>
      <c r="P33" s="3">
        <v>8.86</v>
      </c>
      <c r="Q33" t="s">
        <v>258</v>
      </c>
      <c r="R33" t="s">
        <v>259</v>
      </c>
      <c r="T33" t="s">
        <v>260</v>
      </c>
      <c r="V33" t="s">
        <v>253</v>
      </c>
      <c r="W33" s="3">
        <v>77.912534999999991</v>
      </c>
      <c r="X33" s="3">
        <v>-45.018416999999999</v>
      </c>
      <c r="Y33" s="3">
        <v>1.8884356422886119</v>
      </c>
      <c r="Z33" s="3">
        <v>8.8230975293351346</v>
      </c>
      <c r="AA33" s="3">
        <v>-9.0287260792304327</v>
      </c>
      <c r="AB33" t="s">
        <v>41</v>
      </c>
      <c r="AC33" t="s">
        <v>255</v>
      </c>
      <c r="AD33">
        <v>1</v>
      </c>
      <c r="AE33">
        <v>0</v>
      </c>
      <c r="AF33" s="3">
        <v>0.57899699999999998</v>
      </c>
      <c r="AG33" s="3">
        <v>2.705174</v>
      </c>
      <c r="AH33" s="3">
        <v>-2.7682199999999999</v>
      </c>
      <c r="AI33" s="2" t="s">
        <v>261</v>
      </c>
      <c r="AJ33" s="2" t="s">
        <v>8469</v>
      </c>
    </row>
    <row r="34" spans="1:36" x14ac:dyDescent="0.45">
      <c r="A34" t="s">
        <v>262</v>
      </c>
      <c r="B34" t="str">
        <f t="shared" si="0"/>
        <v>Unknown</v>
      </c>
      <c r="C34">
        <f t="shared" si="1"/>
        <v>0</v>
      </c>
      <c r="D34" s="2"/>
      <c r="E34">
        <f>COUNTIFS(Planets!$C:$C,I34,Planets!$E:$E,1)</f>
        <v>0</v>
      </c>
      <c r="F34" s="3">
        <v>12.870782977458131</v>
      </c>
      <c r="H34" s="2"/>
      <c r="I34" t="s">
        <v>263</v>
      </c>
      <c r="L34">
        <v>0</v>
      </c>
      <c r="M34" s="3">
        <v>3.9462000000000002</v>
      </c>
      <c r="N34" t="s">
        <v>264</v>
      </c>
      <c r="O34" s="3">
        <v>2.8602236939542801E-2</v>
      </c>
      <c r="P34" s="3">
        <v>6.69</v>
      </c>
      <c r="Q34" t="s">
        <v>265</v>
      </c>
      <c r="R34" t="s">
        <v>266</v>
      </c>
      <c r="T34" t="s">
        <v>267</v>
      </c>
      <c r="V34" t="s">
        <v>262</v>
      </c>
      <c r="W34" s="3">
        <v>319.31587499999989</v>
      </c>
      <c r="X34" s="3">
        <v>-38.867362</v>
      </c>
      <c r="Y34" s="3">
        <v>7.5994566470552289</v>
      </c>
      <c r="Z34" s="3">
        <v>-6.5334210496156073</v>
      </c>
      <c r="AA34" s="3">
        <v>-8.0771876781882739</v>
      </c>
      <c r="AB34" t="s">
        <v>41</v>
      </c>
      <c r="AC34" t="s">
        <v>263</v>
      </c>
      <c r="AD34">
        <v>0</v>
      </c>
      <c r="AE34">
        <v>0</v>
      </c>
      <c r="AF34" s="3">
        <v>2.3300040000000002</v>
      </c>
      <c r="AG34" s="3">
        <v>-2.0031560000000002</v>
      </c>
      <c r="AH34" s="3">
        <v>-2.476477</v>
      </c>
      <c r="AI34" s="2" t="s">
        <v>268</v>
      </c>
      <c r="AJ34" s="2" t="s">
        <v>8469</v>
      </c>
    </row>
    <row r="35" spans="1:36" x14ac:dyDescent="0.45">
      <c r="A35" t="s">
        <v>269</v>
      </c>
      <c r="B35" t="str">
        <f t="shared" si="0"/>
        <v>Unknown</v>
      </c>
      <c r="C35">
        <f t="shared" si="1"/>
        <v>0</v>
      </c>
      <c r="D35" s="2"/>
      <c r="E35">
        <f>COUNTIFS(Planets!$C:$C,I35,Planets!$E:$E,1)</f>
        <v>0</v>
      </c>
      <c r="F35" s="3">
        <v>13.049516672446901</v>
      </c>
      <c r="H35" s="2"/>
      <c r="I35" t="s">
        <v>270</v>
      </c>
      <c r="L35">
        <v>0</v>
      </c>
      <c r="M35" s="3">
        <v>4.0010000000000003</v>
      </c>
      <c r="N35" t="s">
        <v>88</v>
      </c>
      <c r="O35" s="3">
        <v>2.034229743211725E-3</v>
      </c>
      <c r="P35" s="3">
        <v>9.59</v>
      </c>
      <c r="Q35" t="s">
        <v>271</v>
      </c>
      <c r="R35" t="s">
        <v>272</v>
      </c>
      <c r="T35" t="s">
        <v>273</v>
      </c>
      <c r="V35" t="s">
        <v>269</v>
      </c>
      <c r="W35" s="3">
        <v>336.99963000000002</v>
      </c>
      <c r="X35" s="3">
        <v>57.695875000000001</v>
      </c>
      <c r="Y35" s="3">
        <v>6.4188651450701553</v>
      </c>
      <c r="Z35" s="3">
        <v>-2.724938688910076</v>
      </c>
      <c r="AA35" s="3">
        <v>11.0289322505988</v>
      </c>
      <c r="AB35" t="s">
        <v>41</v>
      </c>
      <c r="AC35" t="s">
        <v>270</v>
      </c>
      <c r="AD35">
        <v>0</v>
      </c>
      <c r="AE35">
        <v>0</v>
      </c>
      <c r="AF35" s="3">
        <v>1.9680329999999999</v>
      </c>
      <c r="AG35" s="3">
        <v>-0.83547000000000005</v>
      </c>
      <c r="AH35" s="3">
        <v>3.3814860000000002</v>
      </c>
      <c r="AI35" s="2" t="s">
        <v>274</v>
      </c>
      <c r="AJ35" s="2" t="s">
        <v>8469</v>
      </c>
    </row>
    <row r="36" spans="1:36" x14ac:dyDescent="0.45">
      <c r="A36" t="s">
        <v>275</v>
      </c>
      <c r="B36" t="str">
        <f t="shared" si="0"/>
        <v>Unknown</v>
      </c>
      <c r="C36">
        <f t="shared" si="1"/>
        <v>0</v>
      </c>
      <c r="D36" s="2"/>
      <c r="E36">
        <f>COUNTIFS(Planets!$C:$C,I36,Planets!$E:$E,1)</f>
        <v>0</v>
      </c>
      <c r="F36" s="3">
        <v>13.07136914975392</v>
      </c>
      <c r="H36" s="2"/>
      <c r="I36" t="s">
        <v>276</v>
      </c>
      <c r="L36">
        <v>0</v>
      </c>
      <c r="M36" s="3">
        <v>4.0076999999999998</v>
      </c>
      <c r="N36" t="s">
        <v>277</v>
      </c>
      <c r="O36" s="3">
        <v>4.222795013061E-4</v>
      </c>
      <c r="P36" s="3">
        <v>11.3</v>
      </c>
      <c r="T36" t="s">
        <v>275</v>
      </c>
      <c r="W36" s="3">
        <v>337.009005</v>
      </c>
      <c r="X36" s="3">
        <v>57.696623000000002</v>
      </c>
      <c r="Y36" s="3">
        <v>6.4274006574750029</v>
      </c>
      <c r="Z36" s="3">
        <v>-2.7284481315343081</v>
      </c>
      <c r="AA36" s="3">
        <v>11.04384738175178</v>
      </c>
      <c r="AB36" t="s">
        <v>60</v>
      </c>
      <c r="AC36" t="s">
        <v>270</v>
      </c>
      <c r="AD36">
        <v>0</v>
      </c>
      <c r="AE36">
        <v>0</v>
      </c>
      <c r="AF36" s="3">
        <v>1.97065</v>
      </c>
      <c r="AG36" s="3">
        <v>-0.83654600000000001</v>
      </c>
      <c r="AH36" s="3">
        <v>3.3860589999999999</v>
      </c>
      <c r="AI36" s="2" t="s">
        <v>274</v>
      </c>
      <c r="AJ36" s="2" t="s">
        <v>8469</v>
      </c>
    </row>
    <row r="37" spans="1:36" x14ac:dyDescent="0.45">
      <c r="A37" t="s">
        <v>278</v>
      </c>
      <c r="B37" t="str">
        <f t="shared" si="0"/>
        <v>Unknown</v>
      </c>
      <c r="C37">
        <f t="shared" si="1"/>
        <v>0</v>
      </c>
      <c r="D37" s="2"/>
      <c r="E37">
        <f>COUNTIFS(Planets!$C:$C,I37,Planets!$E:$E,1)</f>
        <v>0</v>
      </c>
      <c r="F37" s="3">
        <v>13.42818422697604</v>
      </c>
      <c r="H37" s="2"/>
      <c r="I37" t="s">
        <v>279</v>
      </c>
      <c r="L37">
        <v>0</v>
      </c>
      <c r="M37" s="3">
        <v>4.1170999999999998</v>
      </c>
      <c r="O37" s="3">
        <v>2.1340274428500001E-5</v>
      </c>
      <c r="P37" s="3">
        <v>14.6</v>
      </c>
      <c r="T37" t="s">
        <v>278</v>
      </c>
      <c r="W37" s="3">
        <v>97.349085000000002</v>
      </c>
      <c r="X37" s="3">
        <v>-2.812227</v>
      </c>
      <c r="Y37" s="3">
        <v>-1.715592331481401</v>
      </c>
      <c r="Z37" s="3">
        <v>13.30183776937613</v>
      </c>
      <c r="AA37" s="3">
        <v>-0.65882609829649008</v>
      </c>
      <c r="AB37" t="s">
        <v>60</v>
      </c>
      <c r="AC37" t="s">
        <v>280</v>
      </c>
      <c r="AD37">
        <v>0</v>
      </c>
      <c r="AE37">
        <v>0</v>
      </c>
      <c r="AF37" s="3">
        <v>-0.526003</v>
      </c>
      <c r="AG37" s="3">
        <v>4.0783620000000003</v>
      </c>
      <c r="AH37" s="3">
        <v>-0.20199700000000001</v>
      </c>
      <c r="AI37" s="2" t="s">
        <v>281</v>
      </c>
      <c r="AJ37" s="2" t="s">
        <v>8469</v>
      </c>
    </row>
    <row r="38" spans="1:36" x14ac:dyDescent="0.45">
      <c r="A38" t="s">
        <v>282</v>
      </c>
      <c r="B38" t="str">
        <f t="shared" si="0"/>
        <v>Unknown</v>
      </c>
      <c r="C38">
        <f t="shared" si="1"/>
        <v>0</v>
      </c>
      <c r="D38" s="2"/>
      <c r="E38">
        <f>COUNTIFS(Planets!$C:$C,I38,Planets!$E:$E,1)</f>
        <v>0</v>
      </c>
      <c r="F38" s="3">
        <v>13.45982139561456</v>
      </c>
      <c r="H38" s="2"/>
      <c r="I38" t="s">
        <v>280</v>
      </c>
      <c r="L38">
        <v>0</v>
      </c>
      <c r="M38" s="3">
        <v>4.1268000000000002</v>
      </c>
      <c r="N38" t="s">
        <v>283</v>
      </c>
      <c r="O38" s="3">
        <v>5.2868866585089995E-4</v>
      </c>
      <c r="P38" s="3">
        <v>11.12</v>
      </c>
      <c r="Q38" t="s">
        <v>284</v>
      </c>
      <c r="T38" t="s">
        <v>285</v>
      </c>
      <c r="V38" t="s">
        <v>282</v>
      </c>
      <c r="W38" s="3">
        <v>97.347494999999995</v>
      </c>
      <c r="X38" s="3">
        <v>-2.8139789999999998</v>
      </c>
      <c r="Y38" s="3">
        <v>-1.719320298878704</v>
      </c>
      <c r="Z38" s="3">
        <v>13.33368367809639</v>
      </c>
      <c r="AA38" s="3">
        <v>-0.66081565220056215</v>
      </c>
      <c r="AB38" t="s">
        <v>41</v>
      </c>
      <c r="AC38" t="s">
        <v>280</v>
      </c>
      <c r="AD38">
        <v>0</v>
      </c>
      <c r="AE38">
        <v>0</v>
      </c>
      <c r="AF38" s="3">
        <v>-0.527146</v>
      </c>
      <c r="AG38" s="3">
        <v>4.0881259999999999</v>
      </c>
      <c r="AH38" s="3">
        <v>-0.20260700000000001</v>
      </c>
      <c r="AI38" s="2" t="s">
        <v>281</v>
      </c>
      <c r="AJ38" s="2" t="s">
        <v>8469</v>
      </c>
    </row>
    <row r="39" spans="1:36" x14ac:dyDescent="0.45">
      <c r="A39" t="s">
        <v>286</v>
      </c>
      <c r="B39" t="str">
        <f t="shared" si="0"/>
        <v>Unknown</v>
      </c>
      <c r="C39">
        <f t="shared" si="1"/>
        <v>0</v>
      </c>
      <c r="D39" s="2"/>
      <c r="E39">
        <f>COUNTIFS(Planets!$C:$C,I39,Planets!$E:$E,1)</f>
        <v>0</v>
      </c>
      <c r="F39" s="3">
        <v>13.52407420202476</v>
      </c>
      <c r="H39" s="2"/>
      <c r="I39" t="s">
        <v>287</v>
      </c>
      <c r="L39">
        <v>0</v>
      </c>
      <c r="M39" s="3">
        <v>4.1464999999999996</v>
      </c>
      <c r="O39" s="3">
        <v>3.0704356507300001E-4</v>
      </c>
      <c r="P39" s="3">
        <v>11.72</v>
      </c>
      <c r="Q39" t="s">
        <v>288</v>
      </c>
      <c r="W39" s="3">
        <v>253.63456500000001</v>
      </c>
      <c r="X39" s="3">
        <v>-62.403319000000003</v>
      </c>
      <c r="Y39" s="3">
        <v>-1.7651550546392381</v>
      </c>
      <c r="Z39" s="3">
        <v>-6.0111501035415627</v>
      </c>
      <c r="AA39" s="3">
        <v>-11.985447797964911</v>
      </c>
      <c r="AB39" t="s">
        <v>41</v>
      </c>
      <c r="AC39" t="s">
        <v>287</v>
      </c>
      <c r="AD39">
        <v>0</v>
      </c>
      <c r="AE39">
        <v>0</v>
      </c>
      <c r="AF39" s="3">
        <v>-0.54119899999999999</v>
      </c>
      <c r="AG39" s="3">
        <v>-1.843027</v>
      </c>
      <c r="AH39" s="3">
        <v>-3.6747550000000002</v>
      </c>
      <c r="AI39" s="2" t="s">
        <v>289</v>
      </c>
      <c r="AJ39" s="2" t="s">
        <v>8469</v>
      </c>
    </row>
    <row r="40" spans="1:36" x14ac:dyDescent="0.45">
      <c r="A40" t="s">
        <v>290</v>
      </c>
      <c r="B40" t="str">
        <f t="shared" si="0"/>
        <v>Unknown</v>
      </c>
      <c r="C40">
        <f t="shared" si="1"/>
        <v>0</v>
      </c>
      <c r="D40" s="2"/>
      <c r="E40">
        <f>COUNTIFS(Planets!$C:$C,I40,Planets!$E:$E,1)</f>
        <v>0</v>
      </c>
      <c r="F40" s="3">
        <v>13.902741756553899</v>
      </c>
      <c r="H40" s="2"/>
      <c r="I40" t="s">
        <v>291</v>
      </c>
      <c r="L40">
        <v>0</v>
      </c>
      <c r="M40" s="3">
        <v>4.2625999999999999</v>
      </c>
      <c r="N40" t="s">
        <v>292</v>
      </c>
      <c r="O40" s="3">
        <v>1.783199772233E-4</v>
      </c>
      <c r="P40" s="3">
        <v>12.37</v>
      </c>
      <c r="Q40" t="s">
        <v>293</v>
      </c>
      <c r="T40" t="s">
        <v>294</v>
      </c>
      <c r="V40" t="s">
        <v>290</v>
      </c>
      <c r="W40" s="3">
        <v>12.29124</v>
      </c>
      <c r="X40" s="3">
        <v>5.3886099999999999</v>
      </c>
      <c r="Y40" s="3">
        <v>13.52556473667093</v>
      </c>
      <c r="Z40" s="3">
        <v>2.9468848423825418</v>
      </c>
      <c r="AA40" s="3">
        <v>1.305760535061427</v>
      </c>
      <c r="AB40" t="s">
        <v>41</v>
      </c>
      <c r="AC40" t="s">
        <v>291</v>
      </c>
      <c r="AD40">
        <v>0</v>
      </c>
      <c r="AE40">
        <v>0</v>
      </c>
      <c r="AF40" s="3">
        <v>4.1469569999999996</v>
      </c>
      <c r="AG40" s="3">
        <v>0.90351899999999996</v>
      </c>
      <c r="AH40" s="3">
        <v>0.40034799999999998</v>
      </c>
      <c r="AI40" s="2" t="s">
        <v>295</v>
      </c>
      <c r="AJ40" s="2" t="s">
        <v>8469</v>
      </c>
    </row>
    <row r="41" spans="1:36" x14ac:dyDescent="0.45">
      <c r="A41" t="s">
        <v>296</v>
      </c>
      <c r="B41" t="str">
        <f t="shared" si="0"/>
        <v>Yes</v>
      </c>
      <c r="C41">
        <f t="shared" si="1"/>
        <v>3</v>
      </c>
      <c r="D41" s="2"/>
      <c r="E41">
        <f>COUNTIFS(Planets!$C:$C,I41,Planets!$E:$E,1)</f>
        <v>3</v>
      </c>
      <c r="F41" s="3">
        <v>13.997979418847191</v>
      </c>
      <c r="G41" t="s">
        <v>297</v>
      </c>
      <c r="H41" s="2"/>
      <c r="I41" t="s">
        <v>298</v>
      </c>
      <c r="J41" t="s">
        <v>296</v>
      </c>
      <c r="K41" t="s">
        <v>73</v>
      </c>
      <c r="L41">
        <v>0</v>
      </c>
      <c r="M41" s="3">
        <v>4.2918000000000003</v>
      </c>
      <c r="N41" t="s">
        <v>299</v>
      </c>
      <c r="O41" s="3">
        <v>9.8446436397999997E-5</v>
      </c>
      <c r="P41" s="3">
        <v>13.03</v>
      </c>
      <c r="T41" t="s">
        <v>296</v>
      </c>
      <c r="W41" s="3">
        <v>53.995559999999998</v>
      </c>
      <c r="X41" s="3">
        <v>-44.511896999999998</v>
      </c>
      <c r="Y41" s="3">
        <v>5.865945284182069</v>
      </c>
      <c r="Z41" s="3">
        <v>8.0736684508727112</v>
      </c>
      <c r="AA41" s="3">
        <v>-9.8110447668218121</v>
      </c>
      <c r="AB41" t="s">
        <v>41</v>
      </c>
      <c r="AC41" t="s">
        <v>298</v>
      </c>
      <c r="AD41">
        <v>3</v>
      </c>
      <c r="AE41">
        <v>0</v>
      </c>
      <c r="AF41" s="3">
        <v>1.7985070000000001</v>
      </c>
      <c r="AG41" s="3">
        <v>2.4753980000000002</v>
      </c>
      <c r="AH41" s="3">
        <v>-3.0080800000000001</v>
      </c>
      <c r="AI41" s="2" t="s">
        <v>300</v>
      </c>
      <c r="AJ41" s="2" t="s">
        <v>8469</v>
      </c>
    </row>
    <row r="42" spans="1:36" x14ac:dyDescent="0.45">
      <c r="A42" t="s">
        <v>301</v>
      </c>
      <c r="B42" t="str">
        <f t="shared" si="0"/>
        <v>Yes</v>
      </c>
      <c r="C42">
        <f t="shared" si="1"/>
        <v>3</v>
      </c>
      <c r="D42" s="2"/>
      <c r="E42">
        <f>COUNTIFS(Planets!$C:$C,I42,Planets!$E:$E,1)</f>
        <v>3</v>
      </c>
      <c r="F42" s="3">
        <v>13.99928404435806</v>
      </c>
      <c r="G42" t="s">
        <v>302</v>
      </c>
      <c r="H42" s="2"/>
      <c r="I42" t="s">
        <v>303</v>
      </c>
      <c r="J42" t="s">
        <v>301</v>
      </c>
      <c r="K42" t="s">
        <v>73</v>
      </c>
      <c r="L42">
        <v>0</v>
      </c>
      <c r="M42" s="3">
        <v>4.2922000000000002</v>
      </c>
      <c r="N42" t="s">
        <v>304</v>
      </c>
      <c r="O42" s="3">
        <v>1.462850686999853E-3</v>
      </c>
      <c r="P42" s="3">
        <v>10.1</v>
      </c>
      <c r="Q42" t="s">
        <v>305</v>
      </c>
      <c r="T42" t="s">
        <v>306</v>
      </c>
      <c r="V42" t="s">
        <v>301</v>
      </c>
      <c r="W42" s="3">
        <v>247.575255</v>
      </c>
      <c r="X42" s="3">
        <v>-12.662594</v>
      </c>
      <c r="Y42" s="3">
        <v>-5.2102731180581001</v>
      </c>
      <c r="Z42" s="3">
        <v>-12.62558839738201</v>
      </c>
      <c r="AA42" s="3">
        <v>-3.068691203204637</v>
      </c>
      <c r="AB42" t="s">
        <v>41</v>
      </c>
      <c r="AC42" t="s">
        <v>303</v>
      </c>
      <c r="AD42">
        <v>3</v>
      </c>
      <c r="AE42">
        <v>0</v>
      </c>
      <c r="AF42" s="3">
        <v>-1.597477</v>
      </c>
      <c r="AG42" s="3">
        <v>-3.8710230000000001</v>
      </c>
      <c r="AH42" s="3">
        <v>-0.94086499999999995</v>
      </c>
      <c r="AI42" s="2" t="s">
        <v>307</v>
      </c>
      <c r="AJ42" s="2" t="s">
        <v>8469</v>
      </c>
    </row>
    <row r="43" spans="1:36" x14ac:dyDescent="0.45">
      <c r="A43" t="s">
        <v>308</v>
      </c>
      <c r="B43" t="str">
        <f t="shared" si="0"/>
        <v>Unknown</v>
      </c>
      <c r="C43">
        <f t="shared" si="1"/>
        <v>0</v>
      </c>
      <c r="D43" s="2"/>
      <c r="E43">
        <f>COUNTIFS(Planets!$C:$C,I43,Planets!$E:$E,1)</f>
        <v>0</v>
      </c>
      <c r="F43" s="3">
        <v>14.04625056274927</v>
      </c>
      <c r="H43" s="2"/>
      <c r="I43" t="s">
        <v>309</v>
      </c>
      <c r="L43">
        <v>0</v>
      </c>
      <c r="M43" s="3">
        <v>4.3066000000000004</v>
      </c>
      <c r="N43" t="s">
        <v>310</v>
      </c>
      <c r="O43" s="3">
        <v>9.8265258283000004E-5</v>
      </c>
      <c r="P43" s="3">
        <v>13.04</v>
      </c>
      <c r="T43" t="s">
        <v>308</v>
      </c>
      <c r="W43" s="3">
        <v>188.32167000000001</v>
      </c>
      <c r="X43" s="3">
        <v>9.0207139999999999</v>
      </c>
      <c r="Y43" s="3">
        <v>-13.726470542216889</v>
      </c>
      <c r="Z43" s="3">
        <v>-2.007701244928294</v>
      </c>
      <c r="AA43" s="3">
        <v>2.202331801766984</v>
      </c>
      <c r="AB43" t="s">
        <v>41</v>
      </c>
      <c r="AC43" t="s">
        <v>309</v>
      </c>
      <c r="AD43">
        <v>0</v>
      </c>
      <c r="AE43">
        <v>0</v>
      </c>
      <c r="AF43" s="3">
        <v>-4.2085549999999996</v>
      </c>
      <c r="AG43" s="3">
        <v>-0.615564</v>
      </c>
      <c r="AH43" s="3">
        <v>0.675238</v>
      </c>
      <c r="AI43" s="2" t="s">
        <v>311</v>
      </c>
      <c r="AJ43" s="2" t="s">
        <v>8469</v>
      </c>
    </row>
    <row r="44" spans="1:36" x14ac:dyDescent="0.45">
      <c r="A44" t="s">
        <v>312</v>
      </c>
      <c r="B44" t="str">
        <f t="shared" si="0"/>
        <v>Unknown</v>
      </c>
      <c r="C44">
        <f t="shared" si="1"/>
        <v>0</v>
      </c>
      <c r="D44" s="2"/>
      <c r="E44">
        <f>COUNTIFS(Planets!$C:$C,I44,Planets!$E:$E,1)</f>
        <v>0</v>
      </c>
      <c r="F44" s="3">
        <v>14.04625056274927</v>
      </c>
      <c r="H44" s="2"/>
      <c r="I44" t="s">
        <v>313</v>
      </c>
      <c r="L44">
        <v>0</v>
      </c>
      <c r="M44" s="3">
        <v>4.3066000000000004</v>
      </c>
      <c r="N44" t="s">
        <v>314</v>
      </c>
      <c r="O44" s="3">
        <v>7.7339257804899999E-5</v>
      </c>
      <c r="P44" s="3">
        <v>13.3</v>
      </c>
      <c r="T44" t="s">
        <v>312</v>
      </c>
      <c r="W44" s="3">
        <v>188.32167000000001</v>
      </c>
      <c r="X44" s="3">
        <v>9.0207139999999999</v>
      </c>
      <c r="Y44" s="3">
        <v>-13.726470542216889</v>
      </c>
      <c r="Z44" s="3">
        <v>-2.007701244928294</v>
      </c>
      <c r="AA44" s="3">
        <v>2.202331801766984</v>
      </c>
      <c r="AB44" t="s">
        <v>60</v>
      </c>
      <c r="AC44" t="s">
        <v>309</v>
      </c>
      <c r="AD44">
        <v>0</v>
      </c>
      <c r="AE44">
        <v>0</v>
      </c>
      <c r="AF44" s="3">
        <v>-4.2085549999999996</v>
      </c>
      <c r="AG44" s="3">
        <v>-0.615564</v>
      </c>
      <c r="AH44" s="3">
        <v>0.675238</v>
      </c>
      <c r="AI44" s="2" t="s">
        <v>311</v>
      </c>
      <c r="AJ44" s="2" t="s">
        <v>8469</v>
      </c>
    </row>
    <row r="45" spans="1:36" x14ac:dyDescent="0.45">
      <c r="A45" t="s">
        <v>315</v>
      </c>
      <c r="B45" t="str">
        <f t="shared" si="0"/>
        <v>Unknown</v>
      </c>
      <c r="C45">
        <f t="shared" si="1"/>
        <v>0</v>
      </c>
      <c r="D45" s="2"/>
      <c r="E45">
        <f>COUNTIFS(Planets!$C:$C,I45,Planets!$E:$E,1)</f>
        <v>0</v>
      </c>
      <c r="F45" s="3">
        <v>14.154860636528941</v>
      </c>
      <c r="H45" s="2"/>
      <c r="I45" t="s">
        <v>316</v>
      </c>
      <c r="L45">
        <v>0</v>
      </c>
      <c r="M45" s="3">
        <v>4.3399000000000001</v>
      </c>
      <c r="N45" t="s">
        <v>88</v>
      </c>
      <c r="O45" s="3">
        <v>6.1773185859152003E-3</v>
      </c>
      <c r="P45" s="3">
        <v>8.56</v>
      </c>
      <c r="Q45" t="s">
        <v>317</v>
      </c>
      <c r="R45" t="s">
        <v>318</v>
      </c>
      <c r="T45" t="s">
        <v>315</v>
      </c>
      <c r="W45" s="3">
        <v>1.3482449999999999</v>
      </c>
      <c r="X45" s="3">
        <v>-37.357363999999997</v>
      </c>
      <c r="Y45" s="3">
        <v>11.248624663501239</v>
      </c>
      <c r="Z45" s="3">
        <v>0.26543910644099439</v>
      </c>
      <c r="AA45" s="3">
        <v>-8.589354299680652</v>
      </c>
      <c r="AB45" t="s">
        <v>41</v>
      </c>
      <c r="AC45" t="s">
        <v>316</v>
      </c>
      <c r="AD45">
        <v>0</v>
      </c>
      <c r="AE45">
        <v>0</v>
      </c>
      <c r="AF45" s="3">
        <v>3.4488439999999998</v>
      </c>
      <c r="AG45" s="3">
        <v>8.1383999999999998E-2</v>
      </c>
      <c r="AH45" s="3">
        <v>-2.633508</v>
      </c>
      <c r="AI45" s="2" t="s">
        <v>319</v>
      </c>
      <c r="AJ45" s="2" t="s">
        <v>8469</v>
      </c>
    </row>
    <row r="46" spans="1:36" x14ac:dyDescent="0.45">
      <c r="A46" t="s">
        <v>320</v>
      </c>
      <c r="B46" t="str">
        <f t="shared" si="0"/>
        <v>Unknown</v>
      </c>
      <c r="C46">
        <f t="shared" si="1"/>
        <v>0</v>
      </c>
      <c r="D46" s="2"/>
      <c r="E46">
        <f>COUNTIFS(Planets!$C:$C,I46,Planets!$E:$E,1)</f>
        <v>0</v>
      </c>
      <c r="F46" s="3">
        <v>14.560599170408571</v>
      </c>
      <c r="H46" s="2"/>
      <c r="I46" t="s">
        <v>321</v>
      </c>
      <c r="L46">
        <v>0</v>
      </c>
      <c r="M46" s="3">
        <v>4.4642999999999997</v>
      </c>
      <c r="N46" t="s">
        <v>322</v>
      </c>
      <c r="O46" s="3">
        <v>7.6489179100709995E-4</v>
      </c>
      <c r="P46" s="3">
        <v>10.89</v>
      </c>
      <c r="T46" t="s">
        <v>320</v>
      </c>
      <c r="W46" s="3">
        <v>134.73354</v>
      </c>
      <c r="X46" s="3">
        <v>8.4753969999999992</v>
      </c>
      <c r="Y46" s="3">
        <v>-10.13599762750478</v>
      </c>
      <c r="Z46" s="3">
        <v>10.230700393338619</v>
      </c>
      <c r="AA46" s="3">
        <v>2.1460078568990788</v>
      </c>
      <c r="AB46" t="s">
        <v>41</v>
      </c>
      <c r="AC46" t="s">
        <v>321</v>
      </c>
      <c r="AD46">
        <v>0</v>
      </c>
      <c r="AE46">
        <v>0</v>
      </c>
      <c r="AF46" s="3">
        <v>-3.1077110000000001</v>
      </c>
      <c r="AG46" s="3">
        <v>3.1367470000000002</v>
      </c>
      <c r="AH46" s="3">
        <v>0.65796900000000003</v>
      </c>
      <c r="AI46" s="2" t="s">
        <v>323</v>
      </c>
      <c r="AJ46" s="2" t="s">
        <v>8469</v>
      </c>
    </row>
    <row r="47" spans="1:36" x14ac:dyDescent="0.45">
      <c r="A47" t="s">
        <v>324</v>
      </c>
      <c r="B47" t="str">
        <f t="shared" si="0"/>
        <v>Yes</v>
      </c>
      <c r="C47">
        <f t="shared" si="1"/>
        <v>1</v>
      </c>
      <c r="D47" s="2"/>
      <c r="E47">
        <f>COUNTIFS(Planets!$C:$C,I47,Planets!$E:$E,1)</f>
        <v>1</v>
      </c>
      <c r="F47" s="3">
        <v>14.57364542551724</v>
      </c>
      <c r="G47" t="s">
        <v>325</v>
      </c>
      <c r="H47" s="2"/>
      <c r="I47" t="s">
        <v>326</v>
      </c>
      <c r="J47" t="s">
        <v>327</v>
      </c>
      <c r="K47" t="s">
        <v>47</v>
      </c>
      <c r="L47">
        <v>0</v>
      </c>
      <c r="M47" s="3">
        <v>4.4683000000000002</v>
      </c>
      <c r="N47" t="s">
        <v>328</v>
      </c>
      <c r="O47" s="3">
        <v>2.1301000374110001E-4</v>
      </c>
      <c r="P47" s="3">
        <v>12.28</v>
      </c>
      <c r="T47" t="s">
        <v>324</v>
      </c>
      <c r="W47" s="3">
        <v>30.053445</v>
      </c>
      <c r="X47" s="3">
        <v>13.053039999999999</v>
      </c>
      <c r="Y47" s="3">
        <v>12.28399503830793</v>
      </c>
      <c r="Z47" s="3">
        <v>7.1075736906930533</v>
      </c>
      <c r="AA47" s="3">
        <v>3.2903340312458269</v>
      </c>
      <c r="AB47" t="s">
        <v>41</v>
      </c>
      <c r="AC47" t="s">
        <v>326</v>
      </c>
      <c r="AD47">
        <v>1</v>
      </c>
      <c r="AE47">
        <v>0</v>
      </c>
      <c r="AF47" s="3">
        <v>3.7662900000000001</v>
      </c>
      <c r="AG47" s="3">
        <v>2.179192</v>
      </c>
      <c r="AH47" s="3">
        <v>1.008821</v>
      </c>
      <c r="AI47" s="2" t="s">
        <v>329</v>
      </c>
      <c r="AJ47" s="2" t="s">
        <v>8469</v>
      </c>
    </row>
    <row r="48" spans="1:36" x14ac:dyDescent="0.45">
      <c r="A48" t="s">
        <v>330</v>
      </c>
      <c r="B48" t="str">
        <f t="shared" si="0"/>
        <v>Unknown</v>
      </c>
      <c r="C48">
        <f t="shared" si="1"/>
        <v>0</v>
      </c>
      <c r="D48" s="2"/>
      <c r="E48">
        <f>COUNTIFS(Planets!$C:$C,I48,Planets!$E:$E,1)</f>
        <v>0</v>
      </c>
      <c r="F48" s="3">
        <v>14.638876701060591</v>
      </c>
      <c r="H48" s="2"/>
      <c r="I48" t="s">
        <v>331</v>
      </c>
      <c r="L48">
        <v>0</v>
      </c>
      <c r="M48" s="3">
        <v>4.4882999999999997</v>
      </c>
      <c r="N48" t="s">
        <v>332</v>
      </c>
      <c r="O48" s="3">
        <v>4.7424198526E-5</v>
      </c>
      <c r="P48" s="3">
        <v>13.92</v>
      </c>
      <c r="T48" t="s">
        <v>330</v>
      </c>
      <c r="W48" s="3">
        <v>161.13621000000001</v>
      </c>
      <c r="X48" s="3">
        <v>-61.193586000000003</v>
      </c>
      <c r="Y48" s="3">
        <v>-6.6747087308787227</v>
      </c>
      <c r="Z48" s="3">
        <v>2.281212721717778</v>
      </c>
      <c r="AA48" s="3">
        <v>-12.82735525576514</v>
      </c>
      <c r="AB48" t="s">
        <v>41</v>
      </c>
      <c r="AC48" t="s">
        <v>331</v>
      </c>
      <c r="AD48">
        <v>0</v>
      </c>
      <c r="AE48">
        <v>0</v>
      </c>
      <c r="AF48" s="3">
        <v>-2.046475</v>
      </c>
      <c r="AG48" s="3">
        <v>0.69942300000000002</v>
      </c>
      <c r="AH48" s="3">
        <v>-3.9328850000000002</v>
      </c>
      <c r="AI48" s="2" t="s">
        <v>333</v>
      </c>
      <c r="AJ48" s="2" t="s">
        <v>8469</v>
      </c>
    </row>
    <row r="49" spans="1:36" x14ac:dyDescent="0.45">
      <c r="A49" t="s">
        <v>334</v>
      </c>
      <c r="B49" t="str">
        <f t="shared" si="0"/>
        <v>Unknown</v>
      </c>
      <c r="C49">
        <f t="shared" si="1"/>
        <v>0</v>
      </c>
      <c r="D49" s="2"/>
      <c r="E49">
        <f>COUNTIFS(Planets!$C:$C,I49,Planets!$E:$E,1)</f>
        <v>0</v>
      </c>
      <c r="F49" s="3">
        <v>14.758249935304921</v>
      </c>
      <c r="H49" s="2"/>
      <c r="I49" t="s">
        <v>335</v>
      </c>
      <c r="L49">
        <v>0</v>
      </c>
      <c r="M49" s="3">
        <v>4.5248999999999997</v>
      </c>
      <c r="N49" t="s">
        <v>220</v>
      </c>
      <c r="O49" s="3">
        <v>1.0261243651900001E-5</v>
      </c>
      <c r="P49" s="3">
        <v>15.6</v>
      </c>
      <c r="T49" t="s">
        <v>334</v>
      </c>
      <c r="W49" s="3">
        <v>162.052065</v>
      </c>
      <c r="X49" s="3">
        <v>-11.336727</v>
      </c>
      <c r="Y49" s="3">
        <v>-13.765054841700779</v>
      </c>
      <c r="Z49" s="3">
        <v>4.4586685765563052</v>
      </c>
      <c r="AA49" s="3">
        <v>-2.9008707006142642</v>
      </c>
      <c r="AB49" t="s">
        <v>41</v>
      </c>
      <c r="AC49" t="s">
        <v>335</v>
      </c>
      <c r="AD49">
        <v>0</v>
      </c>
      <c r="AE49">
        <v>0</v>
      </c>
      <c r="AF49" s="3">
        <v>-4.2203850000000003</v>
      </c>
      <c r="AG49" s="3">
        <v>1.3670340000000001</v>
      </c>
      <c r="AH49" s="3">
        <v>-0.88941099999999995</v>
      </c>
      <c r="AI49" s="2" t="s">
        <v>336</v>
      </c>
      <c r="AJ49" s="2" t="s">
        <v>8464</v>
      </c>
    </row>
    <row r="50" spans="1:36" x14ac:dyDescent="0.45">
      <c r="A50" t="s">
        <v>337</v>
      </c>
      <c r="B50" t="str">
        <f t="shared" si="0"/>
        <v>Yes</v>
      </c>
      <c r="C50">
        <f t="shared" si="1"/>
        <v>2</v>
      </c>
      <c r="D50" s="2"/>
      <c r="E50">
        <f>COUNTIFS(Planets!$C:$C,I50,Planets!$E:$E,1)</f>
        <v>2</v>
      </c>
      <c r="F50" s="3">
        <v>14.769013095769569</v>
      </c>
      <c r="G50" t="s">
        <v>338</v>
      </c>
      <c r="H50" s="2"/>
      <c r="I50" t="s">
        <v>339</v>
      </c>
      <c r="J50" t="s">
        <v>340</v>
      </c>
      <c r="K50" t="s">
        <v>73</v>
      </c>
      <c r="L50">
        <v>0</v>
      </c>
      <c r="M50" s="3">
        <v>4.5282</v>
      </c>
      <c r="N50" t="s">
        <v>341</v>
      </c>
      <c r="O50" s="3">
        <v>3.9084089579240209E-3</v>
      </c>
      <c r="P50" s="3">
        <v>9.15</v>
      </c>
      <c r="Q50" t="s">
        <v>342</v>
      </c>
      <c r="T50" t="s">
        <v>337</v>
      </c>
      <c r="W50" s="3">
        <v>264.10924499999999</v>
      </c>
      <c r="X50" s="3">
        <v>68.339140999999998</v>
      </c>
      <c r="Y50" s="3">
        <v>-0.55959302037617087</v>
      </c>
      <c r="Z50" s="3">
        <v>-5.422369348923521</v>
      </c>
      <c r="AA50" s="3">
        <v>13.725469242137301</v>
      </c>
      <c r="AB50" t="s">
        <v>41</v>
      </c>
      <c r="AC50" t="s">
        <v>339</v>
      </c>
      <c r="AD50">
        <v>2</v>
      </c>
      <c r="AE50">
        <v>0</v>
      </c>
      <c r="AF50" s="3">
        <v>-0.171572</v>
      </c>
      <c r="AG50" s="3">
        <v>-1.662506</v>
      </c>
      <c r="AH50" s="3">
        <v>4.2082480000000002</v>
      </c>
      <c r="AI50" s="2" t="s">
        <v>343</v>
      </c>
      <c r="AJ50" s="2" t="s">
        <v>8464</v>
      </c>
    </row>
    <row r="51" spans="1:36" x14ac:dyDescent="0.45">
      <c r="A51" t="s">
        <v>344</v>
      </c>
      <c r="B51" t="str">
        <f t="shared" si="0"/>
        <v>Yes</v>
      </c>
      <c r="C51">
        <f t="shared" si="1"/>
        <v>1</v>
      </c>
      <c r="D51" s="2"/>
      <c r="E51">
        <f>COUNTIFS(Planets!$C:$C,I51,Planets!$E:$E,1)</f>
        <v>1</v>
      </c>
      <c r="F51" s="3">
        <v>14.809130330228729</v>
      </c>
      <c r="G51" t="s">
        <v>345</v>
      </c>
      <c r="H51" s="2"/>
      <c r="I51" t="s">
        <v>346</v>
      </c>
      <c r="J51" t="s">
        <v>347</v>
      </c>
      <c r="K51" t="s">
        <v>73</v>
      </c>
      <c r="L51">
        <v>0</v>
      </c>
      <c r="M51" s="3">
        <v>4.5404999999999998</v>
      </c>
      <c r="N51" t="s">
        <v>159</v>
      </c>
      <c r="O51" s="3">
        <v>3.179801427691524E-3</v>
      </c>
      <c r="P51" s="3">
        <v>9.3800000000000008</v>
      </c>
      <c r="Q51" t="s">
        <v>348</v>
      </c>
      <c r="T51" t="s">
        <v>344</v>
      </c>
      <c r="W51" s="3">
        <v>262.16579999999999</v>
      </c>
      <c r="X51" s="3">
        <v>-46.895189999999999</v>
      </c>
      <c r="Y51" s="3">
        <v>-1.379230520705901</v>
      </c>
      <c r="Z51" s="3">
        <v>-10.02496421183867</v>
      </c>
      <c r="AA51" s="3">
        <v>-10.81200238221561</v>
      </c>
      <c r="AB51" t="s">
        <v>41</v>
      </c>
      <c r="AC51" t="s">
        <v>346</v>
      </c>
      <c r="AD51">
        <v>1</v>
      </c>
      <c r="AE51">
        <v>0</v>
      </c>
      <c r="AF51" s="3">
        <v>-0.42287400000000003</v>
      </c>
      <c r="AG51" s="3">
        <v>-3.0736680000000001</v>
      </c>
      <c r="AH51" s="3">
        <v>-3.314975</v>
      </c>
      <c r="AI51" s="2" t="s">
        <v>349</v>
      </c>
      <c r="AJ51" s="2" t="s">
        <v>8464</v>
      </c>
    </row>
    <row r="52" spans="1:36" x14ac:dyDescent="0.45">
      <c r="A52" t="s">
        <v>350</v>
      </c>
      <c r="B52" t="str">
        <f t="shared" si="0"/>
        <v>Unknown</v>
      </c>
      <c r="C52">
        <f t="shared" si="1"/>
        <v>0</v>
      </c>
      <c r="D52" s="2"/>
      <c r="E52">
        <f>COUNTIFS(Planets!$C:$C,I52,Planets!$E:$E,1)</f>
        <v>0</v>
      </c>
      <c r="F52" s="3">
        <v>15.029612041565249</v>
      </c>
      <c r="H52" s="2"/>
      <c r="I52" t="s">
        <v>351</v>
      </c>
      <c r="L52">
        <v>0</v>
      </c>
      <c r="M52" s="3">
        <v>4.6081000000000003</v>
      </c>
      <c r="N52" t="s">
        <v>352</v>
      </c>
      <c r="O52" s="3">
        <v>4.6472924167619998E-4</v>
      </c>
      <c r="P52" s="3">
        <v>11.5</v>
      </c>
      <c r="Q52" t="s">
        <v>353</v>
      </c>
      <c r="T52" t="s">
        <v>350</v>
      </c>
      <c r="W52" s="3">
        <v>176.42007000000001</v>
      </c>
      <c r="X52" s="3">
        <v>-64.841516999999996</v>
      </c>
      <c r="Y52" s="3">
        <v>-6.3770323280642058</v>
      </c>
      <c r="Z52" s="3">
        <v>0.39798579678130169</v>
      </c>
      <c r="AA52" s="3">
        <v>-13.603832482631621</v>
      </c>
      <c r="AB52" t="s">
        <v>41</v>
      </c>
      <c r="AC52" t="s">
        <v>351</v>
      </c>
      <c r="AD52">
        <v>0</v>
      </c>
      <c r="AE52">
        <v>0</v>
      </c>
      <c r="AF52" s="3">
        <v>-1.9552069999999999</v>
      </c>
      <c r="AG52" s="3">
        <v>0.12202300000000001</v>
      </c>
      <c r="AH52" s="3">
        <v>-4.1709540000000001</v>
      </c>
      <c r="AI52" s="2" t="s">
        <v>354</v>
      </c>
      <c r="AJ52" s="2" t="s">
        <v>8464</v>
      </c>
    </row>
    <row r="53" spans="1:36" x14ac:dyDescent="0.45">
      <c r="A53" t="s">
        <v>355</v>
      </c>
      <c r="B53" t="str">
        <f t="shared" si="0"/>
        <v>Yes</v>
      </c>
      <c r="C53">
        <f t="shared" si="1"/>
        <v>4</v>
      </c>
      <c r="D53" s="2"/>
      <c r="E53">
        <f>COUNTIFS(Planets!$C:$C,I53,Planets!$E:$E,1)</f>
        <v>4</v>
      </c>
      <c r="F53" s="3">
        <v>15.292494082004939</v>
      </c>
      <c r="G53" t="s">
        <v>356</v>
      </c>
      <c r="H53" s="2"/>
      <c r="I53" t="s">
        <v>357</v>
      </c>
      <c r="J53" t="s">
        <v>358</v>
      </c>
      <c r="K53" t="s">
        <v>73</v>
      </c>
      <c r="L53">
        <v>0</v>
      </c>
      <c r="M53" s="3">
        <v>4.6886999999999999</v>
      </c>
      <c r="N53" t="s">
        <v>249</v>
      </c>
      <c r="O53" s="3">
        <v>1.651961798229015E-3</v>
      </c>
      <c r="P53" s="3">
        <v>10.16</v>
      </c>
      <c r="Q53" t="s">
        <v>359</v>
      </c>
      <c r="T53" t="s">
        <v>355</v>
      </c>
      <c r="W53" s="3">
        <v>343.31965500000001</v>
      </c>
      <c r="X53" s="3">
        <v>-14.263700999999999</v>
      </c>
      <c r="Y53" s="3">
        <v>14.197368597236769</v>
      </c>
      <c r="Z53" s="3">
        <v>-4.2540869886334773</v>
      </c>
      <c r="AA53" s="3">
        <v>-3.7678302297869171</v>
      </c>
      <c r="AB53" t="s">
        <v>41</v>
      </c>
      <c r="AC53" t="s">
        <v>357</v>
      </c>
      <c r="AD53">
        <v>4</v>
      </c>
      <c r="AE53">
        <v>0</v>
      </c>
      <c r="AF53" s="3">
        <v>4.3529330000000002</v>
      </c>
      <c r="AG53" s="3">
        <v>-1.3043089999999999</v>
      </c>
      <c r="AH53" s="3">
        <v>-1.155222</v>
      </c>
      <c r="AI53" s="2" t="s">
        <v>360</v>
      </c>
      <c r="AJ53" s="2" t="s">
        <v>8464</v>
      </c>
    </row>
    <row r="54" spans="1:36" x14ac:dyDescent="0.45">
      <c r="A54" t="s">
        <v>361</v>
      </c>
      <c r="B54" t="str">
        <f t="shared" si="0"/>
        <v>Yes</v>
      </c>
      <c r="C54">
        <f t="shared" si="1"/>
        <v>2</v>
      </c>
      <c r="D54" s="2"/>
      <c r="E54">
        <f>COUNTIFS(Planets!$C:$C,I54,Planets!$E:$E,1)</f>
        <v>2</v>
      </c>
      <c r="F54" s="3">
        <v>15.326740501665199</v>
      </c>
      <c r="G54" t="s">
        <v>362</v>
      </c>
      <c r="H54" s="2"/>
      <c r="I54" t="s">
        <v>363</v>
      </c>
      <c r="J54" t="s">
        <v>361</v>
      </c>
      <c r="K54" t="s">
        <v>73</v>
      </c>
      <c r="L54">
        <v>0</v>
      </c>
      <c r="M54" s="3">
        <v>4.6992000000000003</v>
      </c>
      <c r="N54" t="s">
        <v>364</v>
      </c>
      <c r="O54" s="3">
        <v>6.0813500127899999E-5</v>
      </c>
      <c r="P54" s="3">
        <v>13.75</v>
      </c>
      <c r="T54" t="s">
        <v>361</v>
      </c>
      <c r="W54" s="3">
        <v>1.6823250000000001</v>
      </c>
      <c r="X54" s="3">
        <v>-7.5393020000000002</v>
      </c>
      <c r="Y54" s="3">
        <v>15.18075290699919</v>
      </c>
      <c r="Z54" s="3">
        <v>0.44584272208367948</v>
      </c>
      <c r="AA54" s="3">
        <v>-2.010046309284077</v>
      </c>
      <c r="AB54" t="s">
        <v>41</v>
      </c>
      <c r="AC54" t="s">
        <v>363</v>
      </c>
      <c r="AD54">
        <v>2</v>
      </c>
      <c r="AE54">
        <v>0</v>
      </c>
      <c r="AF54" s="3">
        <v>4.6544400000000001</v>
      </c>
      <c r="AG54" s="3">
        <v>0.13669600000000001</v>
      </c>
      <c r="AH54" s="3">
        <v>-0.61628300000000003</v>
      </c>
      <c r="AI54" s="2" t="s">
        <v>365</v>
      </c>
      <c r="AJ54" s="2" t="s">
        <v>8464</v>
      </c>
    </row>
    <row r="55" spans="1:36" x14ac:dyDescent="0.45">
      <c r="A55" t="s">
        <v>366</v>
      </c>
      <c r="B55" t="str">
        <f t="shared" si="0"/>
        <v>Unknown</v>
      </c>
      <c r="C55">
        <f t="shared" si="1"/>
        <v>0</v>
      </c>
      <c r="D55" s="2"/>
      <c r="E55">
        <f>COUNTIFS(Planets!$C:$C,I55,Planets!$E:$E,1)</f>
        <v>0</v>
      </c>
      <c r="F55" s="3">
        <v>15.384796336898781</v>
      </c>
      <c r="H55" s="2"/>
      <c r="I55" t="s">
        <v>367</v>
      </c>
      <c r="L55">
        <v>0</v>
      </c>
      <c r="M55" s="3">
        <v>4.7169999999999996</v>
      </c>
      <c r="N55" t="s">
        <v>368</v>
      </c>
      <c r="O55" s="3">
        <v>8.3791506743799996E-5</v>
      </c>
      <c r="P55" s="3">
        <v>13.41</v>
      </c>
      <c r="T55" t="s">
        <v>366</v>
      </c>
      <c r="W55" s="3">
        <v>298.47332999999998</v>
      </c>
      <c r="X55" s="3">
        <v>44.414534000000003</v>
      </c>
      <c r="Y55" s="3">
        <v>5.2395456529581779</v>
      </c>
      <c r="Z55" s="3">
        <v>-9.6597897466556724</v>
      </c>
      <c r="AA55" s="3">
        <v>10.76696670958048</v>
      </c>
      <c r="AB55" t="s">
        <v>41</v>
      </c>
      <c r="AC55" t="s">
        <v>367</v>
      </c>
      <c r="AD55">
        <v>0</v>
      </c>
      <c r="AE55">
        <v>0</v>
      </c>
      <c r="AF55" s="3">
        <v>1.606452</v>
      </c>
      <c r="AG55" s="3">
        <v>-2.9617049999999998</v>
      </c>
      <c r="AH55" s="3">
        <v>3.301167</v>
      </c>
      <c r="AI55" s="2" t="s">
        <v>369</v>
      </c>
      <c r="AJ55" s="2" t="s">
        <v>8464</v>
      </c>
    </row>
    <row r="56" spans="1:36" x14ac:dyDescent="0.45">
      <c r="A56" t="s">
        <v>370</v>
      </c>
      <c r="B56" t="str">
        <f t="shared" si="0"/>
        <v>Unknown</v>
      </c>
      <c r="C56">
        <f t="shared" si="1"/>
        <v>0</v>
      </c>
      <c r="D56" s="2"/>
      <c r="E56">
        <f>COUNTIFS(Planets!$C:$C,I56,Planets!$E:$E,1)</f>
        <v>0</v>
      </c>
      <c r="F56" s="3">
        <v>15.384796336898781</v>
      </c>
      <c r="H56" s="2"/>
      <c r="I56" t="s">
        <v>371</v>
      </c>
      <c r="L56">
        <v>0</v>
      </c>
      <c r="M56" s="3">
        <v>4.7169999999999996</v>
      </c>
      <c r="N56" t="s">
        <v>332</v>
      </c>
      <c r="O56" s="3">
        <v>4.8216979390099999E-5</v>
      </c>
      <c r="P56" s="3">
        <v>14.01</v>
      </c>
      <c r="T56" t="s">
        <v>370</v>
      </c>
      <c r="W56" s="3">
        <v>298.47750000000002</v>
      </c>
      <c r="X56" s="3">
        <v>44.414552</v>
      </c>
      <c r="Y56" s="3">
        <v>5.2402501507340453</v>
      </c>
      <c r="Z56" s="3">
        <v>-9.6594048821299676</v>
      </c>
      <c r="AA56" s="3">
        <v>10.76696997114426</v>
      </c>
      <c r="AB56" t="s">
        <v>60</v>
      </c>
      <c r="AC56" t="s">
        <v>367</v>
      </c>
      <c r="AD56">
        <v>0</v>
      </c>
      <c r="AE56">
        <v>0</v>
      </c>
      <c r="AF56" s="3">
        <v>1.606668</v>
      </c>
      <c r="AG56" s="3">
        <v>-2.9615870000000002</v>
      </c>
      <c r="AH56" s="3">
        <v>3.3011680000000001</v>
      </c>
      <c r="AI56" s="2" t="s">
        <v>369</v>
      </c>
      <c r="AJ56" s="2" t="s">
        <v>8464</v>
      </c>
    </row>
    <row r="57" spans="1:36" x14ac:dyDescent="0.45">
      <c r="A57" t="s">
        <v>372</v>
      </c>
      <c r="B57" t="str">
        <f t="shared" si="0"/>
        <v>Unknown</v>
      </c>
      <c r="C57">
        <f t="shared" si="1"/>
        <v>0</v>
      </c>
      <c r="D57" s="2"/>
      <c r="E57">
        <f>COUNTIFS(Planets!$C:$C,I57,Planets!$E:$E,1)</f>
        <v>0</v>
      </c>
      <c r="F57" s="3">
        <v>15.76085464040619</v>
      </c>
      <c r="H57" s="2"/>
      <c r="I57" t="s">
        <v>373</v>
      </c>
      <c r="L57">
        <v>0</v>
      </c>
      <c r="M57" s="3">
        <v>4.8323</v>
      </c>
      <c r="N57" t="s">
        <v>374</v>
      </c>
      <c r="O57" s="3">
        <v>3.5350861336200002E-5</v>
      </c>
      <c r="P57" s="3">
        <v>14.4</v>
      </c>
      <c r="T57" t="s">
        <v>372</v>
      </c>
      <c r="W57" s="3">
        <v>166.40260499999999</v>
      </c>
      <c r="X57" s="3">
        <v>43.521487</v>
      </c>
      <c r="Y57" s="3">
        <v>-11.107046703061959</v>
      </c>
      <c r="Z57" s="3">
        <v>2.6913315357501419</v>
      </c>
      <c r="AA57" s="3">
        <v>10.85334270309121</v>
      </c>
      <c r="AB57" t="s">
        <v>60</v>
      </c>
      <c r="AC57" t="s">
        <v>375</v>
      </c>
      <c r="AD57">
        <v>0</v>
      </c>
      <c r="AE57">
        <v>0</v>
      </c>
      <c r="AF57" s="3">
        <v>-3.4054359999999999</v>
      </c>
      <c r="AG57" s="3">
        <v>0.82516599999999996</v>
      </c>
      <c r="AH57" s="3">
        <v>3.3276500000000002</v>
      </c>
      <c r="AI57" s="2" t="s">
        <v>376</v>
      </c>
      <c r="AJ57" s="2" t="s">
        <v>8464</v>
      </c>
    </row>
    <row r="58" spans="1:36" x14ac:dyDescent="0.45">
      <c r="A58" t="s">
        <v>377</v>
      </c>
      <c r="B58" t="str">
        <f t="shared" si="0"/>
        <v>Unknown</v>
      </c>
      <c r="C58">
        <f t="shared" si="1"/>
        <v>0</v>
      </c>
      <c r="D58" s="2"/>
      <c r="E58">
        <f>COUNTIFS(Planets!$C:$C,I58,Planets!$E:$E,1)</f>
        <v>0</v>
      </c>
      <c r="F58" s="3">
        <v>15.81206119170772</v>
      </c>
      <c r="H58" s="2"/>
      <c r="I58" t="s">
        <v>375</v>
      </c>
      <c r="L58">
        <v>0</v>
      </c>
      <c r="M58" s="3">
        <v>4.8479999999999999</v>
      </c>
      <c r="N58" t="s">
        <v>378</v>
      </c>
      <c r="O58" s="3">
        <v>6.0701580634104418E-3</v>
      </c>
      <c r="P58" s="3">
        <v>8.82</v>
      </c>
      <c r="Q58" t="s">
        <v>379</v>
      </c>
      <c r="T58" t="s">
        <v>377</v>
      </c>
      <c r="W58" s="3">
        <v>166.37313</v>
      </c>
      <c r="X58" s="3">
        <v>43.526777000000003</v>
      </c>
      <c r="Y58" s="3">
        <v>-11.143077198108321</v>
      </c>
      <c r="Z58" s="3">
        <v>2.7021599274903378</v>
      </c>
      <c r="AA58" s="3">
        <v>10.89104638035526</v>
      </c>
      <c r="AB58" t="s">
        <v>41</v>
      </c>
      <c r="AC58" t="s">
        <v>375</v>
      </c>
      <c r="AD58">
        <v>0</v>
      </c>
      <c r="AE58">
        <v>0</v>
      </c>
      <c r="AF58" s="3">
        <v>-3.4164829999999999</v>
      </c>
      <c r="AG58" s="3">
        <v>0.82848599999999994</v>
      </c>
      <c r="AH58" s="3">
        <v>3.33921</v>
      </c>
      <c r="AI58" s="2" t="s">
        <v>376</v>
      </c>
      <c r="AJ58" s="2" t="s">
        <v>8464</v>
      </c>
    </row>
    <row r="59" spans="1:36" x14ac:dyDescent="0.45">
      <c r="A59" t="s">
        <v>380</v>
      </c>
      <c r="B59" t="str">
        <f t="shared" si="0"/>
        <v>Unknown</v>
      </c>
      <c r="C59">
        <f t="shared" si="1"/>
        <v>0</v>
      </c>
      <c r="D59" s="2"/>
      <c r="E59">
        <f>COUNTIFS(Planets!$C:$C,I59,Planets!$E:$E,1)</f>
        <v>0</v>
      </c>
      <c r="F59" s="3">
        <v>15.893926442514619</v>
      </c>
      <c r="H59" s="2"/>
      <c r="I59" t="s">
        <v>381</v>
      </c>
      <c r="L59">
        <v>0</v>
      </c>
      <c r="M59" s="3">
        <v>4.8731</v>
      </c>
      <c r="N59" t="s">
        <v>382</v>
      </c>
      <c r="O59" s="3">
        <v>4.7380539333882532E-2</v>
      </c>
      <c r="P59" s="3">
        <v>6.6</v>
      </c>
      <c r="Q59" t="s">
        <v>383</v>
      </c>
      <c r="R59" t="s">
        <v>384</v>
      </c>
      <c r="T59" t="s">
        <v>380</v>
      </c>
      <c r="W59" s="3">
        <v>152.84403</v>
      </c>
      <c r="X59" s="3">
        <v>49.454236999999999</v>
      </c>
      <c r="Y59" s="3">
        <v>-9.1924402730253512</v>
      </c>
      <c r="Z59" s="3">
        <v>4.715705894707316</v>
      </c>
      <c r="AA59" s="3">
        <v>12.077022724136439</v>
      </c>
      <c r="AB59" t="s">
        <v>41</v>
      </c>
      <c r="AC59" t="s">
        <v>381</v>
      </c>
      <c r="AD59">
        <v>0</v>
      </c>
      <c r="AE59">
        <v>0</v>
      </c>
      <c r="AF59" s="3">
        <v>-2.8184149999999999</v>
      </c>
      <c r="AG59" s="3">
        <v>1.4458420000000001</v>
      </c>
      <c r="AH59" s="3">
        <v>3.7028319999999999</v>
      </c>
      <c r="AI59" s="2" t="s">
        <v>385</v>
      </c>
      <c r="AJ59" s="2" t="s">
        <v>8464</v>
      </c>
    </row>
    <row r="60" spans="1:36" x14ac:dyDescent="0.45">
      <c r="A60" t="s">
        <v>386</v>
      </c>
      <c r="B60" t="str">
        <f t="shared" si="0"/>
        <v>Unknown</v>
      </c>
      <c r="C60">
        <f t="shared" si="1"/>
        <v>0</v>
      </c>
      <c r="D60" s="2"/>
      <c r="E60">
        <f>COUNTIFS(Planets!$C:$C,I60,Planets!$E:$E,1)</f>
        <v>0</v>
      </c>
      <c r="F60" s="3">
        <v>15.996013388739961</v>
      </c>
      <c r="H60" s="2"/>
      <c r="I60" t="s">
        <v>387</v>
      </c>
      <c r="L60">
        <v>0</v>
      </c>
      <c r="M60" s="3">
        <v>4.9043999999999999</v>
      </c>
      <c r="N60" t="s">
        <v>283</v>
      </c>
      <c r="O60" s="3">
        <v>3.6408266378940078E-3</v>
      </c>
      <c r="P60" s="3">
        <v>9.4</v>
      </c>
      <c r="T60" t="s">
        <v>386</v>
      </c>
      <c r="W60" s="3">
        <v>154.90264500000001</v>
      </c>
      <c r="X60" s="3">
        <v>19.870262</v>
      </c>
      <c r="Y60" s="3">
        <v>-13.62508483220364</v>
      </c>
      <c r="Z60" s="3">
        <v>6.3818137805615338</v>
      </c>
      <c r="AA60" s="3">
        <v>5.4376073748904474</v>
      </c>
      <c r="AB60" t="s">
        <v>41</v>
      </c>
      <c r="AC60" t="s">
        <v>387</v>
      </c>
      <c r="AD60">
        <v>0</v>
      </c>
      <c r="AE60">
        <v>0</v>
      </c>
      <c r="AF60" s="3">
        <v>-4.1774699999999996</v>
      </c>
      <c r="AG60" s="3">
        <v>1.9566730000000001</v>
      </c>
      <c r="AH60" s="3">
        <v>1.667178</v>
      </c>
      <c r="AI60" s="2" t="s">
        <v>388</v>
      </c>
      <c r="AJ60" s="2" t="s">
        <v>8464</v>
      </c>
    </row>
    <row r="61" spans="1:36" x14ac:dyDescent="0.45">
      <c r="A61" t="s">
        <v>389</v>
      </c>
      <c r="B61" t="str">
        <f t="shared" si="0"/>
        <v>Yes</v>
      </c>
      <c r="C61">
        <f t="shared" si="1"/>
        <v>1</v>
      </c>
      <c r="D61" s="2"/>
      <c r="E61">
        <f>COUNTIFS(Planets!$C:$C,I61,Planets!$E:$E,1)</f>
        <v>1</v>
      </c>
      <c r="F61" s="3">
        <v>16.156808482954311</v>
      </c>
      <c r="G61" t="s">
        <v>390</v>
      </c>
      <c r="H61" s="2"/>
      <c r="I61" t="s">
        <v>391</v>
      </c>
      <c r="J61" t="s">
        <v>392</v>
      </c>
      <c r="K61" t="s">
        <v>73</v>
      </c>
      <c r="L61">
        <v>0</v>
      </c>
      <c r="M61" s="3">
        <v>4.9537000000000004</v>
      </c>
      <c r="N61" t="s">
        <v>205</v>
      </c>
      <c r="O61" s="3">
        <v>7.3451386815711426E-3</v>
      </c>
      <c r="P61" s="3">
        <v>8.66</v>
      </c>
      <c r="Q61" t="s">
        <v>393</v>
      </c>
      <c r="R61" t="s">
        <v>394</v>
      </c>
      <c r="T61" t="s">
        <v>389</v>
      </c>
      <c r="W61" s="3">
        <v>323.391615</v>
      </c>
      <c r="X61" s="3">
        <v>-49.009005999999999</v>
      </c>
      <c r="Y61" s="3">
        <v>8.5073129244297832</v>
      </c>
      <c r="Z61" s="3">
        <v>-6.3200332394944283</v>
      </c>
      <c r="AA61" s="3">
        <v>-12.19545336644917</v>
      </c>
      <c r="AB61" t="s">
        <v>41</v>
      </c>
      <c r="AC61" t="s">
        <v>391</v>
      </c>
      <c r="AD61">
        <v>1</v>
      </c>
      <c r="AE61">
        <v>0</v>
      </c>
      <c r="AF61" s="3">
        <v>2.6083539999999998</v>
      </c>
      <c r="AG61" s="3">
        <v>-1.9377310000000001</v>
      </c>
      <c r="AH61" s="3">
        <v>-3.7391429999999999</v>
      </c>
      <c r="AI61" s="2" t="s">
        <v>395</v>
      </c>
      <c r="AJ61" s="2" t="s">
        <v>8464</v>
      </c>
    </row>
    <row r="62" spans="1:36" x14ac:dyDescent="0.45">
      <c r="A62" t="s">
        <v>396</v>
      </c>
      <c r="B62" t="str">
        <f t="shared" si="0"/>
        <v>Unknown</v>
      </c>
      <c r="C62">
        <f t="shared" si="1"/>
        <v>0</v>
      </c>
      <c r="D62" s="2"/>
      <c r="E62">
        <f>COUNTIFS(Planets!$C:$C,I62,Planets!$E:$E,1)</f>
        <v>0</v>
      </c>
      <c r="F62" s="3">
        <v>16.25726464729107</v>
      </c>
      <c r="H62" s="2"/>
      <c r="I62" t="s">
        <v>397</v>
      </c>
      <c r="L62">
        <v>0</v>
      </c>
      <c r="M62" s="3">
        <v>4.9844999999999997</v>
      </c>
      <c r="N62" t="s">
        <v>54</v>
      </c>
      <c r="O62" s="3">
        <v>0.36576319300945193</v>
      </c>
      <c r="P62" s="3">
        <v>4.43</v>
      </c>
      <c r="Q62" t="s">
        <v>398</v>
      </c>
      <c r="R62" t="s">
        <v>399</v>
      </c>
      <c r="S62" t="s">
        <v>400</v>
      </c>
      <c r="T62" t="s">
        <v>401</v>
      </c>
      <c r="U62" t="s">
        <v>402</v>
      </c>
      <c r="V62" t="s">
        <v>396</v>
      </c>
      <c r="W62" s="3">
        <v>63.818055000000001</v>
      </c>
      <c r="X62" s="3">
        <v>-7.6528710000000002</v>
      </c>
      <c r="Y62" s="3">
        <v>7.1086565298670719</v>
      </c>
      <c r="Z62" s="3">
        <v>14.45816649842285</v>
      </c>
      <c r="AA62" s="3">
        <v>-2.1648303414571122</v>
      </c>
      <c r="AB62" t="s">
        <v>41</v>
      </c>
      <c r="AC62" t="s">
        <v>397</v>
      </c>
      <c r="AD62">
        <v>0</v>
      </c>
      <c r="AE62">
        <v>0</v>
      </c>
      <c r="AF62" s="3">
        <v>2.1795239999999998</v>
      </c>
      <c r="AG62" s="3">
        <v>4.4328940000000001</v>
      </c>
      <c r="AH62" s="3">
        <v>-0.66374</v>
      </c>
      <c r="AI62" s="2" t="s">
        <v>403</v>
      </c>
      <c r="AJ62" s="2" t="s">
        <v>8464</v>
      </c>
    </row>
    <row r="63" spans="1:36" x14ac:dyDescent="0.45">
      <c r="A63" t="s">
        <v>404</v>
      </c>
      <c r="B63" t="str">
        <f t="shared" si="0"/>
        <v>Unknown</v>
      </c>
      <c r="C63">
        <f t="shared" si="1"/>
        <v>0</v>
      </c>
      <c r="D63" s="2"/>
      <c r="E63">
        <f>COUNTIFS(Planets!$C:$C,I63,Planets!$E:$E,1)</f>
        <v>0</v>
      </c>
      <c r="F63" s="3">
        <v>16.26476624397856</v>
      </c>
      <c r="H63" s="2"/>
      <c r="I63" t="s">
        <v>405</v>
      </c>
      <c r="L63">
        <v>0</v>
      </c>
      <c r="M63" s="3">
        <v>4.9867999999999997</v>
      </c>
      <c r="N63" t="s">
        <v>406</v>
      </c>
      <c r="O63" s="3">
        <v>5.4903496102519996E-4</v>
      </c>
      <c r="P63" s="3">
        <v>11.49</v>
      </c>
      <c r="Q63" t="s">
        <v>407</v>
      </c>
      <c r="T63" t="s">
        <v>404</v>
      </c>
      <c r="W63" s="3">
        <v>3.8670450000000001</v>
      </c>
      <c r="X63" s="3">
        <v>-16.133807000000001</v>
      </c>
      <c r="Y63" s="3">
        <v>15.58779932795346</v>
      </c>
      <c r="Z63" s="3">
        <v>1.053680793851711</v>
      </c>
      <c r="AA63" s="3">
        <v>-4.5194412944162661</v>
      </c>
      <c r="AB63" t="s">
        <v>41</v>
      </c>
      <c r="AC63" t="s">
        <v>405</v>
      </c>
      <c r="AD63">
        <v>0</v>
      </c>
      <c r="AE63">
        <v>0</v>
      </c>
      <c r="AF63" s="3">
        <v>4.7792409999999999</v>
      </c>
      <c r="AG63" s="3">
        <v>0.32306000000000001</v>
      </c>
      <c r="AH63" s="3">
        <v>-1.385667</v>
      </c>
      <c r="AI63" s="2" t="s">
        <v>408</v>
      </c>
      <c r="AJ63" s="2" t="s">
        <v>8464</v>
      </c>
    </row>
    <row r="64" spans="1:36" x14ac:dyDescent="0.45">
      <c r="A64" t="s">
        <v>409</v>
      </c>
      <c r="B64" t="str">
        <f t="shared" si="0"/>
        <v>Unknown</v>
      </c>
      <c r="C64">
        <f t="shared" si="1"/>
        <v>0</v>
      </c>
      <c r="D64" s="2"/>
      <c r="E64">
        <f>COUNTIFS(Planets!$C:$C,I64,Planets!$E:$E,1)</f>
        <v>0</v>
      </c>
      <c r="F64" s="3">
        <v>16.452632317543401</v>
      </c>
      <c r="H64" s="2"/>
      <c r="I64" t="s">
        <v>410</v>
      </c>
      <c r="L64">
        <v>0</v>
      </c>
      <c r="M64" s="3">
        <v>5.0444000000000004</v>
      </c>
      <c r="N64" t="s">
        <v>411</v>
      </c>
      <c r="O64" s="3">
        <v>3.4482599655262288E-3</v>
      </c>
      <c r="P64" s="3">
        <v>9.52</v>
      </c>
      <c r="R64" t="s">
        <v>412</v>
      </c>
      <c r="T64" t="s">
        <v>409</v>
      </c>
      <c r="W64" s="3">
        <v>63.842820000000003</v>
      </c>
      <c r="X64" s="3">
        <v>-7.6575040000000003</v>
      </c>
      <c r="Y64" s="3">
        <v>7.1867677207664551</v>
      </c>
      <c r="Z64" s="3">
        <v>14.63284606963661</v>
      </c>
      <c r="AA64" s="3">
        <v>-2.19186870516983</v>
      </c>
      <c r="AB64" t="s">
        <v>60</v>
      </c>
      <c r="AC64" t="s">
        <v>397</v>
      </c>
      <c r="AD64">
        <v>0</v>
      </c>
      <c r="AE64">
        <v>0</v>
      </c>
      <c r="AF64" s="3">
        <v>2.2034729999999998</v>
      </c>
      <c r="AG64" s="3">
        <v>4.4864509999999997</v>
      </c>
      <c r="AH64" s="3">
        <v>-0.67203000000000002</v>
      </c>
      <c r="AI64" s="2" t="s">
        <v>403</v>
      </c>
      <c r="AJ64" s="2" t="s">
        <v>8464</v>
      </c>
    </row>
    <row r="65" spans="1:36" x14ac:dyDescent="0.45">
      <c r="A65" t="s">
        <v>413</v>
      </c>
      <c r="B65" t="str">
        <f t="shared" si="0"/>
        <v>Unknown</v>
      </c>
      <c r="C65">
        <f t="shared" si="1"/>
        <v>0</v>
      </c>
      <c r="D65" s="2"/>
      <c r="E65">
        <f>COUNTIFS(Planets!$C:$C,I65,Planets!$E:$E,1)</f>
        <v>0</v>
      </c>
      <c r="F65" s="3">
        <v>16.452632317543401</v>
      </c>
      <c r="H65" s="2"/>
      <c r="I65" t="s">
        <v>414</v>
      </c>
      <c r="L65">
        <v>0</v>
      </c>
      <c r="M65" s="3">
        <v>5.0444000000000004</v>
      </c>
      <c r="N65" t="s">
        <v>415</v>
      </c>
      <c r="O65" s="3">
        <v>7.54397082198E-4</v>
      </c>
      <c r="P65" s="3">
        <v>11.17</v>
      </c>
      <c r="T65" t="s">
        <v>413</v>
      </c>
      <c r="W65" s="3">
        <v>63.842820000000003</v>
      </c>
      <c r="X65" s="3">
        <v>-7.6575040000000003</v>
      </c>
      <c r="Y65" s="3">
        <v>7.18495429130635</v>
      </c>
      <c r="Z65" s="3">
        <v>14.629153979440851</v>
      </c>
      <c r="AA65" s="3">
        <v>-2.1913175008914889</v>
      </c>
      <c r="AB65" t="s">
        <v>416</v>
      </c>
      <c r="AC65" t="s">
        <v>397</v>
      </c>
      <c r="AD65">
        <v>0</v>
      </c>
      <c r="AE65">
        <v>0</v>
      </c>
      <c r="AF65" s="3">
        <v>2.2029169999999998</v>
      </c>
      <c r="AG65" s="3">
        <v>4.4853189999999996</v>
      </c>
      <c r="AH65" s="3">
        <v>-0.67186100000000004</v>
      </c>
      <c r="AI65" s="2" t="s">
        <v>403</v>
      </c>
      <c r="AJ65" s="2" t="s">
        <v>8464</v>
      </c>
    </row>
    <row r="66" spans="1:36" x14ac:dyDescent="0.45">
      <c r="A66" t="s">
        <v>417</v>
      </c>
      <c r="B66" t="str">
        <f t="shared" ref="B66:B129" si="2">IF(C66&gt;0,"Yes",IF(D66="","Unknown","No"))</f>
        <v>Yes</v>
      </c>
      <c r="C66">
        <f t="shared" si="1"/>
        <v>2</v>
      </c>
      <c r="D66" s="2"/>
      <c r="E66">
        <f>COUNTIFS(Planets!$C:$C,I66,Planets!$E:$E,1)</f>
        <v>2</v>
      </c>
      <c r="F66" s="3">
        <v>16.56450395510025</v>
      </c>
      <c r="G66" t="s">
        <v>418</v>
      </c>
      <c r="H66" s="2"/>
      <c r="I66" t="s">
        <v>419</v>
      </c>
      <c r="J66" t="s">
        <v>420</v>
      </c>
      <c r="K66" t="s">
        <v>73</v>
      </c>
      <c r="L66">
        <v>0</v>
      </c>
      <c r="M66" s="3">
        <v>5.0787000000000004</v>
      </c>
      <c r="N66" t="s">
        <v>249</v>
      </c>
      <c r="O66" s="3">
        <v>9.4536604595799999E-4</v>
      </c>
      <c r="P66" s="3">
        <v>10.94</v>
      </c>
      <c r="Q66" t="s">
        <v>421</v>
      </c>
      <c r="T66" t="s">
        <v>417</v>
      </c>
      <c r="W66" s="3">
        <v>264.26593500000001</v>
      </c>
      <c r="X66" s="3">
        <v>-44.319215</v>
      </c>
      <c r="Y66" s="3">
        <v>-1.184084636790419</v>
      </c>
      <c r="Z66" s="3">
        <v>-11.79065416293736</v>
      </c>
      <c r="AA66" s="3">
        <v>-11.57165320155568</v>
      </c>
      <c r="AB66" t="s">
        <v>41</v>
      </c>
      <c r="AC66" t="s">
        <v>419</v>
      </c>
      <c r="AD66">
        <v>2</v>
      </c>
      <c r="AE66">
        <v>0</v>
      </c>
      <c r="AF66" s="3">
        <v>-0.36304199999999998</v>
      </c>
      <c r="AG66" s="3">
        <v>-3.6150310000000001</v>
      </c>
      <c r="AH66" s="3">
        <v>-3.547885</v>
      </c>
      <c r="AI66" s="2" t="s">
        <v>422</v>
      </c>
      <c r="AJ66" s="2" t="s">
        <v>8464</v>
      </c>
    </row>
    <row r="67" spans="1:36" x14ac:dyDescent="0.45">
      <c r="A67" t="s">
        <v>423</v>
      </c>
      <c r="B67" t="str">
        <f t="shared" si="2"/>
        <v>Unknown</v>
      </c>
      <c r="C67">
        <f t="shared" ref="C67:C130" si="3">IF(D67="",E67+0,D67)</f>
        <v>0</v>
      </c>
      <c r="D67" s="2"/>
      <c r="E67">
        <f>COUNTIFS(Planets!$C:$C,I67,Planets!$E:$E,1)</f>
        <v>0</v>
      </c>
      <c r="F67" s="3">
        <v>16.579833304852929</v>
      </c>
      <c r="H67" s="2"/>
      <c r="I67" t="s">
        <v>424</v>
      </c>
      <c r="L67">
        <v>0</v>
      </c>
      <c r="M67" s="3">
        <v>5.0834000000000001</v>
      </c>
      <c r="N67" t="s">
        <v>425</v>
      </c>
      <c r="O67" s="3">
        <v>0.55004725286763378</v>
      </c>
      <c r="P67" s="3">
        <v>4.03</v>
      </c>
      <c r="Q67" t="s">
        <v>426</v>
      </c>
      <c r="R67" t="s">
        <v>427</v>
      </c>
      <c r="S67" t="s">
        <v>428</v>
      </c>
      <c r="T67" t="s">
        <v>423</v>
      </c>
      <c r="U67" t="s">
        <v>429</v>
      </c>
      <c r="W67" s="3">
        <v>271.36369500000001</v>
      </c>
      <c r="X67" s="3">
        <v>2.5000990000000001</v>
      </c>
      <c r="Y67" s="3">
        <v>0.39419912123601031</v>
      </c>
      <c r="Z67" s="3">
        <v>-16.559161513633239</v>
      </c>
      <c r="AA67" s="3">
        <v>0.72322241351288385</v>
      </c>
      <c r="AB67" t="s">
        <v>41</v>
      </c>
      <c r="AC67" t="s">
        <v>424</v>
      </c>
      <c r="AD67">
        <v>0</v>
      </c>
      <c r="AE67">
        <v>0</v>
      </c>
      <c r="AF67" s="3">
        <v>0.120862</v>
      </c>
      <c r="AG67" s="3">
        <v>-5.0770619999999997</v>
      </c>
      <c r="AH67" s="3">
        <v>0.22174099999999999</v>
      </c>
      <c r="AI67" s="2" t="s">
        <v>430</v>
      </c>
      <c r="AJ67" s="2" t="s">
        <v>8464</v>
      </c>
    </row>
    <row r="68" spans="1:36" x14ac:dyDescent="0.45">
      <c r="A68" t="s">
        <v>431</v>
      </c>
      <c r="B68" t="str">
        <f t="shared" si="2"/>
        <v>Unknown</v>
      </c>
      <c r="C68">
        <f t="shared" si="3"/>
        <v>0</v>
      </c>
      <c r="D68" s="2"/>
      <c r="E68">
        <f>COUNTIFS(Planets!$C:$C,I68,Planets!$E:$E,1)</f>
        <v>0</v>
      </c>
      <c r="F68" s="3">
        <v>16.588313370673571</v>
      </c>
      <c r="H68" s="2"/>
      <c r="I68" t="s">
        <v>432</v>
      </c>
      <c r="L68">
        <v>0</v>
      </c>
      <c r="M68" s="3">
        <v>5.0860000000000003</v>
      </c>
      <c r="N68" t="s">
        <v>433</v>
      </c>
      <c r="O68" s="3">
        <v>8.970156084148144E-2</v>
      </c>
      <c r="P68" s="3">
        <v>6</v>
      </c>
      <c r="T68" t="s">
        <v>431</v>
      </c>
      <c r="W68" s="3">
        <v>271.36484999999999</v>
      </c>
      <c r="X68" s="3">
        <v>2.4982639999999998</v>
      </c>
      <c r="Y68" s="3">
        <v>0.39469814049391688</v>
      </c>
      <c r="Z68" s="3">
        <v>-16.566180398881709</v>
      </c>
      <c r="AA68" s="3">
        <v>0.72299736561225925</v>
      </c>
      <c r="AB68" t="s">
        <v>60</v>
      </c>
      <c r="AC68" t="s">
        <v>424</v>
      </c>
      <c r="AD68">
        <v>0</v>
      </c>
      <c r="AE68">
        <v>0</v>
      </c>
      <c r="AF68" s="3">
        <v>0.121015</v>
      </c>
      <c r="AG68" s="3">
        <v>-5.0792140000000003</v>
      </c>
      <c r="AH68" s="3">
        <v>0.22167200000000001</v>
      </c>
      <c r="AI68" s="2" t="s">
        <v>430</v>
      </c>
      <c r="AJ68" s="2" t="s">
        <v>8464</v>
      </c>
    </row>
    <row r="69" spans="1:36" x14ac:dyDescent="0.45">
      <c r="A69" t="s">
        <v>434</v>
      </c>
      <c r="B69" t="str">
        <f t="shared" si="2"/>
        <v>Unknown</v>
      </c>
      <c r="C69">
        <f t="shared" si="3"/>
        <v>0</v>
      </c>
      <c r="D69" s="2"/>
      <c r="E69">
        <f>COUNTIFS(Planets!$C:$C,I69,Planets!$E:$E,1)</f>
        <v>0</v>
      </c>
      <c r="F69" s="3">
        <v>16.707034292162461</v>
      </c>
      <c r="H69" s="2"/>
      <c r="I69" t="s">
        <v>435</v>
      </c>
      <c r="L69">
        <v>0</v>
      </c>
      <c r="M69" s="3">
        <v>5.1223999999999998</v>
      </c>
      <c r="N69" t="s">
        <v>283</v>
      </c>
      <c r="O69" s="3">
        <v>1.749041039966302E-3</v>
      </c>
      <c r="P69" s="3">
        <v>10.29</v>
      </c>
      <c r="Q69" t="s">
        <v>436</v>
      </c>
      <c r="T69" t="s">
        <v>434</v>
      </c>
      <c r="W69" s="3">
        <v>341.70790499999998</v>
      </c>
      <c r="X69" s="3">
        <v>44.333990999999997</v>
      </c>
      <c r="Y69" s="3">
        <v>11.346266098298299</v>
      </c>
      <c r="Z69" s="3">
        <v>-3.7508309593803202</v>
      </c>
      <c r="AA69" s="3">
        <v>11.67552748473091</v>
      </c>
      <c r="AB69" t="s">
        <v>41</v>
      </c>
      <c r="AC69" t="s">
        <v>435</v>
      </c>
      <c r="AD69">
        <v>0</v>
      </c>
      <c r="AE69">
        <v>0</v>
      </c>
      <c r="AF69" s="3">
        <v>3.4787810000000001</v>
      </c>
      <c r="AG69" s="3">
        <v>-1.15001</v>
      </c>
      <c r="AH69" s="3">
        <v>3.5797330000000001</v>
      </c>
      <c r="AI69" s="2" t="s">
        <v>437</v>
      </c>
      <c r="AJ69" s="2" t="s">
        <v>8464</v>
      </c>
    </row>
    <row r="70" spans="1:36" x14ac:dyDescent="0.45">
      <c r="A70" t="s">
        <v>438</v>
      </c>
      <c r="B70" t="str">
        <f t="shared" si="2"/>
        <v>Unknown</v>
      </c>
      <c r="C70">
        <f t="shared" si="3"/>
        <v>0</v>
      </c>
      <c r="D70" s="2"/>
      <c r="E70">
        <f>COUNTIFS(Planets!$C:$C,I70,Planets!$E:$E,1)</f>
        <v>0</v>
      </c>
      <c r="F70" s="3">
        <v>16.730191394980348</v>
      </c>
      <c r="H70" s="2"/>
      <c r="I70" t="s">
        <v>439</v>
      </c>
      <c r="L70">
        <v>0</v>
      </c>
      <c r="M70" s="3">
        <v>5.1295000000000002</v>
      </c>
      <c r="N70" t="s">
        <v>440</v>
      </c>
      <c r="O70" s="3">
        <v>11.3762728582343</v>
      </c>
      <c r="P70" s="3">
        <v>0.76</v>
      </c>
      <c r="Q70" t="s">
        <v>441</v>
      </c>
      <c r="R70" t="s">
        <v>442</v>
      </c>
      <c r="S70" t="s">
        <v>443</v>
      </c>
      <c r="T70" t="s">
        <v>444</v>
      </c>
      <c r="U70" t="s">
        <v>445</v>
      </c>
      <c r="V70" t="s">
        <v>438</v>
      </c>
      <c r="W70" s="3">
        <v>297.69582000000003</v>
      </c>
      <c r="X70" s="3">
        <v>8.8683219999999992</v>
      </c>
      <c r="Y70" s="3">
        <v>7.6825091070770197</v>
      </c>
      <c r="Z70" s="3">
        <v>-14.63561513728343</v>
      </c>
      <c r="AA70" s="3">
        <v>2.5790782952313709</v>
      </c>
      <c r="AB70" t="s">
        <v>41</v>
      </c>
      <c r="AC70" t="s">
        <v>439</v>
      </c>
      <c r="AD70">
        <v>0</v>
      </c>
      <c r="AE70">
        <v>0</v>
      </c>
      <c r="AF70" s="3">
        <v>2.3554680000000001</v>
      </c>
      <c r="AG70" s="3">
        <v>-4.4873000000000003</v>
      </c>
      <c r="AH70" s="3">
        <v>0.79074900000000004</v>
      </c>
      <c r="AI70" s="2" t="s">
        <v>446</v>
      </c>
      <c r="AJ70" s="2" t="s">
        <v>8464</v>
      </c>
    </row>
    <row r="71" spans="1:36" x14ac:dyDescent="0.45">
      <c r="A71" t="s">
        <v>447</v>
      </c>
      <c r="B71" t="str">
        <f t="shared" si="2"/>
        <v>Unknown</v>
      </c>
      <c r="C71">
        <f t="shared" si="3"/>
        <v>0</v>
      </c>
      <c r="D71" s="2"/>
      <c r="E71">
        <f>COUNTIFS(Planets!$C:$C,I71,Planets!$E:$E,1)</f>
        <v>0</v>
      </c>
      <c r="F71" s="3">
        <v>17.049498488765039</v>
      </c>
      <c r="H71" s="2"/>
      <c r="I71" t="s">
        <v>448</v>
      </c>
      <c r="L71">
        <v>0</v>
      </c>
      <c r="M71" s="3">
        <v>5.2274000000000003</v>
      </c>
      <c r="N71" t="s">
        <v>332</v>
      </c>
      <c r="O71" s="3">
        <v>5.6545754068799998E-5</v>
      </c>
      <c r="P71" s="3">
        <v>14.06</v>
      </c>
      <c r="T71" t="s">
        <v>447</v>
      </c>
      <c r="W71" s="3">
        <v>134.563515</v>
      </c>
      <c r="X71" s="3">
        <v>19.763286999999998</v>
      </c>
      <c r="Y71" s="3">
        <v>-11.25504015945093</v>
      </c>
      <c r="Z71" s="3">
        <v>11.428147656924089</v>
      </c>
      <c r="AA71" s="3">
        <v>5.7631147014155344</v>
      </c>
      <c r="AB71" t="s">
        <v>41</v>
      </c>
      <c r="AC71" t="s">
        <v>448</v>
      </c>
      <c r="AD71">
        <v>0</v>
      </c>
      <c r="AE71">
        <v>0</v>
      </c>
      <c r="AF71" s="3">
        <v>-3.4508109999999999</v>
      </c>
      <c r="AG71" s="3">
        <v>3.5038860000000001</v>
      </c>
      <c r="AH71" s="3">
        <v>1.7669790000000001</v>
      </c>
      <c r="AI71" s="2" t="s">
        <v>449</v>
      </c>
      <c r="AJ71" s="2" t="s">
        <v>8464</v>
      </c>
    </row>
    <row r="72" spans="1:36" x14ac:dyDescent="0.45">
      <c r="A72" t="s">
        <v>450</v>
      </c>
      <c r="B72" t="str">
        <f t="shared" si="2"/>
        <v>Unknown</v>
      </c>
      <c r="C72">
        <f t="shared" si="3"/>
        <v>0</v>
      </c>
      <c r="D72" s="2"/>
      <c r="E72">
        <f>COUNTIFS(Planets!$C:$C,I72,Planets!$E:$E,1)</f>
        <v>0</v>
      </c>
      <c r="F72" s="3">
        <v>17.049498488765039</v>
      </c>
      <c r="H72" s="2"/>
      <c r="I72" t="s">
        <v>451</v>
      </c>
      <c r="L72">
        <v>0</v>
      </c>
      <c r="M72" s="3">
        <v>5.2274000000000003</v>
      </c>
      <c r="N72" t="s">
        <v>332</v>
      </c>
      <c r="O72" s="3">
        <v>2.56094351716E-5</v>
      </c>
      <c r="P72" s="3">
        <v>14.92</v>
      </c>
      <c r="T72" t="s">
        <v>450</v>
      </c>
      <c r="W72" s="3">
        <v>134.563515</v>
      </c>
      <c r="X72" s="3">
        <v>19.764953999999999</v>
      </c>
      <c r="Y72" s="3">
        <v>-11.258673541498689</v>
      </c>
      <c r="Z72" s="3">
        <v>11.431826700864731</v>
      </c>
      <c r="AA72" s="3">
        <v>5.7654989045366429</v>
      </c>
      <c r="AB72" t="s">
        <v>60</v>
      </c>
      <c r="AC72" t="s">
        <v>448</v>
      </c>
      <c r="AD72">
        <v>0</v>
      </c>
      <c r="AE72">
        <v>0</v>
      </c>
      <c r="AF72" s="3">
        <v>-3.4519250000000001</v>
      </c>
      <c r="AG72" s="3">
        <v>3.5050140000000001</v>
      </c>
      <c r="AH72" s="3">
        <v>1.7677099999999999</v>
      </c>
      <c r="AI72" s="2" t="s">
        <v>449</v>
      </c>
      <c r="AJ72" s="2" t="s">
        <v>8464</v>
      </c>
    </row>
    <row r="73" spans="1:36" x14ac:dyDescent="0.45">
      <c r="A73" t="s">
        <v>452</v>
      </c>
      <c r="B73" t="str">
        <f t="shared" si="2"/>
        <v>Unknown</v>
      </c>
      <c r="C73">
        <f t="shared" si="3"/>
        <v>0</v>
      </c>
      <c r="D73" s="2"/>
      <c r="E73">
        <f>COUNTIFS(Planets!$C:$C,I73,Planets!$E:$E,1)</f>
        <v>0</v>
      </c>
      <c r="F73" s="3">
        <v>17.370762520816029</v>
      </c>
      <c r="H73" s="2"/>
      <c r="I73" t="s">
        <v>453</v>
      </c>
      <c r="L73">
        <v>0</v>
      </c>
      <c r="M73" s="3">
        <v>5.3258999999999999</v>
      </c>
      <c r="O73" s="3">
        <v>1.171655673911E-4</v>
      </c>
      <c r="P73" s="3">
        <v>13.31</v>
      </c>
      <c r="Q73" t="s">
        <v>454</v>
      </c>
      <c r="W73" s="3">
        <v>207.76155</v>
      </c>
      <c r="X73" s="3">
        <v>23.776676999999999</v>
      </c>
      <c r="Y73" s="3">
        <v>-14.066557058825911</v>
      </c>
      <c r="Z73" s="3">
        <v>-7.404558641986811</v>
      </c>
      <c r="AA73" s="3">
        <v>7.0034189130329878</v>
      </c>
      <c r="AB73" t="s">
        <v>41</v>
      </c>
      <c r="AC73" t="s">
        <v>453</v>
      </c>
      <c r="AD73">
        <v>0</v>
      </c>
      <c r="AE73">
        <v>0</v>
      </c>
      <c r="AF73" s="3">
        <v>-4.3128260000000003</v>
      </c>
      <c r="AG73" s="3">
        <v>-2.270248</v>
      </c>
      <c r="AH73" s="3">
        <v>2.1472579999999999</v>
      </c>
      <c r="AI73" s="2" t="s">
        <v>455</v>
      </c>
      <c r="AJ73" s="2" t="s">
        <v>8464</v>
      </c>
    </row>
    <row r="74" spans="1:36" x14ac:dyDescent="0.45">
      <c r="A74" t="s">
        <v>456</v>
      </c>
      <c r="B74" t="str">
        <f t="shared" si="2"/>
        <v>Unknown</v>
      </c>
      <c r="C74">
        <f t="shared" si="3"/>
        <v>0</v>
      </c>
      <c r="D74" s="2"/>
      <c r="E74">
        <f>COUNTIFS(Planets!$C:$C,I74,Planets!$E:$E,1)</f>
        <v>0</v>
      </c>
      <c r="F74" s="3">
        <v>17.454584709889239</v>
      </c>
      <c r="H74" s="2"/>
      <c r="I74" t="s">
        <v>457</v>
      </c>
      <c r="L74">
        <v>0</v>
      </c>
      <c r="M74" s="3">
        <v>5.3516000000000004</v>
      </c>
      <c r="N74" t="s">
        <v>304</v>
      </c>
      <c r="O74" s="3">
        <v>1.193438379210796E-3</v>
      </c>
      <c r="P74" s="3">
        <v>10.8</v>
      </c>
      <c r="Q74" t="s">
        <v>458</v>
      </c>
      <c r="T74" t="s">
        <v>456</v>
      </c>
      <c r="W74" s="3">
        <v>176.914995</v>
      </c>
      <c r="X74" s="3">
        <v>78.691159999999996</v>
      </c>
      <c r="Y74" s="3">
        <v>-3.4172219084327491</v>
      </c>
      <c r="Z74" s="3">
        <v>0.18373041069539589</v>
      </c>
      <c r="AA74" s="3">
        <v>17.11248254686592</v>
      </c>
      <c r="AB74" t="s">
        <v>41</v>
      </c>
      <c r="AC74" t="s">
        <v>457</v>
      </c>
      <c r="AD74">
        <v>0</v>
      </c>
      <c r="AE74">
        <v>0</v>
      </c>
      <c r="AF74" s="3">
        <v>-1.047725</v>
      </c>
      <c r="AG74" s="3">
        <v>5.6332E-2</v>
      </c>
      <c r="AH74" s="3">
        <v>5.2467110000000003</v>
      </c>
      <c r="AI74" s="2" t="s">
        <v>459</v>
      </c>
      <c r="AJ74" s="2" t="s">
        <v>8464</v>
      </c>
    </row>
    <row r="75" spans="1:36" x14ac:dyDescent="0.45">
      <c r="A75" t="s">
        <v>460</v>
      </c>
      <c r="B75" t="str">
        <f t="shared" si="2"/>
        <v>Unknown</v>
      </c>
      <c r="C75">
        <f t="shared" si="3"/>
        <v>0</v>
      </c>
      <c r="D75" s="2"/>
      <c r="E75">
        <f>COUNTIFS(Planets!$C:$C,I75,Planets!$E:$E,1)</f>
        <v>0</v>
      </c>
      <c r="F75" s="3">
        <v>17.507095886701631</v>
      </c>
      <c r="H75" s="2"/>
      <c r="I75" t="s">
        <v>461</v>
      </c>
      <c r="L75">
        <v>0</v>
      </c>
      <c r="M75" s="3">
        <v>5.3677000000000001</v>
      </c>
      <c r="N75" t="s">
        <v>304</v>
      </c>
      <c r="O75" s="3">
        <v>7.3722490810429996E-4</v>
      </c>
      <c r="P75" s="3">
        <v>11.33</v>
      </c>
      <c r="T75" t="s">
        <v>460</v>
      </c>
      <c r="W75" s="3">
        <v>90.014865</v>
      </c>
      <c r="X75" s="3">
        <v>2.707087</v>
      </c>
      <c r="Y75" s="3">
        <v>-4.5368352140398999E-3</v>
      </c>
      <c r="Z75" s="3">
        <v>17.487555858112621</v>
      </c>
      <c r="AA75" s="3">
        <v>0.82685860253237908</v>
      </c>
      <c r="AB75" t="s">
        <v>41</v>
      </c>
      <c r="AC75" t="s">
        <v>461</v>
      </c>
      <c r="AD75">
        <v>0</v>
      </c>
      <c r="AE75">
        <v>0</v>
      </c>
      <c r="AF75" s="3">
        <v>-1.3910000000000001E-3</v>
      </c>
      <c r="AG75" s="3">
        <v>5.3617090000000003</v>
      </c>
      <c r="AH75" s="3">
        <v>0.25351600000000002</v>
      </c>
      <c r="AI75" s="2" t="s">
        <v>462</v>
      </c>
      <c r="AJ75" s="2" t="s">
        <v>8464</v>
      </c>
    </row>
    <row r="76" spans="1:36" x14ac:dyDescent="0.45">
      <c r="A76" t="s">
        <v>463</v>
      </c>
      <c r="B76" t="str">
        <f t="shared" si="2"/>
        <v>Unknown</v>
      </c>
      <c r="C76">
        <f t="shared" si="3"/>
        <v>0</v>
      </c>
      <c r="D76" s="2"/>
      <c r="E76">
        <f>COUNTIFS(Planets!$C:$C,I76,Planets!$E:$E,1)</f>
        <v>0</v>
      </c>
      <c r="F76" s="3">
        <v>17.583416479087351</v>
      </c>
      <c r="H76" s="2"/>
      <c r="I76" t="s">
        <v>464</v>
      </c>
      <c r="L76">
        <v>0</v>
      </c>
      <c r="M76" s="3">
        <v>5.3910999999999998</v>
      </c>
      <c r="N76" t="s">
        <v>465</v>
      </c>
      <c r="O76" s="3">
        <v>1.0452014414584361E-2</v>
      </c>
      <c r="P76" s="3">
        <v>8.4600000000000009</v>
      </c>
      <c r="Q76" t="s">
        <v>466</v>
      </c>
      <c r="R76" t="s">
        <v>467</v>
      </c>
      <c r="T76" t="s">
        <v>463</v>
      </c>
      <c r="W76" s="3">
        <v>206.43225000000001</v>
      </c>
      <c r="X76" s="3">
        <v>14.89152</v>
      </c>
      <c r="Y76" s="3">
        <v>-15.21683558706599</v>
      </c>
      <c r="Z76" s="3">
        <v>-7.5644307136522277</v>
      </c>
      <c r="AA76" s="3">
        <v>4.5188770438828154</v>
      </c>
      <c r="AB76" t="s">
        <v>41</v>
      </c>
      <c r="AC76" t="s">
        <v>464</v>
      </c>
      <c r="AD76">
        <v>0</v>
      </c>
      <c r="AE76">
        <v>0</v>
      </c>
      <c r="AF76" s="3">
        <v>-4.6655030000000002</v>
      </c>
      <c r="AG76" s="3">
        <v>-2.3192650000000001</v>
      </c>
      <c r="AH76" s="3">
        <v>1.385494</v>
      </c>
      <c r="AI76" s="2" t="s">
        <v>468</v>
      </c>
      <c r="AJ76" s="2" t="s">
        <v>8464</v>
      </c>
    </row>
    <row r="77" spans="1:36" x14ac:dyDescent="0.45">
      <c r="A77" t="s">
        <v>469</v>
      </c>
      <c r="B77" t="str">
        <f t="shared" si="2"/>
        <v>Unknown</v>
      </c>
      <c r="C77">
        <f t="shared" si="3"/>
        <v>0</v>
      </c>
      <c r="D77" s="2"/>
      <c r="E77">
        <f>COUNTIFS(Planets!$C:$C,I77,Planets!$E:$E,1)</f>
        <v>0</v>
      </c>
      <c r="F77" s="3">
        <v>17.98393651092351</v>
      </c>
      <c r="H77" s="2"/>
      <c r="I77" t="s">
        <v>470</v>
      </c>
      <c r="L77">
        <v>0</v>
      </c>
      <c r="M77" s="3">
        <v>5.5138999999999996</v>
      </c>
      <c r="N77" t="s">
        <v>471</v>
      </c>
      <c r="O77" s="3">
        <v>2.7976926378549998E-4</v>
      </c>
      <c r="P77" s="3">
        <v>12.44</v>
      </c>
      <c r="T77" t="s">
        <v>469</v>
      </c>
      <c r="W77" s="3">
        <v>67.778895000000006</v>
      </c>
      <c r="X77" s="3">
        <v>58.981451</v>
      </c>
      <c r="Y77" s="3">
        <v>3.5020812747870909</v>
      </c>
      <c r="Z77" s="3">
        <v>8.5802219211045827</v>
      </c>
      <c r="AA77" s="3">
        <v>15.41224565764742</v>
      </c>
      <c r="AB77" t="s">
        <v>60</v>
      </c>
      <c r="AC77" t="s">
        <v>472</v>
      </c>
      <c r="AD77">
        <v>0</v>
      </c>
      <c r="AE77">
        <v>0</v>
      </c>
      <c r="AF77" s="3">
        <v>1.0737429999999999</v>
      </c>
      <c r="AG77" s="3">
        <v>2.6307079999999998</v>
      </c>
      <c r="AH77" s="3">
        <v>4.7254160000000001</v>
      </c>
      <c r="AI77" s="2" t="s">
        <v>473</v>
      </c>
      <c r="AJ77" s="2" t="s">
        <v>8464</v>
      </c>
    </row>
    <row r="78" spans="1:36" x14ac:dyDescent="0.45">
      <c r="A78" t="s">
        <v>474</v>
      </c>
      <c r="B78" t="str">
        <f t="shared" si="2"/>
        <v>Unknown</v>
      </c>
      <c r="C78">
        <f t="shared" si="3"/>
        <v>0</v>
      </c>
      <c r="D78" s="2"/>
      <c r="E78">
        <f>COUNTIFS(Planets!$C:$C,I78,Planets!$E:$E,1)</f>
        <v>0</v>
      </c>
      <c r="F78" s="3">
        <v>17.99372120225501</v>
      </c>
      <c r="H78" s="2"/>
      <c r="I78" t="s">
        <v>475</v>
      </c>
      <c r="L78">
        <v>0</v>
      </c>
      <c r="M78" s="3">
        <v>5.5168999999999997</v>
      </c>
      <c r="N78" t="s">
        <v>476</v>
      </c>
      <c r="O78" s="3">
        <v>2.4842768936968022E-2</v>
      </c>
      <c r="P78" s="3">
        <v>7.57</v>
      </c>
      <c r="Q78" t="s">
        <v>477</v>
      </c>
      <c r="R78" t="s">
        <v>478</v>
      </c>
      <c r="W78" s="3">
        <v>181.20341999999999</v>
      </c>
      <c r="X78" s="3">
        <v>-62.002291999999997</v>
      </c>
      <c r="Y78" s="3">
        <v>-8.4450431487961026</v>
      </c>
      <c r="Z78" s="3">
        <v>-0.177402976967691</v>
      </c>
      <c r="AA78" s="3">
        <v>-15.88785014919775</v>
      </c>
      <c r="AB78" t="s">
        <v>41</v>
      </c>
      <c r="AC78" t="s">
        <v>475</v>
      </c>
      <c r="AD78">
        <v>0</v>
      </c>
      <c r="AE78">
        <v>0</v>
      </c>
      <c r="AF78" s="3">
        <v>-2.5892620000000002</v>
      </c>
      <c r="AG78" s="3">
        <v>-5.4392000000000003E-2</v>
      </c>
      <c r="AH78" s="3">
        <v>-4.8712369999999998</v>
      </c>
      <c r="AI78" s="2" t="s">
        <v>479</v>
      </c>
      <c r="AJ78" s="2" t="s">
        <v>8464</v>
      </c>
    </row>
    <row r="79" spans="1:36" x14ac:dyDescent="0.45">
      <c r="A79" t="s">
        <v>480</v>
      </c>
      <c r="B79" t="str">
        <f t="shared" si="2"/>
        <v>Unknown</v>
      </c>
      <c r="C79">
        <f t="shared" si="3"/>
        <v>0</v>
      </c>
      <c r="D79" s="2"/>
      <c r="E79">
        <f>COUNTIFS(Planets!$C:$C,I79,Planets!$E:$E,1)</f>
        <v>0</v>
      </c>
      <c r="F79" s="3">
        <v>18.193655061795379</v>
      </c>
      <c r="H79" s="2"/>
      <c r="I79" t="s">
        <v>472</v>
      </c>
      <c r="L79">
        <v>0</v>
      </c>
      <c r="M79" s="3">
        <v>5.5781999999999998</v>
      </c>
      <c r="O79" s="3">
        <v>1.2729167461935601E-3</v>
      </c>
      <c r="P79" s="3">
        <v>10.82</v>
      </c>
      <c r="Q79" t="s">
        <v>481</v>
      </c>
      <c r="T79" t="s">
        <v>480</v>
      </c>
      <c r="W79" s="3">
        <v>67.795020000000008</v>
      </c>
      <c r="X79" s="3">
        <v>58.977072</v>
      </c>
      <c r="Y79" s="3">
        <v>3.543287871547824</v>
      </c>
      <c r="Z79" s="3">
        <v>8.6816924317760407</v>
      </c>
      <c r="AA79" s="3">
        <v>15.591680588848289</v>
      </c>
      <c r="AB79" t="s">
        <v>41</v>
      </c>
      <c r="AC79" t="s">
        <v>472</v>
      </c>
      <c r="AD79">
        <v>0</v>
      </c>
      <c r="AE79">
        <v>0</v>
      </c>
      <c r="AF79" s="3">
        <v>1.0863769999999999</v>
      </c>
      <c r="AG79" s="3">
        <v>2.6618189999999999</v>
      </c>
      <c r="AH79" s="3">
        <v>4.7804310000000001</v>
      </c>
      <c r="AI79" s="2" t="s">
        <v>473</v>
      </c>
      <c r="AJ79" s="2" t="s">
        <v>8464</v>
      </c>
    </row>
    <row r="80" spans="1:36" x14ac:dyDescent="0.45">
      <c r="A80" t="s">
        <v>482</v>
      </c>
      <c r="B80" t="str">
        <f t="shared" si="2"/>
        <v>Unknown</v>
      </c>
      <c r="C80">
        <f t="shared" si="3"/>
        <v>0</v>
      </c>
      <c r="D80" s="2"/>
      <c r="E80">
        <f>COUNTIFS(Planets!$C:$C,I80,Planets!$E:$E,1)</f>
        <v>0</v>
      </c>
      <c r="F80" s="3">
        <v>18.220073728390432</v>
      </c>
      <c r="H80" s="2"/>
      <c r="I80" t="s">
        <v>483</v>
      </c>
      <c r="L80">
        <v>0</v>
      </c>
      <c r="M80" s="3">
        <v>5.5862999999999996</v>
      </c>
      <c r="N80" t="s">
        <v>484</v>
      </c>
      <c r="O80" s="3">
        <v>3.008846276645724E-3</v>
      </c>
      <c r="P80" s="3">
        <v>9.89</v>
      </c>
      <c r="Q80" t="s">
        <v>485</v>
      </c>
      <c r="R80" t="s">
        <v>486</v>
      </c>
      <c r="W80" s="3">
        <v>103.70433</v>
      </c>
      <c r="X80" s="3">
        <v>33.268174999999999</v>
      </c>
      <c r="Y80" s="3">
        <v>-3.6091812445379379</v>
      </c>
      <c r="Z80" s="3">
        <v>14.80097968234959</v>
      </c>
      <c r="AA80" s="3">
        <v>9.9951959192444644</v>
      </c>
      <c r="AB80" t="s">
        <v>41</v>
      </c>
      <c r="AC80" t="s">
        <v>483</v>
      </c>
      <c r="AD80">
        <v>0</v>
      </c>
      <c r="AE80">
        <v>0</v>
      </c>
      <c r="AF80" s="3">
        <v>-1.1065799999999999</v>
      </c>
      <c r="AG80" s="3">
        <v>4.5380010000000004</v>
      </c>
      <c r="AH80" s="3">
        <v>3.0645410000000002</v>
      </c>
      <c r="AI80" s="2" t="s">
        <v>487</v>
      </c>
      <c r="AJ80" s="2"/>
    </row>
    <row r="81" spans="1:36" x14ac:dyDescent="0.45">
      <c r="A81" t="s">
        <v>488</v>
      </c>
      <c r="B81" t="str">
        <f t="shared" si="2"/>
        <v>Unknown</v>
      </c>
      <c r="C81">
        <f t="shared" si="3"/>
        <v>0</v>
      </c>
      <c r="D81" s="2"/>
      <c r="E81">
        <f>COUNTIFS(Planets!$C:$C,I81,Planets!$E:$E,1)</f>
        <v>0</v>
      </c>
      <c r="F81" s="3">
        <v>18.315311390683721</v>
      </c>
      <c r="H81" s="2"/>
      <c r="I81" t="s">
        <v>489</v>
      </c>
      <c r="L81">
        <v>0</v>
      </c>
      <c r="M81" s="3">
        <v>5.6154999999999999</v>
      </c>
      <c r="N81" t="s">
        <v>490</v>
      </c>
      <c r="O81" s="3">
        <v>5.4802453217685041E-3</v>
      </c>
      <c r="P81" s="3">
        <v>9.25</v>
      </c>
      <c r="Q81" t="s">
        <v>491</v>
      </c>
      <c r="W81" s="3">
        <v>256.33651500000002</v>
      </c>
      <c r="X81" s="3">
        <v>-33.767358000000002</v>
      </c>
      <c r="Y81" s="3">
        <v>-3.596542684901415</v>
      </c>
      <c r="Z81" s="3">
        <v>-14.794662033313211</v>
      </c>
      <c r="AA81" s="3">
        <v>-10.18005483100676</v>
      </c>
      <c r="AB81" t="s">
        <v>41</v>
      </c>
      <c r="AC81" t="s">
        <v>489</v>
      </c>
      <c r="AD81">
        <v>0</v>
      </c>
      <c r="AE81">
        <v>0</v>
      </c>
      <c r="AF81" s="3">
        <v>-1.102705</v>
      </c>
      <c r="AG81" s="3">
        <v>-4.5360639999999997</v>
      </c>
      <c r="AH81" s="3">
        <v>-3.121219</v>
      </c>
      <c r="AI81" s="2" t="s">
        <v>492</v>
      </c>
      <c r="AJ81" s="2"/>
    </row>
    <row r="82" spans="1:36" x14ac:dyDescent="0.45">
      <c r="A82" t="s">
        <v>493</v>
      </c>
      <c r="B82" t="str">
        <f t="shared" si="2"/>
        <v>Unknown</v>
      </c>
      <c r="C82">
        <f t="shared" si="3"/>
        <v>0</v>
      </c>
      <c r="D82" s="2"/>
      <c r="E82">
        <f>COUNTIFS(Planets!$C:$C,I82,Planets!$E:$E,1)</f>
        <v>0</v>
      </c>
      <c r="F82" s="3">
        <v>18.450992443813881</v>
      </c>
      <c r="H82" s="2"/>
      <c r="I82" t="s">
        <v>494</v>
      </c>
      <c r="L82">
        <v>0</v>
      </c>
      <c r="M82" s="3">
        <v>5.6570999999999998</v>
      </c>
      <c r="N82" t="s">
        <v>205</v>
      </c>
      <c r="O82" s="3">
        <v>1.8080065521100051E-2</v>
      </c>
      <c r="P82" s="3">
        <v>7.97</v>
      </c>
      <c r="Q82" t="s">
        <v>495</v>
      </c>
      <c r="R82" t="s">
        <v>496</v>
      </c>
      <c r="T82" t="s">
        <v>493</v>
      </c>
      <c r="W82" s="3">
        <v>82.864154999999997</v>
      </c>
      <c r="X82" s="3">
        <v>-3.6772290000000001</v>
      </c>
      <c r="Y82" s="3">
        <v>2.287337938491298</v>
      </c>
      <c r="Z82" s="3">
        <v>18.27063122850031</v>
      </c>
      <c r="AA82" s="3">
        <v>-1.1833834005783279</v>
      </c>
      <c r="AB82" t="s">
        <v>41</v>
      </c>
      <c r="AC82" t="s">
        <v>494</v>
      </c>
      <c r="AD82">
        <v>0</v>
      </c>
      <c r="AE82">
        <v>0</v>
      </c>
      <c r="AF82" s="3">
        <v>0.70130099999999995</v>
      </c>
      <c r="AG82" s="3">
        <v>5.601801</v>
      </c>
      <c r="AH82" s="3">
        <v>-0.36282700000000001</v>
      </c>
      <c r="AI82" s="2" t="s">
        <v>497</v>
      </c>
      <c r="AJ82" s="2"/>
    </row>
    <row r="83" spans="1:36" x14ac:dyDescent="0.45">
      <c r="A83" t="s">
        <v>498</v>
      </c>
      <c r="B83" t="str">
        <f t="shared" si="2"/>
        <v>Unknown</v>
      </c>
      <c r="C83">
        <f t="shared" si="3"/>
        <v>0</v>
      </c>
      <c r="D83" s="2"/>
      <c r="E83">
        <f>COUNTIFS(Planets!$C:$C,I83,Planets!$E:$E,1)</f>
        <v>0</v>
      </c>
      <c r="F83" s="3">
        <v>18.56319023774844</v>
      </c>
      <c r="H83" s="2"/>
      <c r="I83" t="s">
        <v>499</v>
      </c>
      <c r="L83">
        <v>0</v>
      </c>
      <c r="M83" s="3">
        <v>5.6914999999999996</v>
      </c>
      <c r="N83" t="s">
        <v>299</v>
      </c>
      <c r="O83" s="3">
        <v>3.6174288676420001E-4</v>
      </c>
      <c r="P83" s="3">
        <v>12.23</v>
      </c>
      <c r="T83" t="s">
        <v>498</v>
      </c>
      <c r="W83" s="3">
        <v>290.19677999999999</v>
      </c>
      <c r="X83" s="3">
        <v>-45.55959</v>
      </c>
      <c r="Y83" s="3">
        <v>4.4887401945817889</v>
      </c>
      <c r="Z83" s="3">
        <v>-12.199618383392609</v>
      </c>
      <c r="AA83" s="3">
        <v>-13.255634456908769</v>
      </c>
      <c r="AB83" t="s">
        <v>41</v>
      </c>
      <c r="AC83" t="s">
        <v>499</v>
      </c>
      <c r="AD83">
        <v>0</v>
      </c>
      <c r="AE83">
        <v>0</v>
      </c>
      <c r="AF83" s="3">
        <v>1.3762540000000001</v>
      </c>
      <c r="AG83" s="3">
        <v>-3.7404199999999999</v>
      </c>
      <c r="AH83" s="3">
        <v>-4.0641959999999999</v>
      </c>
      <c r="AI83" s="2" t="s">
        <v>500</v>
      </c>
      <c r="AJ83" s="2"/>
    </row>
    <row r="84" spans="1:36" x14ac:dyDescent="0.45">
      <c r="A84" t="s">
        <v>501</v>
      </c>
      <c r="B84" t="str">
        <f t="shared" si="2"/>
        <v>Unknown</v>
      </c>
      <c r="C84">
        <f t="shared" si="3"/>
        <v>0</v>
      </c>
      <c r="D84" s="2"/>
      <c r="E84">
        <f>COUNTIFS(Planets!$C:$C,I84,Planets!$E:$E,1)</f>
        <v>0</v>
      </c>
      <c r="F84" s="3">
        <v>18.634292328090702</v>
      </c>
      <c r="H84" s="2"/>
      <c r="I84" t="s">
        <v>502</v>
      </c>
      <c r="L84">
        <v>0</v>
      </c>
      <c r="M84" s="3">
        <v>5.7133000000000003</v>
      </c>
      <c r="O84" s="3">
        <v>7.7553249575859997E-4</v>
      </c>
      <c r="P84" s="3">
        <v>11.41</v>
      </c>
      <c r="Q84" t="s">
        <v>503</v>
      </c>
      <c r="W84" s="3">
        <v>313.13760000000002</v>
      </c>
      <c r="X84" s="3">
        <v>-16.974737999999999</v>
      </c>
      <c r="Y84" s="3">
        <v>12.18615138655669</v>
      </c>
      <c r="Z84" s="3">
        <v>-13.00529965231984</v>
      </c>
      <c r="AA84" s="3">
        <v>-5.4402818571877249</v>
      </c>
      <c r="AB84" t="s">
        <v>41</v>
      </c>
      <c r="AC84" t="s">
        <v>502</v>
      </c>
      <c r="AD84">
        <v>0</v>
      </c>
      <c r="AE84">
        <v>0</v>
      </c>
      <c r="AF84" s="3">
        <v>3.736291</v>
      </c>
      <c r="AG84" s="3">
        <v>-3.9874429999999998</v>
      </c>
      <c r="AH84" s="3">
        <v>-1.6679980000000001</v>
      </c>
      <c r="AI84" s="2" t="s">
        <v>504</v>
      </c>
      <c r="AJ84" s="2"/>
    </row>
    <row r="85" spans="1:36" x14ac:dyDescent="0.45">
      <c r="A85" t="s">
        <v>505</v>
      </c>
      <c r="B85" t="str">
        <f t="shared" si="2"/>
        <v>Unknown</v>
      </c>
      <c r="C85">
        <f t="shared" si="3"/>
        <v>0</v>
      </c>
      <c r="D85" s="2"/>
      <c r="E85">
        <f>COUNTIFS(Planets!$C:$C,I85,Planets!$E:$E,1)</f>
        <v>0</v>
      </c>
      <c r="F85" s="3">
        <v>18.71974529905248</v>
      </c>
      <c r="H85" s="2"/>
      <c r="I85" t="s">
        <v>506</v>
      </c>
      <c r="L85">
        <v>0</v>
      </c>
      <c r="M85" s="3">
        <v>5.7394999999999996</v>
      </c>
      <c r="O85" s="3">
        <v>3.1448504654769589E-3</v>
      </c>
      <c r="P85" s="3">
        <v>9.9</v>
      </c>
      <c r="T85" t="s">
        <v>505</v>
      </c>
      <c r="W85" s="3">
        <v>253.86781500000001</v>
      </c>
      <c r="X85" s="3">
        <v>-8.3376000000000001</v>
      </c>
      <c r="Y85" s="3">
        <v>-5.1464214839924933</v>
      </c>
      <c r="Z85" s="3">
        <v>-17.792547948479321</v>
      </c>
      <c r="AA85" s="3">
        <v>-2.7144690691853679</v>
      </c>
      <c r="AB85" t="s">
        <v>60</v>
      </c>
      <c r="AC85" t="s">
        <v>507</v>
      </c>
      <c r="AD85">
        <v>0</v>
      </c>
      <c r="AE85">
        <v>0</v>
      </c>
      <c r="AF85" s="3">
        <v>-1.5779000000000001</v>
      </c>
      <c r="AG85" s="3">
        <v>-5.4552199999999997</v>
      </c>
      <c r="AH85" s="3">
        <v>-0.83226</v>
      </c>
      <c r="AI85" s="2" t="s">
        <v>508</v>
      </c>
      <c r="AJ85" s="2"/>
    </row>
    <row r="86" spans="1:36" x14ac:dyDescent="0.45">
      <c r="A86" t="s">
        <v>509</v>
      </c>
      <c r="B86" t="str">
        <f t="shared" si="2"/>
        <v>Unknown</v>
      </c>
      <c r="C86">
        <f t="shared" si="3"/>
        <v>0</v>
      </c>
      <c r="D86" s="2"/>
      <c r="E86">
        <f>COUNTIFS(Planets!$C:$C,I86,Planets!$E:$E,1)</f>
        <v>0</v>
      </c>
      <c r="F86" s="3">
        <v>18.71974529905248</v>
      </c>
      <c r="H86" s="2"/>
      <c r="I86" t="s">
        <v>510</v>
      </c>
      <c r="L86">
        <v>0</v>
      </c>
      <c r="M86" s="3">
        <v>5.7394999999999996</v>
      </c>
      <c r="N86" t="s">
        <v>314</v>
      </c>
      <c r="O86" s="3">
        <v>5.5667279815000003E-6</v>
      </c>
      <c r="P86" s="3">
        <v>16.78</v>
      </c>
      <c r="T86" t="s">
        <v>509</v>
      </c>
      <c r="W86" s="3">
        <v>253.89711</v>
      </c>
      <c r="X86" s="3">
        <v>-8.395842</v>
      </c>
      <c r="Y86" s="3">
        <v>-5.1374717529879446</v>
      </c>
      <c r="Z86" s="3">
        <v>-17.795688834396739</v>
      </c>
      <c r="AA86" s="3">
        <v>-2.733777526746199</v>
      </c>
      <c r="AB86" t="s">
        <v>416</v>
      </c>
      <c r="AC86" t="s">
        <v>507</v>
      </c>
      <c r="AD86">
        <v>0</v>
      </c>
      <c r="AE86">
        <v>0</v>
      </c>
      <c r="AF86" s="3">
        <v>-1.575156</v>
      </c>
      <c r="AG86" s="3">
        <v>-5.4561830000000002</v>
      </c>
      <c r="AH86" s="3">
        <v>-0.83818000000000004</v>
      </c>
      <c r="AI86" s="2" t="s">
        <v>508</v>
      </c>
      <c r="AJ86" s="2"/>
    </row>
    <row r="87" spans="1:36" x14ac:dyDescent="0.45">
      <c r="A87" t="s">
        <v>511</v>
      </c>
      <c r="B87" t="str">
        <f t="shared" si="2"/>
        <v>Yes</v>
      </c>
      <c r="C87">
        <f t="shared" si="3"/>
        <v>2</v>
      </c>
      <c r="D87" s="2"/>
      <c r="E87">
        <f>COUNTIFS(Planets!$C:$C,I87,Planets!$E:$E,1)</f>
        <v>2</v>
      </c>
      <c r="F87" s="3">
        <v>18.765081035555109</v>
      </c>
      <c r="G87" t="s">
        <v>512</v>
      </c>
      <c r="H87" s="2"/>
      <c r="I87" t="s">
        <v>513</v>
      </c>
      <c r="J87" t="s">
        <v>514</v>
      </c>
      <c r="K87" t="s">
        <v>73</v>
      </c>
      <c r="L87">
        <v>2</v>
      </c>
      <c r="M87" s="3">
        <v>5.7534000000000001</v>
      </c>
      <c r="N87" t="s">
        <v>264</v>
      </c>
      <c r="O87" s="3">
        <v>1.5848931924611131E-2</v>
      </c>
      <c r="P87" s="3">
        <v>8.15</v>
      </c>
      <c r="Q87" t="s">
        <v>515</v>
      </c>
      <c r="R87" t="s">
        <v>516</v>
      </c>
      <c r="T87" t="s">
        <v>511</v>
      </c>
      <c r="W87" s="3">
        <v>92.644260000000003</v>
      </c>
      <c r="X87" s="3">
        <v>-21.864643000000001</v>
      </c>
      <c r="Y87" s="3">
        <v>-0.80344383617609405</v>
      </c>
      <c r="Z87" s="3">
        <v>17.39683546165071</v>
      </c>
      <c r="AA87" s="3">
        <v>-6.9884581199871212</v>
      </c>
      <c r="AB87" t="s">
        <v>41</v>
      </c>
      <c r="AC87" t="s">
        <v>513</v>
      </c>
      <c r="AD87">
        <v>2</v>
      </c>
      <c r="AE87">
        <v>0</v>
      </c>
      <c r="AF87" s="3">
        <v>-0.246337</v>
      </c>
      <c r="AG87" s="3">
        <v>5.3338939999999999</v>
      </c>
      <c r="AH87" s="3">
        <v>-2.142671</v>
      </c>
      <c r="AI87" s="2" t="s">
        <v>517</v>
      </c>
      <c r="AJ87" s="2"/>
    </row>
    <row r="88" spans="1:36" x14ac:dyDescent="0.45">
      <c r="A88" t="s">
        <v>518</v>
      </c>
      <c r="B88" t="str">
        <f t="shared" si="2"/>
        <v>Unknown</v>
      </c>
      <c r="C88">
        <f t="shared" si="3"/>
        <v>0</v>
      </c>
      <c r="D88" s="2"/>
      <c r="E88">
        <f>COUNTIFS(Planets!$C:$C,I88,Planets!$E:$E,1)</f>
        <v>0</v>
      </c>
      <c r="F88" s="3">
        <v>18.76932106846543</v>
      </c>
      <c r="H88" s="2"/>
      <c r="I88" t="s">
        <v>519</v>
      </c>
      <c r="L88">
        <v>0</v>
      </c>
      <c r="M88" s="3">
        <v>5.7546999999999997</v>
      </c>
      <c r="N88" t="s">
        <v>520</v>
      </c>
      <c r="O88" s="3">
        <v>0.39084089579240178</v>
      </c>
      <c r="P88" s="3">
        <v>4.67</v>
      </c>
      <c r="Q88" t="s">
        <v>521</v>
      </c>
      <c r="R88" t="s">
        <v>522</v>
      </c>
      <c r="S88" t="s">
        <v>523</v>
      </c>
      <c r="T88" t="s">
        <v>524</v>
      </c>
      <c r="U88" t="s">
        <v>525</v>
      </c>
      <c r="V88" t="s">
        <v>518</v>
      </c>
      <c r="W88" s="3">
        <v>293.08723500000002</v>
      </c>
      <c r="X88" s="3">
        <v>69.661175</v>
      </c>
      <c r="Y88" s="3">
        <v>2.5585402281265481</v>
      </c>
      <c r="Z88" s="3">
        <v>-6.0013295350085123</v>
      </c>
      <c r="AA88" s="3">
        <v>17.599893899289601</v>
      </c>
      <c r="AB88" t="s">
        <v>41</v>
      </c>
      <c r="AC88" t="s">
        <v>519</v>
      </c>
      <c r="AD88">
        <v>0</v>
      </c>
      <c r="AE88">
        <v>0</v>
      </c>
      <c r="AF88" s="3">
        <v>0.78445200000000004</v>
      </c>
      <c r="AG88" s="3">
        <v>-1.8400160000000001</v>
      </c>
      <c r="AH88" s="3">
        <v>5.3961519999999998</v>
      </c>
      <c r="AI88" s="2" t="s">
        <v>526</v>
      </c>
      <c r="AJ88" s="2"/>
    </row>
    <row r="89" spans="1:36" x14ac:dyDescent="0.45">
      <c r="A89" t="s">
        <v>527</v>
      </c>
      <c r="B89" t="str">
        <f t="shared" si="2"/>
        <v>Yes</v>
      </c>
      <c r="C89">
        <f t="shared" si="3"/>
        <v>2</v>
      </c>
      <c r="D89" s="2"/>
      <c r="E89">
        <f>COUNTIFS(Planets!$C:$C,I89,Planets!$E:$E,1)</f>
        <v>2</v>
      </c>
      <c r="F89" s="3">
        <v>18.787911981995279</v>
      </c>
      <c r="G89" t="s">
        <v>528</v>
      </c>
      <c r="H89" s="2"/>
      <c r="I89" t="s">
        <v>529</v>
      </c>
      <c r="J89" t="s">
        <v>530</v>
      </c>
      <c r="K89" t="s">
        <v>73</v>
      </c>
      <c r="L89">
        <v>0</v>
      </c>
      <c r="M89" s="3">
        <v>5.7603999999999997</v>
      </c>
      <c r="N89" t="s">
        <v>531</v>
      </c>
      <c r="O89" s="3">
        <v>2.8628592708721192E-3</v>
      </c>
      <c r="P89" s="3">
        <v>10.01</v>
      </c>
      <c r="T89" t="s">
        <v>527</v>
      </c>
      <c r="W89" s="3">
        <v>103.70408999999999</v>
      </c>
      <c r="X89" s="3">
        <v>33.270718000000002</v>
      </c>
      <c r="Y89" s="3">
        <v>-3.721636702010894</v>
      </c>
      <c r="Z89" s="3">
        <v>15.264395710064649</v>
      </c>
      <c r="AA89" s="3">
        <v>10.30906272464884</v>
      </c>
      <c r="AB89" t="s">
        <v>41</v>
      </c>
      <c r="AC89" t="s">
        <v>529</v>
      </c>
      <c r="AD89">
        <v>2</v>
      </c>
      <c r="AE89">
        <v>0</v>
      </c>
      <c r="AF89" s="3">
        <v>-1.141059</v>
      </c>
      <c r="AG89" s="3">
        <v>4.6800850000000001</v>
      </c>
      <c r="AH89" s="3">
        <v>3.1607729999999998</v>
      </c>
      <c r="AI89" s="2" t="s">
        <v>532</v>
      </c>
      <c r="AJ89" s="2"/>
    </row>
    <row r="90" spans="1:36" x14ac:dyDescent="0.45">
      <c r="A90" t="s">
        <v>533</v>
      </c>
      <c r="B90" t="str">
        <f t="shared" si="2"/>
        <v>Unknown</v>
      </c>
      <c r="C90">
        <f t="shared" si="3"/>
        <v>0</v>
      </c>
      <c r="D90" s="2"/>
      <c r="E90">
        <f>COUNTIFS(Planets!$C:$C,I90,Planets!$E:$E,1)</f>
        <v>0</v>
      </c>
      <c r="F90" s="3">
        <v>18.953925578253109</v>
      </c>
      <c r="H90" s="2"/>
      <c r="I90" t="s">
        <v>534</v>
      </c>
      <c r="L90">
        <v>0</v>
      </c>
      <c r="M90" s="3">
        <v>5.8113000000000001</v>
      </c>
      <c r="N90" t="s">
        <v>257</v>
      </c>
      <c r="O90" s="3">
        <v>2.5846396357698441E-2</v>
      </c>
      <c r="P90" s="3">
        <v>7.64</v>
      </c>
      <c r="Q90" t="s">
        <v>535</v>
      </c>
      <c r="R90" t="s">
        <v>536</v>
      </c>
      <c r="T90" t="s">
        <v>533</v>
      </c>
      <c r="W90" s="3">
        <v>138.59738999999999</v>
      </c>
      <c r="X90" s="3">
        <v>52.686624999999999</v>
      </c>
      <c r="Y90" s="3">
        <v>-8.6178277514553248</v>
      </c>
      <c r="Z90" s="3">
        <v>7.5989804587437622</v>
      </c>
      <c r="AA90" s="3">
        <v>15.074980393705649</v>
      </c>
      <c r="AB90" t="s">
        <v>41</v>
      </c>
      <c r="AC90" t="s">
        <v>534</v>
      </c>
      <c r="AD90">
        <v>0</v>
      </c>
      <c r="AE90">
        <v>0</v>
      </c>
      <c r="AF90" s="3">
        <v>-2.6422379999999999</v>
      </c>
      <c r="AG90" s="3">
        <v>2.3298580000000002</v>
      </c>
      <c r="AH90" s="3">
        <v>4.6220100000000004</v>
      </c>
      <c r="AI90" s="2" t="s">
        <v>537</v>
      </c>
      <c r="AJ90" s="2"/>
    </row>
    <row r="91" spans="1:36" x14ac:dyDescent="0.45">
      <c r="A91" t="s">
        <v>538</v>
      </c>
      <c r="B91" t="str">
        <f t="shared" si="2"/>
        <v>Unknown</v>
      </c>
      <c r="C91">
        <f t="shared" si="3"/>
        <v>0</v>
      </c>
      <c r="D91" s="2"/>
      <c r="E91">
        <f>COUNTIFS(Planets!$C:$C,I91,Planets!$E:$E,1)</f>
        <v>0</v>
      </c>
      <c r="F91" s="3">
        <v>19.012307569864401</v>
      </c>
      <c r="H91" s="2"/>
      <c r="I91" t="s">
        <v>539</v>
      </c>
      <c r="L91">
        <v>0</v>
      </c>
      <c r="M91" s="3">
        <v>5.8292000000000002</v>
      </c>
      <c r="N91" t="s">
        <v>249</v>
      </c>
      <c r="O91" s="3">
        <v>7.0339617121619998E-4</v>
      </c>
      <c r="P91" s="3">
        <v>11.56</v>
      </c>
      <c r="Q91" t="s">
        <v>540</v>
      </c>
      <c r="T91" t="s">
        <v>538</v>
      </c>
      <c r="W91" s="3">
        <v>85.538489999999996</v>
      </c>
      <c r="X91" s="3">
        <v>12.489337000000001</v>
      </c>
      <c r="Y91" s="3">
        <v>1.444155209254196</v>
      </c>
      <c r="Z91" s="3">
        <v>18.509162433779672</v>
      </c>
      <c r="AA91" s="3">
        <v>4.1122285337093576</v>
      </c>
      <c r="AB91" t="s">
        <v>41</v>
      </c>
      <c r="AC91" t="s">
        <v>539</v>
      </c>
      <c r="AD91">
        <v>0</v>
      </c>
      <c r="AE91">
        <v>0</v>
      </c>
      <c r="AF91" s="3">
        <v>0.44278000000000001</v>
      </c>
      <c r="AG91" s="3">
        <v>5.6749349999999996</v>
      </c>
      <c r="AH91" s="3">
        <v>1.260815</v>
      </c>
      <c r="AI91" s="2" t="s">
        <v>541</v>
      </c>
      <c r="AJ91" s="2"/>
    </row>
    <row r="92" spans="1:36" x14ac:dyDescent="0.45">
      <c r="A92" t="s">
        <v>542</v>
      </c>
      <c r="B92" t="str">
        <f t="shared" si="2"/>
        <v>Unknown</v>
      </c>
      <c r="C92">
        <f t="shared" si="3"/>
        <v>0</v>
      </c>
      <c r="D92" s="2"/>
      <c r="E92">
        <f>COUNTIFS(Planets!$C:$C,I92,Planets!$E:$E,1)</f>
        <v>0</v>
      </c>
      <c r="F92" s="3">
        <v>19.020135322929601</v>
      </c>
      <c r="H92" s="2"/>
      <c r="I92" t="s">
        <v>543</v>
      </c>
      <c r="L92">
        <v>0</v>
      </c>
      <c r="M92" s="3">
        <v>5.8315999999999999</v>
      </c>
      <c r="N92" t="s">
        <v>249</v>
      </c>
      <c r="O92" s="3">
        <v>1.484567675052271E-3</v>
      </c>
      <c r="P92" s="3">
        <v>10.75</v>
      </c>
      <c r="Q92" t="s">
        <v>544</v>
      </c>
      <c r="T92" t="s">
        <v>542</v>
      </c>
      <c r="W92" s="3">
        <v>266.64493499999998</v>
      </c>
      <c r="X92" s="3">
        <v>-57.319042000000003</v>
      </c>
      <c r="Y92" s="3">
        <v>-0.60135408297902271</v>
      </c>
      <c r="Z92" s="3">
        <v>-10.250687256165101</v>
      </c>
      <c r="AA92" s="3">
        <v>-16.00623839118138</v>
      </c>
      <c r="AB92" t="s">
        <v>41</v>
      </c>
      <c r="AC92" t="s">
        <v>543</v>
      </c>
      <c r="AD92">
        <v>0</v>
      </c>
      <c r="AE92">
        <v>0</v>
      </c>
      <c r="AF92" s="3">
        <v>-0.18437600000000001</v>
      </c>
      <c r="AG92" s="3">
        <v>-3.1428750000000001</v>
      </c>
      <c r="AH92" s="3">
        <v>-4.9075350000000002</v>
      </c>
      <c r="AI92" s="2" t="s">
        <v>545</v>
      </c>
      <c r="AJ92" s="2"/>
    </row>
    <row r="93" spans="1:36" x14ac:dyDescent="0.45">
      <c r="A93" t="s">
        <v>546</v>
      </c>
      <c r="B93" t="str">
        <f t="shared" si="2"/>
        <v>Unknown</v>
      </c>
      <c r="C93">
        <f t="shared" si="3"/>
        <v>0</v>
      </c>
      <c r="D93" s="2"/>
      <c r="E93">
        <f>COUNTIFS(Planets!$C:$C,I93,Planets!$E:$E,1)</f>
        <v>0</v>
      </c>
      <c r="F93" s="3">
        <v>19.048837084168682</v>
      </c>
      <c r="H93" s="2"/>
      <c r="I93" t="s">
        <v>547</v>
      </c>
      <c r="L93">
        <v>0</v>
      </c>
      <c r="M93" s="3">
        <v>5.8403999999999998</v>
      </c>
      <c r="N93" t="s">
        <v>548</v>
      </c>
      <c r="O93" s="3">
        <v>0.1530382532177437</v>
      </c>
      <c r="P93" s="3">
        <v>5.72</v>
      </c>
      <c r="Q93" t="s">
        <v>549</v>
      </c>
      <c r="R93" t="s">
        <v>550</v>
      </c>
      <c r="S93" t="s">
        <v>551</v>
      </c>
      <c r="T93" t="s">
        <v>546</v>
      </c>
      <c r="W93" s="3">
        <v>224.36647500000001</v>
      </c>
      <c r="X93" s="3">
        <v>-21.415475000000001</v>
      </c>
      <c r="Y93" s="3">
        <v>-12.677995204153531</v>
      </c>
      <c r="Z93" s="3">
        <v>-12.40076880622186</v>
      </c>
      <c r="AA93" s="3">
        <v>-6.9555782955494969</v>
      </c>
      <c r="AB93" t="s">
        <v>41</v>
      </c>
      <c r="AC93" t="s">
        <v>547</v>
      </c>
      <c r="AD93">
        <v>0</v>
      </c>
      <c r="AE93">
        <v>0</v>
      </c>
      <c r="AF93" s="3">
        <v>-3.8870909999999999</v>
      </c>
      <c r="AG93" s="3">
        <v>-3.8020930000000002</v>
      </c>
      <c r="AH93" s="3">
        <v>-2.13259</v>
      </c>
      <c r="AI93" s="2" t="s">
        <v>552</v>
      </c>
      <c r="AJ93" s="2"/>
    </row>
    <row r="94" spans="1:36" x14ac:dyDescent="0.45">
      <c r="A94" t="s">
        <v>553</v>
      </c>
      <c r="B94" t="str">
        <f t="shared" si="2"/>
        <v>Yes</v>
      </c>
      <c r="C94">
        <f t="shared" si="3"/>
        <v>1</v>
      </c>
      <c r="D94" s="2"/>
      <c r="E94">
        <f>COUNTIFS(Planets!$C:$C,I94,Planets!$E:$E,1)</f>
        <v>1</v>
      </c>
      <c r="F94" s="3">
        <v>19.145053215595119</v>
      </c>
      <c r="G94" t="s">
        <v>554</v>
      </c>
      <c r="H94" s="2"/>
      <c r="I94" t="s">
        <v>555</v>
      </c>
      <c r="J94" t="s">
        <v>556</v>
      </c>
      <c r="K94" t="s">
        <v>73</v>
      </c>
      <c r="L94">
        <v>0</v>
      </c>
      <c r="M94" s="3">
        <v>5.8699000000000003</v>
      </c>
      <c r="N94" t="s">
        <v>557</v>
      </c>
      <c r="O94" s="3">
        <v>6.7483873087075732E-3</v>
      </c>
      <c r="P94" s="3">
        <v>9.1199999999999992</v>
      </c>
      <c r="Q94" t="s">
        <v>558</v>
      </c>
      <c r="R94" t="s">
        <v>559</v>
      </c>
      <c r="T94" t="s">
        <v>553</v>
      </c>
      <c r="W94" s="3">
        <v>289.23023999999998</v>
      </c>
      <c r="X94" s="3">
        <v>5.1689040000000004</v>
      </c>
      <c r="Y94" s="3">
        <v>6.2804150242931751</v>
      </c>
      <c r="Z94" s="3">
        <v>-18.004295192020589</v>
      </c>
      <c r="AA94" s="3">
        <v>1.7249138807565461</v>
      </c>
      <c r="AB94" t="s">
        <v>41</v>
      </c>
      <c r="AC94" t="s">
        <v>555</v>
      </c>
      <c r="AD94">
        <v>1</v>
      </c>
      <c r="AE94">
        <v>0</v>
      </c>
      <c r="AF94" s="3">
        <v>1.925584</v>
      </c>
      <c r="AG94" s="3">
        <v>-5.5201419999999999</v>
      </c>
      <c r="AH94" s="3">
        <v>0.52886100000000003</v>
      </c>
      <c r="AI94" s="2" t="s">
        <v>560</v>
      </c>
      <c r="AJ94" s="2"/>
    </row>
    <row r="95" spans="1:36" x14ac:dyDescent="0.45">
      <c r="A95" t="s">
        <v>561</v>
      </c>
      <c r="B95" t="str">
        <f t="shared" si="2"/>
        <v>Unknown</v>
      </c>
      <c r="C95">
        <f t="shared" si="3"/>
        <v>0</v>
      </c>
      <c r="D95" s="2"/>
      <c r="E95">
        <f>COUNTIFS(Planets!$C:$C,I95,Planets!$E:$E,1)</f>
        <v>0</v>
      </c>
      <c r="F95" s="3">
        <v>19.156468688815199</v>
      </c>
      <c r="H95" s="2"/>
      <c r="I95" t="s">
        <v>562</v>
      </c>
      <c r="L95">
        <v>0</v>
      </c>
      <c r="M95" s="3">
        <v>5.8734000000000002</v>
      </c>
      <c r="N95" t="s">
        <v>563</v>
      </c>
      <c r="O95" s="3">
        <v>2.9484923138999998E-6</v>
      </c>
      <c r="P95" s="3">
        <v>17.52</v>
      </c>
      <c r="T95" t="s">
        <v>561</v>
      </c>
      <c r="W95" s="3">
        <v>289.24214999999998</v>
      </c>
      <c r="X95" s="3">
        <v>5.148625</v>
      </c>
      <c r="Y95" s="3">
        <v>6.2877470196642484</v>
      </c>
      <c r="Z95" s="3">
        <v>-18.0133068927369</v>
      </c>
      <c r="AA95" s="3">
        <v>1.719095250978079</v>
      </c>
      <c r="AB95" t="s">
        <v>60</v>
      </c>
      <c r="AC95" t="s">
        <v>555</v>
      </c>
      <c r="AD95">
        <v>0</v>
      </c>
      <c r="AE95">
        <v>0</v>
      </c>
      <c r="AF95" s="3">
        <v>1.927832</v>
      </c>
      <c r="AG95" s="3">
        <v>-5.5229049999999997</v>
      </c>
      <c r="AH95" s="3">
        <v>0.52707700000000002</v>
      </c>
      <c r="AI95" s="2" t="s">
        <v>560</v>
      </c>
      <c r="AJ95" s="2"/>
    </row>
    <row r="96" spans="1:36" x14ac:dyDescent="0.45">
      <c r="A96" t="s">
        <v>564</v>
      </c>
      <c r="B96" t="str">
        <f t="shared" si="2"/>
        <v>Unknown</v>
      </c>
      <c r="C96">
        <f t="shared" si="3"/>
        <v>0</v>
      </c>
      <c r="D96" s="2"/>
      <c r="E96">
        <f>COUNTIFS(Planets!$C:$C,I96,Planets!$E:$E,1)</f>
        <v>0</v>
      </c>
      <c r="F96" s="3">
        <v>19.18582276280971</v>
      </c>
      <c r="H96" s="2"/>
      <c r="I96" t="s">
        <v>565</v>
      </c>
      <c r="L96">
        <v>0</v>
      </c>
      <c r="M96" s="3">
        <v>5.8823999999999996</v>
      </c>
      <c r="N96" t="s">
        <v>304</v>
      </c>
      <c r="O96" s="3">
        <v>4.3571248050309997E-4</v>
      </c>
      <c r="P96" s="3">
        <v>12.1</v>
      </c>
      <c r="T96" t="s">
        <v>564</v>
      </c>
      <c r="W96" s="3">
        <v>123.16961999999999</v>
      </c>
      <c r="X96" s="3">
        <v>-21.551445000000001</v>
      </c>
      <c r="Y96" s="3">
        <v>-9.7630834714785646</v>
      </c>
      <c r="Z96" s="3">
        <v>14.936817290541059</v>
      </c>
      <c r="AA96" s="3">
        <v>-7.0476522409789339</v>
      </c>
      <c r="AB96" t="s">
        <v>41</v>
      </c>
      <c r="AC96" t="s">
        <v>565</v>
      </c>
      <c r="AD96">
        <v>0</v>
      </c>
      <c r="AE96">
        <v>0</v>
      </c>
      <c r="AF96" s="3">
        <v>-2.9933749999999999</v>
      </c>
      <c r="AG96" s="3">
        <v>4.5796489999999999</v>
      </c>
      <c r="AH96" s="3">
        <v>-2.1608200000000002</v>
      </c>
      <c r="AI96" s="2" t="s">
        <v>566</v>
      </c>
      <c r="AJ96" s="2"/>
    </row>
    <row r="97" spans="1:36" x14ac:dyDescent="0.45">
      <c r="A97" t="s">
        <v>567</v>
      </c>
      <c r="B97" t="str">
        <f t="shared" si="2"/>
        <v>Unknown</v>
      </c>
      <c r="C97">
        <f t="shared" si="3"/>
        <v>0</v>
      </c>
      <c r="D97" s="2"/>
      <c r="E97">
        <f>COUNTIFS(Planets!$C:$C,I97,Planets!$E:$E,1)</f>
        <v>0</v>
      </c>
      <c r="F97" s="3">
        <v>19.325417692472481</v>
      </c>
      <c r="H97" s="2"/>
      <c r="I97" t="s">
        <v>568</v>
      </c>
      <c r="L97">
        <v>0</v>
      </c>
      <c r="M97" s="3">
        <v>5.9252000000000002</v>
      </c>
      <c r="N97" t="s">
        <v>167</v>
      </c>
      <c r="O97" s="3">
        <v>1.912493641844205E-2</v>
      </c>
      <c r="P97" s="3">
        <v>8.01</v>
      </c>
      <c r="Q97" t="s">
        <v>569</v>
      </c>
      <c r="R97" t="s">
        <v>570</v>
      </c>
      <c r="T97" t="s">
        <v>567</v>
      </c>
      <c r="W97" s="3">
        <v>224.36041499999999</v>
      </c>
      <c r="X97" s="3">
        <v>-21.411519999999999</v>
      </c>
      <c r="Y97" s="3">
        <v>-12.86371843031678</v>
      </c>
      <c r="Z97" s="3">
        <v>-12.57976668787658</v>
      </c>
      <c r="AA97" s="3">
        <v>-7.0553103927277228</v>
      </c>
      <c r="AB97" t="s">
        <v>60</v>
      </c>
      <c r="AC97" t="s">
        <v>547</v>
      </c>
      <c r="AD97">
        <v>0</v>
      </c>
      <c r="AE97">
        <v>0</v>
      </c>
      <c r="AF97" s="3">
        <v>-3.9440339999999998</v>
      </c>
      <c r="AG97" s="3">
        <v>-3.8569740000000001</v>
      </c>
      <c r="AH97" s="3">
        <v>-2.1631680000000002</v>
      </c>
      <c r="AI97" s="2" t="s">
        <v>552</v>
      </c>
      <c r="AJ97" s="2"/>
    </row>
    <row r="98" spans="1:36" x14ac:dyDescent="0.45">
      <c r="A98" t="s">
        <v>571</v>
      </c>
      <c r="B98" t="str">
        <f t="shared" si="2"/>
        <v>Unknown</v>
      </c>
      <c r="C98">
        <f t="shared" si="3"/>
        <v>0</v>
      </c>
      <c r="D98" s="2"/>
      <c r="E98">
        <f>COUNTIFS(Planets!$C:$C,I98,Planets!$E:$E,1)</f>
        <v>0</v>
      </c>
      <c r="F98" s="3">
        <v>19.33813779120343</v>
      </c>
      <c r="H98" s="2"/>
      <c r="I98" t="s">
        <v>572</v>
      </c>
      <c r="L98">
        <v>0</v>
      </c>
      <c r="M98" s="3">
        <v>5.9291</v>
      </c>
      <c r="N98" t="s">
        <v>573</v>
      </c>
      <c r="O98" s="3">
        <v>5.7809604740571754E-3</v>
      </c>
      <c r="P98" s="3">
        <v>9.31</v>
      </c>
      <c r="Q98" t="s">
        <v>574</v>
      </c>
      <c r="T98" t="s">
        <v>571</v>
      </c>
      <c r="W98" s="3">
        <v>233.05482000000001</v>
      </c>
      <c r="X98" s="3">
        <v>-41.275585999999997</v>
      </c>
      <c r="Y98" s="3">
        <v>-8.7357528513825908</v>
      </c>
      <c r="Z98" s="3">
        <v>-11.61544621839171</v>
      </c>
      <c r="AA98" s="3">
        <v>-12.757306650522921</v>
      </c>
      <c r="AB98" t="s">
        <v>41</v>
      </c>
      <c r="AC98" t="s">
        <v>572</v>
      </c>
      <c r="AD98">
        <v>0</v>
      </c>
      <c r="AE98">
        <v>0</v>
      </c>
      <c r="AF98" s="3">
        <v>-2.6783939999999999</v>
      </c>
      <c r="AG98" s="3">
        <v>-3.561312</v>
      </c>
      <c r="AH98" s="3">
        <v>-3.9114080000000002</v>
      </c>
      <c r="AI98" s="2" t="s">
        <v>575</v>
      </c>
      <c r="AJ98" s="2"/>
    </row>
    <row r="99" spans="1:36" x14ac:dyDescent="0.45">
      <c r="A99" t="s">
        <v>576</v>
      </c>
      <c r="B99" t="str">
        <f t="shared" si="2"/>
        <v>Unknown</v>
      </c>
      <c r="C99">
        <f t="shared" si="3"/>
        <v>0</v>
      </c>
      <c r="D99" s="2"/>
      <c r="E99">
        <f>COUNTIFS(Planets!$C:$C,I99,Planets!$E:$E,1)</f>
        <v>0</v>
      </c>
      <c r="F99" s="3">
        <v>19.35183635906753</v>
      </c>
      <c r="H99" s="2"/>
      <c r="I99" t="s">
        <v>577</v>
      </c>
      <c r="L99">
        <v>0</v>
      </c>
      <c r="M99" s="3">
        <v>5.9333</v>
      </c>
      <c r="N99" t="s">
        <v>578</v>
      </c>
      <c r="O99" s="3">
        <v>0.56806757410677189</v>
      </c>
      <c r="P99" s="3">
        <v>4.33</v>
      </c>
      <c r="Q99" t="s">
        <v>579</v>
      </c>
      <c r="R99" t="s">
        <v>580</v>
      </c>
      <c r="S99" t="s">
        <v>581</v>
      </c>
      <c r="T99" t="s">
        <v>582</v>
      </c>
      <c r="U99" t="s">
        <v>583</v>
      </c>
      <c r="V99" t="s">
        <v>576</v>
      </c>
      <c r="W99" s="3">
        <v>258.83753999999999</v>
      </c>
      <c r="X99" s="3">
        <v>-26.602829</v>
      </c>
      <c r="Y99" s="3">
        <v>-3.349776031084704</v>
      </c>
      <c r="Z99" s="3">
        <v>-16.975780624273501</v>
      </c>
      <c r="AA99" s="3">
        <v>-8.6658281855638979</v>
      </c>
      <c r="AB99" t="s">
        <v>41</v>
      </c>
      <c r="AC99" t="s">
        <v>577</v>
      </c>
      <c r="AD99">
        <v>0</v>
      </c>
      <c r="AE99">
        <v>0</v>
      </c>
      <c r="AF99" s="3">
        <v>-1.0270459999999999</v>
      </c>
      <c r="AG99" s="3">
        <v>-5.2047980000000003</v>
      </c>
      <c r="AH99" s="3">
        <v>-2.656955</v>
      </c>
      <c r="AI99" s="2" t="s">
        <v>584</v>
      </c>
      <c r="AJ99" s="2"/>
    </row>
    <row r="100" spans="1:36" x14ac:dyDescent="0.45">
      <c r="A100" t="s">
        <v>585</v>
      </c>
      <c r="B100" t="str">
        <f t="shared" si="2"/>
        <v>Unknown</v>
      </c>
      <c r="C100">
        <f t="shared" si="3"/>
        <v>0</v>
      </c>
      <c r="D100" s="2"/>
      <c r="E100">
        <f>COUNTIFS(Planets!$C:$C,I100,Planets!$E:$E,1)</f>
        <v>0</v>
      </c>
      <c r="F100" s="3">
        <v>19.415110696344581</v>
      </c>
      <c r="H100" s="2"/>
      <c r="I100" t="s">
        <v>586</v>
      </c>
      <c r="L100">
        <v>0</v>
      </c>
      <c r="M100" s="3">
        <v>5.9527000000000001</v>
      </c>
      <c r="N100" t="s">
        <v>587</v>
      </c>
      <c r="O100" s="3">
        <v>3.0591445594864101E-2</v>
      </c>
      <c r="P100" s="3">
        <v>7.51</v>
      </c>
      <c r="T100" t="s">
        <v>585</v>
      </c>
      <c r="W100" s="3">
        <v>12.255330000000001</v>
      </c>
      <c r="X100" s="3">
        <v>57.817365000000002</v>
      </c>
      <c r="Y100" s="3">
        <v>10.105616160920469</v>
      </c>
      <c r="Z100" s="3">
        <v>2.1975992727263129</v>
      </c>
      <c r="AA100" s="3">
        <v>16.433552169446969</v>
      </c>
      <c r="AB100" t="s">
        <v>60</v>
      </c>
      <c r="AC100" t="s">
        <v>588</v>
      </c>
      <c r="AD100">
        <v>0</v>
      </c>
      <c r="AE100">
        <v>0</v>
      </c>
      <c r="AF100" s="3">
        <v>3.0983960000000002</v>
      </c>
      <c r="AG100" s="3">
        <v>0.67378700000000002</v>
      </c>
      <c r="AH100" s="3">
        <v>5.0385499999999999</v>
      </c>
      <c r="AI100" s="2" t="s">
        <v>589</v>
      </c>
      <c r="AJ100" s="2"/>
    </row>
    <row r="101" spans="1:36" x14ac:dyDescent="0.45">
      <c r="A101" t="s">
        <v>590</v>
      </c>
      <c r="B101" t="str">
        <f t="shared" si="2"/>
        <v>Unknown</v>
      </c>
      <c r="C101">
        <f t="shared" si="3"/>
        <v>0</v>
      </c>
      <c r="D101" s="2"/>
      <c r="E101">
        <f>COUNTIFS(Planets!$C:$C,I101,Planets!$E:$E,1)</f>
        <v>0</v>
      </c>
      <c r="F101" s="3">
        <v>19.41641532185545</v>
      </c>
      <c r="H101" s="2"/>
      <c r="I101" t="s">
        <v>588</v>
      </c>
      <c r="L101">
        <v>0</v>
      </c>
      <c r="M101" s="3">
        <v>5.9531000000000001</v>
      </c>
      <c r="N101" t="s">
        <v>591</v>
      </c>
      <c r="O101" s="3">
        <v>1.2752637064597301</v>
      </c>
      <c r="P101" s="3">
        <v>3.46</v>
      </c>
      <c r="Q101" t="s">
        <v>592</v>
      </c>
      <c r="R101" t="s">
        <v>593</v>
      </c>
      <c r="S101" t="s">
        <v>594</v>
      </c>
      <c r="T101" t="s">
        <v>595</v>
      </c>
      <c r="U101" t="s">
        <v>596</v>
      </c>
      <c r="V101" t="s">
        <v>590</v>
      </c>
      <c r="W101" s="3">
        <v>12.273899999999999</v>
      </c>
      <c r="X101" s="3">
        <v>57.815187000000002</v>
      </c>
      <c r="Y101" s="3">
        <v>10.105831424129761</v>
      </c>
      <c r="Z101" s="3">
        <v>2.199034360788267</v>
      </c>
      <c r="AA101" s="3">
        <v>16.432984657349749</v>
      </c>
      <c r="AB101" t="s">
        <v>41</v>
      </c>
      <c r="AC101" t="s">
        <v>588</v>
      </c>
      <c r="AD101">
        <v>0</v>
      </c>
      <c r="AE101">
        <v>0</v>
      </c>
      <c r="AF101" s="3">
        <v>3.098462</v>
      </c>
      <c r="AG101" s="3">
        <v>0.67422700000000002</v>
      </c>
      <c r="AH101" s="3">
        <v>5.0383760000000004</v>
      </c>
      <c r="AI101" s="2" t="s">
        <v>589</v>
      </c>
      <c r="AJ101" s="2"/>
    </row>
    <row r="102" spans="1:36" x14ac:dyDescent="0.45">
      <c r="A102" t="s">
        <v>597</v>
      </c>
      <c r="B102" t="str">
        <f t="shared" si="2"/>
        <v>Unknown</v>
      </c>
      <c r="C102">
        <f t="shared" si="3"/>
        <v>0</v>
      </c>
      <c r="D102" s="2"/>
      <c r="E102">
        <f>COUNTIFS(Planets!$C:$C,I102,Planets!$E:$E,1)</f>
        <v>0</v>
      </c>
      <c r="F102" s="3">
        <v>19.427830795075529</v>
      </c>
      <c r="H102" s="2"/>
      <c r="I102" t="s">
        <v>598</v>
      </c>
      <c r="L102">
        <v>0</v>
      </c>
      <c r="M102" s="3">
        <v>5.9565999999999999</v>
      </c>
      <c r="N102" t="s">
        <v>283</v>
      </c>
      <c r="O102" s="3">
        <v>1.032761405761397E-3</v>
      </c>
      <c r="P102" s="3">
        <v>11.19</v>
      </c>
      <c r="Q102" t="s">
        <v>599</v>
      </c>
      <c r="T102" t="s">
        <v>597</v>
      </c>
      <c r="W102" s="3">
        <v>116.167395</v>
      </c>
      <c r="X102" s="3">
        <v>3.552454</v>
      </c>
      <c r="Y102" s="3">
        <v>-8.5514581901537436</v>
      </c>
      <c r="Z102" s="3">
        <v>17.40386087002673</v>
      </c>
      <c r="AA102" s="3">
        <v>1.203839928588722</v>
      </c>
      <c r="AB102" t="s">
        <v>41</v>
      </c>
      <c r="AC102" t="s">
        <v>598</v>
      </c>
      <c r="AD102">
        <v>0</v>
      </c>
      <c r="AE102">
        <v>0</v>
      </c>
      <c r="AF102" s="3">
        <v>-2.6218889999999999</v>
      </c>
      <c r="AG102" s="3">
        <v>5.3360479999999999</v>
      </c>
      <c r="AH102" s="3">
        <v>0.36909900000000001</v>
      </c>
      <c r="AI102" s="2" t="s">
        <v>600</v>
      </c>
      <c r="AJ102" s="2"/>
    </row>
    <row r="103" spans="1:36" x14ac:dyDescent="0.45">
      <c r="A103" t="s">
        <v>601</v>
      </c>
      <c r="B103" t="str">
        <f t="shared" si="2"/>
        <v>Unknown</v>
      </c>
      <c r="C103">
        <f t="shared" si="3"/>
        <v>0</v>
      </c>
      <c r="D103" s="2"/>
      <c r="E103">
        <f>COUNTIFS(Planets!$C:$C,I103,Planets!$E:$E,1)</f>
        <v>0</v>
      </c>
      <c r="F103" s="3">
        <v>19.473166531578158</v>
      </c>
      <c r="H103" s="2"/>
      <c r="I103" t="s">
        <v>602</v>
      </c>
      <c r="L103">
        <v>0</v>
      </c>
      <c r="M103" s="3">
        <v>5.9705000000000004</v>
      </c>
      <c r="N103" t="s">
        <v>167</v>
      </c>
      <c r="O103" s="3">
        <v>9.1201083935590926E-2</v>
      </c>
      <c r="P103" s="3">
        <v>6.33</v>
      </c>
      <c r="Q103" t="s">
        <v>603</v>
      </c>
      <c r="R103" t="s">
        <v>604</v>
      </c>
      <c r="T103" t="s">
        <v>601</v>
      </c>
      <c r="W103" s="3">
        <v>259.05581999999998</v>
      </c>
      <c r="X103" s="3">
        <v>-26.546147000000001</v>
      </c>
      <c r="Y103" s="3">
        <v>-3.307313732269761</v>
      </c>
      <c r="Z103" s="3">
        <v>-17.103363214544959</v>
      </c>
      <c r="AA103" s="3">
        <v>-8.7029154272740676</v>
      </c>
      <c r="AB103" t="s">
        <v>41</v>
      </c>
      <c r="AC103" t="s">
        <v>602</v>
      </c>
      <c r="AD103">
        <v>0</v>
      </c>
      <c r="AE103">
        <v>0</v>
      </c>
      <c r="AF103" s="3">
        <v>-1.014027</v>
      </c>
      <c r="AG103" s="3">
        <v>-5.2439150000000003</v>
      </c>
      <c r="AH103" s="3">
        <v>-2.668326</v>
      </c>
      <c r="AI103" s="2" t="s">
        <v>605</v>
      </c>
      <c r="AJ103" s="2"/>
    </row>
    <row r="104" spans="1:36" x14ac:dyDescent="0.45">
      <c r="A104" t="s">
        <v>606</v>
      </c>
      <c r="B104" t="str">
        <f t="shared" si="2"/>
        <v>Unknown</v>
      </c>
      <c r="C104">
        <f t="shared" si="3"/>
        <v>0</v>
      </c>
      <c r="D104" s="2"/>
      <c r="E104">
        <f>COUNTIFS(Planets!$C:$C,I104,Planets!$E:$E,1)</f>
        <v>0</v>
      </c>
      <c r="F104" s="3">
        <v>19.496323634396049</v>
      </c>
      <c r="H104" s="2"/>
      <c r="I104" t="s">
        <v>607</v>
      </c>
      <c r="L104">
        <v>0</v>
      </c>
      <c r="M104" s="3">
        <v>5.9775999999999998</v>
      </c>
      <c r="N104" t="s">
        <v>159</v>
      </c>
      <c r="O104" s="3">
        <v>5.877599636806001E-3</v>
      </c>
      <c r="P104" s="3">
        <v>9.31</v>
      </c>
      <c r="Q104" t="s">
        <v>608</v>
      </c>
      <c r="R104" t="s">
        <v>609</v>
      </c>
      <c r="T104" t="s">
        <v>606</v>
      </c>
      <c r="W104" s="3">
        <v>258.032535</v>
      </c>
      <c r="X104" s="3">
        <v>45.665973999999999</v>
      </c>
      <c r="Y104" s="3">
        <v>-2.82498389621091</v>
      </c>
      <c r="Z104" s="3">
        <v>-13.32810314247366</v>
      </c>
      <c r="AA104" s="3">
        <v>13.94466263578183</v>
      </c>
      <c r="AB104" t="s">
        <v>41</v>
      </c>
      <c r="AC104" t="s">
        <v>607</v>
      </c>
      <c r="AD104">
        <v>0</v>
      </c>
      <c r="AE104">
        <v>0</v>
      </c>
      <c r="AF104" s="3">
        <v>-0.86614400000000002</v>
      </c>
      <c r="AG104" s="3">
        <v>-4.0864149999999997</v>
      </c>
      <c r="AH104" s="3">
        <v>4.2754529999999997</v>
      </c>
      <c r="AI104" s="2" t="s">
        <v>610</v>
      </c>
      <c r="AJ104" s="2"/>
    </row>
    <row r="105" spans="1:36" x14ac:dyDescent="0.45">
      <c r="A105" t="s">
        <v>611</v>
      </c>
      <c r="B105" t="str">
        <f t="shared" si="2"/>
        <v>Unknown</v>
      </c>
      <c r="C105">
        <f t="shared" si="3"/>
        <v>0</v>
      </c>
      <c r="D105" s="2"/>
      <c r="E105">
        <f>COUNTIFS(Planets!$C:$C,I105,Planets!$E:$E,1)</f>
        <v>0</v>
      </c>
      <c r="F105" s="3">
        <v>19.496323634396049</v>
      </c>
      <c r="H105" s="2"/>
      <c r="I105" t="s">
        <v>612</v>
      </c>
      <c r="L105">
        <v>0</v>
      </c>
      <c r="M105" s="3">
        <v>5.9775999999999998</v>
      </c>
      <c r="N105" t="s">
        <v>88</v>
      </c>
      <c r="O105" s="3">
        <v>7.965260797837782E-3</v>
      </c>
      <c r="P105" s="3">
        <v>8.98</v>
      </c>
      <c r="Q105" t="s">
        <v>613</v>
      </c>
      <c r="T105" t="s">
        <v>611</v>
      </c>
      <c r="W105" s="3">
        <v>357.30219</v>
      </c>
      <c r="X105" s="3">
        <v>2.4012229999999999</v>
      </c>
      <c r="Y105" s="3">
        <v>19.455537779362569</v>
      </c>
      <c r="Z105" s="3">
        <v>-0.91675056179489067</v>
      </c>
      <c r="AA105" s="3">
        <v>0.81675101638693715</v>
      </c>
      <c r="AB105" t="s">
        <v>41</v>
      </c>
      <c r="AC105" t="s">
        <v>612</v>
      </c>
      <c r="AD105">
        <v>0</v>
      </c>
      <c r="AE105">
        <v>0</v>
      </c>
      <c r="AF105" s="3">
        <v>5.9650949999999998</v>
      </c>
      <c r="AG105" s="3">
        <v>-0.28107700000000002</v>
      </c>
      <c r="AH105" s="3">
        <v>0.250417</v>
      </c>
      <c r="AI105" s="2" t="s">
        <v>614</v>
      </c>
      <c r="AJ105" s="2"/>
    </row>
    <row r="106" spans="1:36" x14ac:dyDescent="0.45">
      <c r="A106" t="s">
        <v>615</v>
      </c>
      <c r="B106" t="str">
        <f t="shared" si="2"/>
        <v>Unknown</v>
      </c>
      <c r="C106">
        <f t="shared" si="3"/>
        <v>0</v>
      </c>
      <c r="D106" s="2"/>
      <c r="E106">
        <f>COUNTIFS(Planets!$C:$C,I106,Planets!$E:$E,1)</f>
        <v>0</v>
      </c>
      <c r="F106" s="3">
        <v>19.521111519102519</v>
      </c>
      <c r="H106" s="2"/>
      <c r="I106" t="s">
        <v>616</v>
      </c>
      <c r="L106">
        <v>0</v>
      </c>
      <c r="M106" s="3">
        <v>5.9851999999999999</v>
      </c>
      <c r="N106" t="s">
        <v>617</v>
      </c>
      <c r="O106" s="3">
        <v>0.29241523778433348</v>
      </c>
      <c r="P106" s="3">
        <v>5.07</v>
      </c>
      <c r="R106" t="s">
        <v>618</v>
      </c>
      <c r="S106" t="s">
        <v>619</v>
      </c>
      <c r="T106" t="s">
        <v>620</v>
      </c>
      <c r="U106" t="s">
        <v>583</v>
      </c>
      <c r="V106" t="s">
        <v>615</v>
      </c>
      <c r="W106" s="3">
        <v>258.83600999999999</v>
      </c>
      <c r="X106" s="3">
        <v>-26.603214999999999</v>
      </c>
      <c r="Y106" s="3">
        <v>-3.379740017505541</v>
      </c>
      <c r="Z106" s="3">
        <v>-17.12412959111419</v>
      </c>
      <c r="AA106" s="3">
        <v>-8.7417704365514641</v>
      </c>
      <c r="AB106" t="s">
        <v>60</v>
      </c>
      <c r="AC106" t="s">
        <v>577</v>
      </c>
      <c r="AD106">
        <v>0</v>
      </c>
      <c r="AE106">
        <v>0</v>
      </c>
      <c r="AF106" s="3">
        <v>-1.036233</v>
      </c>
      <c r="AG106" s="3">
        <v>-5.2502820000000003</v>
      </c>
      <c r="AH106" s="3">
        <v>-2.6802389999999998</v>
      </c>
      <c r="AI106" s="2" t="s">
        <v>584</v>
      </c>
      <c r="AJ106" s="2"/>
    </row>
    <row r="107" spans="1:36" x14ac:dyDescent="0.45">
      <c r="A107" t="s">
        <v>621</v>
      </c>
      <c r="B107" t="str">
        <f t="shared" si="2"/>
        <v>Unknown</v>
      </c>
      <c r="C107">
        <f t="shared" si="3"/>
        <v>0</v>
      </c>
      <c r="D107" s="2"/>
      <c r="E107">
        <f>COUNTIFS(Planets!$C:$C,I107,Planets!$E:$E,1)</f>
        <v>0</v>
      </c>
      <c r="F107" s="3">
        <v>19.618306119662108</v>
      </c>
      <c r="H107" s="2"/>
      <c r="I107" t="s">
        <v>622</v>
      </c>
      <c r="L107">
        <v>0</v>
      </c>
      <c r="M107" s="3">
        <v>6.0149999999999997</v>
      </c>
      <c r="N107" t="s">
        <v>126</v>
      </c>
      <c r="O107" s="3">
        <v>0.23463889244641301</v>
      </c>
      <c r="P107" s="3">
        <v>5.32</v>
      </c>
      <c r="Q107" t="s">
        <v>623</v>
      </c>
      <c r="R107" t="s">
        <v>624</v>
      </c>
      <c r="S107" t="s">
        <v>625</v>
      </c>
      <c r="T107" t="s">
        <v>621</v>
      </c>
      <c r="W107" s="3">
        <v>302.79948000000002</v>
      </c>
      <c r="X107" s="3">
        <v>-36.101211999999997</v>
      </c>
      <c r="Y107" s="3">
        <v>8.5849772810916942</v>
      </c>
      <c r="Z107" s="3">
        <v>-13.32141041360291</v>
      </c>
      <c r="AA107" s="3">
        <v>-11.55713598118351</v>
      </c>
      <c r="AB107" t="s">
        <v>41</v>
      </c>
      <c r="AC107" t="s">
        <v>622</v>
      </c>
      <c r="AD107">
        <v>0</v>
      </c>
      <c r="AE107">
        <v>0</v>
      </c>
      <c r="AF107" s="3">
        <v>2.6321659999999998</v>
      </c>
      <c r="AG107" s="3">
        <v>-4.0843629999999997</v>
      </c>
      <c r="AH107" s="3">
        <v>-3.543434</v>
      </c>
      <c r="AI107" s="2" t="s">
        <v>626</v>
      </c>
      <c r="AJ107" s="2"/>
    </row>
    <row r="108" spans="1:36" x14ac:dyDescent="0.45">
      <c r="A108" t="s">
        <v>627</v>
      </c>
      <c r="B108" t="str">
        <f t="shared" si="2"/>
        <v>Yes</v>
      </c>
      <c r="C108">
        <f t="shared" si="3"/>
        <v>4</v>
      </c>
      <c r="D108" s="2"/>
      <c r="E108">
        <f>COUNTIFS(Planets!$C:$C,I108,Planets!$E:$E,1)</f>
        <v>4</v>
      </c>
      <c r="F108" s="3">
        <v>19.71093453093367</v>
      </c>
      <c r="G108" t="s">
        <v>628</v>
      </c>
      <c r="H108" s="2"/>
      <c r="I108" t="s">
        <v>629</v>
      </c>
      <c r="J108" t="s">
        <v>630</v>
      </c>
      <c r="K108" t="s">
        <v>73</v>
      </c>
      <c r="L108">
        <v>1</v>
      </c>
      <c r="M108" s="3">
        <v>6.0434000000000001</v>
      </c>
      <c r="N108" t="s">
        <v>226</v>
      </c>
      <c r="O108" s="3">
        <v>0.62863708841304944</v>
      </c>
      <c r="P108" s="3">
        <v>4.26</v>
      </c>
      <c r="Q108" t="s">
        <v>631</v>
      </c>
      <c r="R108" t="s">
        <v>632</v>
      </c>
      <c r="S108" t="s">
        <v>633</v>
      </c>
      <c r="T108" t="s">
        <v>634</v>
      </c>
      <c r="V108" t="s">
        <v>627</v>
      </c>
      <c r="W108" s="3">
        <v>49.97916</v>
      </c>
      <c r="X108" s="3">
        <v>-43.069783999999999</v>
      </c>
      <c r="Y108" s="3">
        <v>9.2603558155573094</v>
      </c>
      <c r="Z108" s="3">
        <v>11.0289746509279</v>
      </c>
      <c r="AA108" s="3">
        <v>-13.462101228694801</v>
      </c>
      <c r="AB108" t="s">
        <v>41</v>
      </c>
      <c r="AC108" t="s">
        <v>629</v>
      </c>
      <c r="AD108">
        <v>4</v>
      </c>
      <c r="AE108">
        <v>0</v>
      </c>
      <c r="AF108" s="3">
        <v>2.8392379999999999</v>
      </c>
      <c r="AG108" s="3">
        <v>3.3814989999999998</v>
      </c>
      <c r="AH108" s="3">
        <v>-4.1274990000000003</v>
      </c>
      <c r="AI108" s="2" t="s">
        <v>635</v>
      </c>
      <c r="AJ108" s="2"/>
    </row>
    <row r="109" spans="1:36" x14ac:dyDescent="0.45">
      <c r="A109" t="s">
        <v>636</v>
      </c>
      <c r="B109" t="str">
        <f t="shared" si="2"/>
        <v>Unknown</v>
      </c>
      <c r="C109">
        <f t="shared" si="3"/>
        <v>0</v>
      </c>
      <c r="D109" s="2"/>
      <c r="E109">
        <f>COUNTIFS(Planets!$C:$C,I109,Planets!$E:$E,1)</f>
        <v>0</v>
      </c>
      <c r="F109" s="3">
        <v>19.738331666661871</v>
      </c>
      <c r="H109" s="2"/>
      <c r="I109" t="s">
        <v>637</v>
      </c>
      <c r="L109">
        <v>0</v>
      </c>
      <c r="M109" s="3">
        <v>6.0518000000000001</v>
      </c>
      <c r="N109" t="s">
        <v>638</v>
      </c>
      <c r="O109" s="3">
        <v>8.0094003053330005E-4</v>
      </c>
      <c r="P109" s="3">
        <v>11.5</v>
      </c>
      <c r="T109" t="s">
        <v>636</v>
      </c>
      <c r="W109" s="3">
        <v>302.79868499999998</v>
      </c>
      <c r="X109" s="3">
        <v>-36.102643</v>
      </c>
      <c r="Y109" s="3">
        <v>8.6391192397926737</v>
      </c>
      <c r="Z109" s="3">
        <v>-13.40519020234701</v>
      </c>
      <c r="AA109" s="3">
        <v>-11.630488550532</v>
      </c>
      <c r="AB109" t="s">
        <v>60</v>
      </c>
      <c r="AC109" t="s">
        <v>622</v>
      </c>
      <c r="AD109">
        <v>0</v>
      </c>
      <c r="AE109">
        <v>0</v>
      </c>
      <c r="AF109" s="3">
        <v>2.6487660000000002</v>
      </c>
      <c r="AG109" s="3">
        <v>-4.1100500000000002</v>
      </c>
      <c r="AH109" s="3">
        <v>-3.5659239999999999</v>
      </c>
      <c r="AI109" s="2" t="s">
        <v>626</v>
      </c>
      <c r="AJ109" s="2"/>
    </row>
    <row r="110" spans="1:36" x14ac:dyDescent="0.45">
      <c r="A110" t="s">
        <v>639</v>
      </c>
      <c r="B110" t="str">
        <f t="shared" si="2"/>
        <v>Yes</v>
      </c>
      <c r="C110">
        <f t="shared" si="3"/>
        <v>1</v>
      </c>
      <c r="D110" s="2"/>
      <c r="E110">
        <f>COUNTIFS(Planets!$C:$C,I110,Planets!$E:$E,1)</f>
        <v>1</v>
      </c>
      <c r="F110" s="3">
        <v>19.76833805341181</v>
      </c>
      <c r="G110" t="s">
        <v>640</v>
      </c>
      <c r="H110" s="2"/>
      <c r="I110" t="s">
        <v>641</v>
      </c>
      <c r="J110" t="s">
        <v>642</v>
      </c>
      <c r="K110" t="s">
        <v>73</v>
      </c>
      <c r="L110">
        <v>0</v>
      </c>
      <c r="M110" s="3">
        <v>6.0609999999999999</v>
      </c>
      <c r="N110" t="s">
        <v>304</v>
      </c>
      <c r="O110" s="3">
        <v>9.4885532672779995E-4</v>
      </c>
      <c r="P110" s="3">
        <v>11.32</v>
      </c>
      <c r="Q110" t="s">
        <v>643</v>
      </c>
      <c r="T110" t="s">
        <v>639</v>
      </c>
      <c r="W110" s="3">
        <v>218.57006999999999</v>
      </c>
      <c r="X110" s="3">
        <v>-12.519555</v>
      </c>
      <c r="Y110" s="3">
        <v>-15.08850283712578</v>
      </c>
      <c r="Z110" s="3">
        <v>-12.032081636850849</v>
      </c>
      <c r="AA110" s="3">
        <v>-4.285293630853416</v>
      </c>
      <c r="AB110" t="s">
        <v>41</v>
      </c>
      <c r="AC110" t="s">
        <v>641</v>
      </c>
      <c r="AD110">
        <v>1</v>
      </c>
      <c r="AE110">
        <v>0</v>
      </c>
      <c r="AF110" s="3">
        <v>-4.6261559999999999</v>
      </c>
      <c r="AG110" s="3">
        <v>-3.6890529999999999</v>
      </c>
      <c r="AH110" s="3">
        <v>-1.313877</v>
      </c>
      <c r="AI110" s="2" t="s">
        <v>644</v>
      </c>
      <c r="AJ110" s="2"/>
    </row>
    <row r="111" spans="1:36" x14ac:dyDescent="0.45">
      <c r="A111" t="s">
        <v>645</v>
      </c>
      <c r="B111" t="str">
        <f t="shared" si="2"/>
        <v>Unknown</v>
      </c>
      <c r="C111">
        <f t="shared" si="3"/>
        <v>0</v>
      </c>
      <c r="D111" s="2"/>
      <c r="E111">
        <f>COUNTIFS(Planets!$C:$C,I111,Planets!$E:$E,1)</f>
        <v>0</v>
      </c>
      <c r="F111" s="3">
        <v>19.92293617644955</v>
      </c>
      <c r="H111" s="2"/>
      <c r="I111" t="s">
        <v>646</v>
      </c>
      <c r="L111">
        <v>0</v>
      </c>
      <c r="M111" s="3">
        <v>6.1083999999999996</v>
      </c>
      <c r="N111" t="s">
        <v>647</v>
      </c>
      <c r="O111" s="3">
        <v>1.23594743344451</v>
      </c>
      <c r="P111" s="3">
        <v>3.55</v>
      </c>
      <c r="Q111" t="s">
        <v>648</v>
      </c>
      <c r="R111" t="s">
        <v>649</v>
      </c>
      <c r="S111" t="s">
        <v>650</v>
      </c>
      <c r="T111" t="s">
        <v>645</v>
      </c>
      <c r="U111" t="s">
        <v>651</v>
      </c>
      <c r="W111" s="3">
        <v>302.17735499999998</v>
      </c>
      <c r="X111" s="3">
        <v>-66.182068000000001</v>
      </c>
      <c r="Y111" s="3">
        <v>4.2849511666568132</v>
      </c>
      <c r="Z111" s="3">
        <v>-6.8092090979215536</v>
      </c>
      <c r="AA111" s="3">
        <v>-18.22558903273762</v>
      </c>
      <c r="AB111" t="s">
        <v>41</v>
      </c>
      <c r="AC111" t="s">
        <v>646</v>
      </c>
      <c r="AD111">
        <v>0</v>
      </c>
      <c r="AE111">
        <v>0</v>
      </c>
      <c r="AF111" s="3">
        <v>1.3137719999999999</v>
      </c>
      <c r="AG111" s="3">
        <v>-2.0877129999999999</v>
      </c>
      <c r="AH111" s="3">
        <v>-5.5879909999999997</v>
      </c>
      <c r="AI111" s="2" t="s">
        <v>652</v>
      </c>
      <c r="AJ111" s="2"/>
    </row>
    <row r="112" spans="1:36" x14ac:dyDescent="0.45">
      <c r="A112" t="s">
        <v>653</v>
      </c>
      <c r="B112" t="str">
        <f t="shared" si="2"/>
        <v>Yes</v>
      </c>
      <c r="C112">
        <f t="shared" si="3"/>
        <v>2</v>
      </c>
      <c r="D112" s="2"/>
      <c r="E112">
        <f>COUNTIFS(Planets!$C:$C,I112,Planets!$E:$E,1)</f>
        <v>2</v>
      </c>
      <c r="F112" s="3">
        <v>20.009693772922201</v>
      </c>
      <c r="G112" t="s">
        <v>654</v>
      </c>
      <c r="H112" s="2"/>
      <c r="I112" t="s">
        <v>655</v>
      </c>
      <c r="J112" t="s">
        <v>653</v>
      </c>
      <c r="K112" t="s">
        <v>73</v>
      </c>
      <c r="L112">
        <v>0</v>
      </c>
      <c r="M112" s="3">
        <v>6.1349999999999998</v>
      </c>
      <c r="N112" t="s">
        <v>332</v>
      </c>
      <c r="O112" s="3">
        <v>4.738053933388E-4</v>
      </c>
      <c r="P112" s="3">
        <v>12.1</v>
      </c>
      <c r="T112" t="s">
        <v>653</v>
      </c>
      <c r="W112" s="3">
        <v>75.487170000000006</v>
      </c>
      <c r="X112" s="3">
        <v>-6.9450510000000003</v>
      </c>
      <c r="Y112" s="3">
        <v>4.9775898966311978</v>
      </c>
      <c r="Z112" s="3">
        <v>19.229074360058721</v>
      </c>
      <c r="AA112" s="3">
        <v>-2.419516072124785</v>
      </c>
      <c r="AB112" t="s">
        <v>41</v>
      </c>
      <c r="AC112" t="s">
        <v>655</v>
      </c>
      <c r="AD112">
        <v>2</v>
      </c>
      <c r="AE112">
        <v>0</v>
      </c>
      <c r="AF112" s="3">
        <v>1.5261359999999999</v>
      </c>
      <c r="AG112" s="3">
        <v>5.8956609999999996</v>
      </c>
      <c r="AH112" s="3">
        <v>-0.74182700000000001</v>
      </c>
      <c r="AI112" s="2" t="s">
        <v>656</v>
      </c>
      <c r="AJ112" s="2"/>
    </row>
    <row r="113" spans="1:36" x14ac:dyDescent="0.45">
      <c r="A113" t="s">
        <v>657</v>
      </c>
      <c r="B113" t="str">
        <f t="shared" si="2"/>
        <v>Unknown</v>
      </c>
      <c r="C113">
        <f t="shared" si="3"/>
        <v>0</v>
      </c>
      <c r="D113" s="2"/>
      <c r="E113">
        <f>COUNTIFS(Planets!$C:$C,I113,Planets!$E:$E,1)</f>
        <v>0</v>
      </c>
      <c r="F113" s="3">
        <v>20.034155501250961</v>
      </c>
      <c r="H113" s="2"/>
      <c r="I113" t="s">
        <v>658</v>
      </c>
      <c r="L113">
        <v>0</v>
      </c>
      <c r="M113" s="3">
        <v>6.1425000000000001</v>
      </c>
      <c r="N113" t="s">
        <v>659</v>
      </c>
      <c r="O113" s="3">
        <v>7.1911773578300006E-5</v>
      </c>
      <c r="P113" s="3">
        <v>14.15</v>
      </c>
      <c r="T113" t="s">
        <v>657</v>
      </c>
      <c r="W113" s="3">
        <v>267.06281999999999</v>
      </c>
      <c r="X113" s="3">
        <v>70.874972</v>
      </c>
      <c r="Y113" s="3">
        <v>-0.34039636516785632</v>
      </c>
      <c r="Z113" s="3">
        <v>-6.5549734630551297</v>
      </c>
      <c r="AA113" s="3">
        <v>18.928387533877881</v>
      </c>
      <c r="AB113" t="s">
        <v>41</v>
      </c>
      <c r="AC113" t="s">
        <v>658</v>
      </c>
      <c r="AD113">
        <v>0</v>
      </c>
      <c r="AE113">
        <v>0</v>
      </c>
      <c r="AF113" s="3">
        <v>-0.104366</v>
      </c>
      <c r="AG113" s="3">
        <v>-2.0097640000000001</v>
      </c>
      <c r="AH113" s="3">
        <v>5.8034699999999999</v>
      </c>
      <c r="AI113" s="2" t="s">
        <v>660</v>
      </c>
      <c r="AJ113" s="2"/>
    </row>
    <row r="114" spans="1:36" x14ac:dyDescent="0.45">
      <c r="A114" t="s">
        <v>661</v>
      </c>
      <c r="B114" t="str">
        <f t="shared" si="2"/>
        <v>Unknown</v>
      </c>
      <c r="C114">
        <f t="shared" si="3"/>
        <v>0</v>
      </c>
      <c r="D114" s="2"/>
      <c r="E114">
        <f>COUNTIFS(Planets!$C:$C,I114,Planets!$E:$E,1)</f>
        <v>0</v>
      </c>
      <c r="F114" s="3">
        <v>20.13298088369913</v>
      </c>
      <c r="H114" s="2"/>
      <c r="I114" t="s">
        <v>662</v>
      </c>
      <c r="L114">
        <v>0</v>
      </c>
      <c r="M114" s="3">
        <v>6.1727999999999996</v>
      </c>
      <c r="N114" t="s">
        <v>332</v>
      </c>
      <c r="O114" s="3">
        <v>1.7092280052340001E-4</v>
      </c>
      <c r="P114" s="3">
        <v>13.22</v>
      </c>
      <c r="T114" t="s">
        <v>661</v>
      </c>
      <c r="W114" s="3">
        <v>114.104415</v>
      </c>
      <c r="X114" s="3">
        <v>7.0803320000000003</v>
      </c>
      <c r="Y114" s="3">
        <v>-8.1596302257837348</v>
      </c>
      <c r="Z114" s="3">
        <v>18.23729478513388</v>
      </c>
      <c r="AA114" s="3">
        <v>2.4816064617507219</v>
      </c>
      <c r="AB114" t="s">
        <v>41</v>
      </c>
      <c r="AC114" t="s">
        <v>662</v>
      </c>
      <c r="AD114">
        <v>0</v>
      </c>
      <c r="AE114">
        <v>0</v>
      </c>
      <c r="AF114" s="3">
        <v>-2.501754</v>
      </c>
      <c r="AG114" s="3">
        <v>5.5915800000000004</v>
      </c>
      <c r="AH114" s="3">
        <v>0.76086399999999998</v>
      </c>
      <c r="AI114" s="2" t="s">
        <v>663</v>
      </c>
      <c r="AJ114" s="2"/>
    </row>
    <row r="115" spans="1:36" x14ac:dyDescent="0.45">
      <c r="A115" t="s">
        <v>664</v>
      </c>
      <c r="B115" t="str">
        <f t="shared" si="2"/>
        <v>Yes</v>
      </c>
      <c r="C115">
        <f t="shared" si="3"/>
        <v>1</v>
      </c>
      <c r="D115" s="2"/>
      <c r="E115">
        <f>COUNTIFS(Planets!$C:$C,I115,Planets!$E:$E,1)</f>
        <v>1</v>
      </c>
      <c r="F115" s="3">
        <v>20.162987270449069</v>
      </c>
      <c r="G115" t="s">
        <v>665</v>
      </c>
      <c r="H115" s="2"/>
      <c r="I115" t="s">
        <v>666</v>
      </c>
      <c r="J115" t="s">
        <v>667</v>
      </c>
      <c r="K115" t="s">
        <v>73</v>
      </c>
      <c r="L115">
        <v>0</v>
      </c>
      <c r="M115" s="3">
        <v>6.1820000000000004</v>
      </c>
      <c r="N115" t="s">
        <v>668</v>
      </c>
      <c r="O115" s="3">
        <v>3.179801427691524E-3</v>
      </c>
      <c r="P115" s="3">
        <v>10.050000000000001</v>
      </c>
      <c r="Q115" t="s">
        <v>669</v>
      </c>
      <c r="T115" t="s">
        <v>664</v>
      </c>
      <c r="W115" s="3">
        <v>352.96732500000002</v>
      </c>
      <c r="X115" s="3">
        <v>19.937259000000001</v>
      </c>
      <c r="Y115" s="3">
        <v>18.811982322670779</v>
      </c>
      <c r="Z115" s="3">
        <v>-2.3206841665490581</v>
      </c>
      <c r="AA115" s="3">
        <v>6.8754057963429442</v>
      </c>
      <c r="AB115" t="s">
        <v>41</v>
      </c>
      <c r="AC115" t="s">
        <v>666</v>
      </c>
      <c r="AD115">
        <v>1</v>
      </c>
      <c r="AE115">
        <v>0</v>
      </c>
      <c r="AF115" s="3">
        <v>5.7677800000000001</v>
      </c>
      <c r="AG115" s="3">
        <v>-0.71152499999999996</v>
      </c>
      <c r="AH115" s="3">
        <v>2.108009</v>
      </c>
      <c r="AI115" s="2" t="s">
        <v>670</v>
      </c>
      <c r="AJ115" s="2"/>
    </row>
    <row r="116" spans="1:36" x14ac:dyDescent="0.45">
      <c r="A116" t="s">
        <v>671</v>
      </c>
      <c r="B116" t="str">
        <f t="shared" si="2"/>
        <v>Unknown</v>
      </c>
      <c r="C116">
        <f t="shared" si="3"/>
        <v>0</v>
      </c>
      <c r="D116" s="2"/>
      <c r="E116">
        <f>COUNTIFS(Planets!$C:$C,I116,Planets!$E:$E,1)</f>
        <v>0</v>
      </c>
      <c r="F116" s="3">
        <v>20.206692225063119</v>
      </c>
      <c r="H116" s="2"/>
      <c r="I116" t="s">
        <v>507</v>
      </c>
      <c r="L116">
        <v>0</v>
      </c>
      <c r="M116" s="3">
        <v>6.1954000000000002</v>
      </c>
      <c r="N116" t="s">
        <v>672</v>
      </c>
      <c r="O116" s="3">
        <v>8.2413811501300133E-3</v>
      </c>
      <c r="P116" s="3">
        <v>9.02</v>
      </c>
      <c r="Q116" t="s">
        <v>673</v>
      </c>
      <c r="R116" t="s">
        <v>674</v>
      </c>
      <c r="T116" t="s">
        <v>671</v>
      </c>
      <c r="W116" s="3">
        <v>253.86984000000001</v>
      </c>
      <c r="X116" s="3">
        <v>-8.3363440000000004</v>
      </c>
      <c r="Y116" s="3">
        <v>-5.5546224985238828</v>
      </c>
      <c r="Z116" s="3">
        <v>-19.206448892136521</v>
      </c>
      <c r="AA116" s="3">
        <v>-2.929693139713093</v>
      </c>
      <c r="AB116" t="s">
        <v>41</v>
      </c>
      <c r="AC116" t="s">
        <v>507</v>
      </c>
      <c r="AD116">
        <v>0</v>
      </c>
      <c r="AE116">
        <v>0</v>
      </c>
      <c r="AF116" s="3">
        <v>-1.703055</v>
      </c>
      <c r="AG116" s="3">
        <v>-5.8887239999999998</v>
      </c>
      <c r="AH116" s="3">
        <v>-0.89824800000000005</v>
      </c>
      <c r="AI116" s="2" t="s">
        <v>508</v>
      </c>
      <c r="AJ116" s="2"/>
    </row>
    <row r="117" spans="1:36" x14ac:dyDescent="0.45">
      <c r="A117" t="s">
        <v>675</v>
      </c>
      <c r="B117" t="str">
        <f t="shared" si="2"/>
        <v>Unknown</v>
      </c>
      <c r="C117">
        <f t="shared" si="3"/>
        <v>0</v>
      </c>
      <c r="D117" s="2"/>
      <c r="E117">
        <f>COUNTIFS(Planets!$C:$C,I117,Planets!$E:$E,1)</f>
        <v>0</v>
      </c>
      <c r="F117" s="3">
        <v>20.215498447261471</v>
      </c>
      <c r="H117" s="2"/>
      <c r="I117" t="s">
        <v>676</v>
      </c>
      <c r="L117">
        <v>0</v>
      </c>
      <c r="M117" s="3">
        <v>6.1981000000000002</v>
      </c>
      <c r="N117" t="s">
        <v>257</v>
      </c>
      <c r="O117" s="3">
        <v>2.1697015538008509E-2</v>
      </c>
      <c r="P117" s="3">
        <v>7.97</v>
      </c>
      <c r="Q117" t="s">
        <v>677</v>
      </c>
      <c r="R117" t="s">
        <v>678</v>
      </c>
      <c r="T117" t="s">
        <v>675</v>
      </c>
      <c r="W117" s="3">
        <v>303.47169000000002</v>
      </c>
      <c r="X117" s="3">
        <v>-45.164019000000003</v>
      </c>
      <c r="Y117" s="3">
        <v>7.8609916616549542</v>
      </c>
      <c r="Z117" s="3">
        <v>-11.88906532678584</v>
      </c>
      <c r="AA117" s="3">
        <v>-14.33473261727595</v>
      </c>
      <c r="AB117" t="s">
        <v>41</v>
      </c>
      <c r="AC117" t="s">
        <v>676</v>
      </c>
      <c r="AD117">
        <v>0</v>
      </c>
      <c r="AE117">
        <v>0</v>
      </c>
      <c r="AF117" s="3">
        <v>2.4101910000000002</v>
      </c>
      <c r="AG117" s="3">
        <v>-3.6452040000000001</v>
      </c>
      <c r="AH117" s="3">
        <v>-4.3950490000000002</v>
      </c>
      <c r="AI117" s="2" t="s">
        <v>679</v>
      </c>
      <c r="AJ117" s="2"/>
    </row>
    <row r="118" spans="1:36" x14ac:dyDescent="0.45">
      <c r="A118" t="s">
        <v>680</v>
      </c>
      <c r="B118" t="str">
        <f t="shared" si="2"/>
        <v>Unknown</v>
      </c>
      <c r="C118">
        <f t="shared" si="3"/>
        <v>0</v>
      </c>
      <c r="D118" s="2"/>
      <c r="E118">
        <f>COUNTIFS(Planets!$C:$C,I118,Planets!$E:$E,1)</f>
        <v>0</v>
      </c>
      <c r="F118" s="3">
        <v>20.258224932742358</v>
      </c>
      <c r="H118" s="2"/>
      <c r="I118" t="s">
        <v>681</v>
      </c>
      <c r="L118">
        <v>0</v>
      </c>
      <c r="M118" s="3">
        <v>6.2111999999999998</v>
      </c>
      <c r="N118" t="s">
        <v>332</v>
      </c>
      <c r="O118" s="3">
        <v>2.5965697902739998E-4</v>
      </c>
      <c r="P118" s="3">
        <v>12.78</v>
      </c>
      <c r="T118" t="s">
        <v>680</v>
      </c>
      <c r="W118" s="3">
        <v>145.72288499999999</v>
      </c>
      <c r="X118" s="3">
        <v>-68.885516999999993</v>
      </c>
      <c r="Y118" s="3">
        <v>-6.0290854427522067</v>
      </c>
      <c r="Z118" s="3">
        <v>4.1094692507538726</v>
      </c>
      <c r="AA118" s="3">
        <v>-18.894871704503711</v>
      </c>
      <c r="AB118" t="s">
        <v>41</v>
      </c>
      <c r="AC118" t="s">
        <v>681</v>
      </c>
      <c r="AD118">
        <v>0</v>
      </c>
      <c r="AE118">
        <v>0</v>
      </c>
      <c r="AF118" s="3">
        <v>-1.8485259999999999</v>
      </c>
      <c r="AG118" s="3">
        <v>1.2599689999999999</v>
      </c>
      <c r="AH118" s="3">
        <v>-5.7931939999999997</v>
      </c>
      <c r="AI118" s="2" t="s">
        <v>682</v>
      </c>
      <c r="AJ118" s="2"/>
    </row>
    <row r="119" spans="1:36" x14ac:dyDescent="0.45">
      <c r="A119" t="s">
        <v>683</v>
      </c>
      <c r="B119" t="str">
        <f t="shared" si="2"/>
        <v>Unknown</v>
      </c>
      <c r="C119">
        <f t="shared" si="3"/>
        <v>0</v>
      </c>
      <c r="D119" s="2"/>
      <c r="E119">
        <f>COUNTIFS(Planets!$C:$C,I119,Planets!$E:$E,1)</f>
        <v>0</v>
      </c>
      <c r="F119" s="3">
        <v>20.258224932742358</v>
      </c>
      <c r="H119" s="2"/>
      <c r="I119" t="s">
        <v>684</v>
      </c>
      <c r="L119">
        <v>0</v>
      </c>
      <c r="M119" s="3">
        <v>6.2111999999999998</v>
      </c>
      <c r="N119" t="s">
        <v>685</v>
      </c>
      <c r="O119" s="3">
        <v>5.0862769031000004E-6</v>
      </c>
      <c r="P119" s="3">
        <v>17.05</v>
      </c>
      <c r="T119" t="s">
        <v>683</v>
      </c>
      <c r="W119" s="3">
        <v>224.16005999999999</v>
      </c>
      <c r="X119" s="3">
        <v>-28.165379000000001</v>
      </c>
      <c r="Y119" s="3">
        <v>-12.812482524941259</v>
      </c>
      <c r="Z119" s="3">
        <v>-12.44183841730395</v>
      </c>
      <c r="AA119" s="3">
        <v>-9.5622494203357036</v>
      </c>
      <c r="AB119" t="s">
        <v>41</v>
      </c>
      <c r="AC119" t="s">
        <v>684</v>
      </c>
      <c r="AD119">
        <v>0</v>
      </c>
      <c r="AE119">
        <v>0</v>
      </c>
      <c r="AF119" s="3">
        <v>-3.9283250000000001</v>
      </c>
      <c r="AG119" s="3">
        <v>-3.8146849999999999</v>
      </c>
      <c r="AH119" s="3">
        <v>-2.9317989999999998</v>
      </c>
      <c r="AI119" s="2" t="s">
        <v>686</v>
      </c>
      <c r="AJ119" s="2"/>
    </row>
    <row r="120" spans="1:36" x14ac:dyDescent="0.45">
      <c r="A120" t="s">
        <v>687</v>
      </c>
      <c r="B120" t="str">
        <f t="shared" si="2"/>
        <v>Yes</v>
      </c>
      <c r="C120">
        <f t="shared" si="3"/>
        <v>3</v>
      </c>
      <c r="D120" s="2"/>
      <c r="E120">
        <f>COUNTIFS(Planets!$C:$C,I120,Planets!$E:$E,1)</f>
        <v>3</v>
      </c>
      <c r="F120" s="3">
        <v>20.269640405962441</v>
      </c>
      <c r="G120" t="s">
        <v>688</v>
      </c>
      <c r="H120" s="2"/>
      <c r="I120" t="s">
        <v>689</v>
      </c>
      <c r="J120" t="s">
        <v>690</v>
      </c>
      <c r="K120" t="s">
        <v>73</v>
      </c>
      <c r="L120">
        <v>0</v>
      </c>
      <c r="M120" s="3">
        <v>6.2146999999999997</v>
      </c>
      <c r="N120" t="s">
        <v>249</v>
      </c>
      <c r="O120" s="3">
        <v>1.989756811090657E-3</v>
      </c>
      <c r="P120" s="3">
        <v>10.57</v>
      </c>
      <c r="Q120" t="s">
        <v>691</v>
      </c>
      <c r="T120" t="s">
        <v>687</v>
      </c>
      <c r="W120" s="3">
        <v>229.86179999999999</v>
      </c>
      <c r="X120" s="3">
        <v>-7.7222799999999996</v>
      </c>
      <c r="Y120" s="3">
        <v>-12.94782111387482</v>
      </c>
      <c r="Z120" s="3">
        <v>-15.355226999694979</v>
      </c>
      <c r="AA120" s="3">
        <v>-2.7236275402716541</v>
      </c>
      <c r="AB120" t="s">
        <v>41</v>
      </c>
      <c r="AC120" t="s">
        <v>689</v>
      </c>
      <c r="AD120">
        <v>3</v>
      </c>
      <c r="AE120">
        <v>0</v>
      </c>
      <c r="AF120" s="3">
        <v>-3.9698199999999999</v>
      </c>
      <c r="AG120" s="3">
        <v>-4.7079339999999998</v>
      </c>
      <c r="AH120" s="3">
        <v>-0.83506800000000003</v>
      </c>
      <c r="AI120" s="2" t="s">
        <v>692</v>
      </c>
      <c r="AJ120" s="2"/>
    </row>
    <row r="121" spans="1:36" x14ac:dyDescent="0.45">
      <c r="A121" t="s">
        <v>693</v>
      </c>
      <c r="B121" t="str">
        <f t="shared" si="2"/>
        <v>Unknown</v>
      </c>
      <c r="C121">
        <f t="shared" si="3"/>
        <v>0</v>
      </c>
      <c r="D121" s="2"/>
      <c r="E121">
        <f>COUNTIFS(Planets!$C:$C,I121,Planets!$E:$E,1)</f>
        <v>0</v>
      </c>
      <c r="F121" s="3">
        <v>20.377272010608969</v>
      </c>
      <c r="H121" s="2"/>
      <c r="I121" t="s">
        <v>694</v>
      </c>
      <c r="L121">
        <v>0</v>
      </c>
      <c r="M121" s="3">
        <v>6.2477</v>
      </c>
      <c r="N121" t="s">
        <v>119</v>
      </c>
      <c r="O121" s="3">
        <v>3.729065399622E-4</v>
      </c>
      <c r="P121" s="3">
        <v>12.4</v>
      </c>
      <c r="T121" t="s">
        <v>693</v>
      </c>
      <c r="W121" s="3">
        <v>352.96804500000002</v>
      </c>
      <c r="X121" s="3">
        <v>19.937322000000002</v>
      </c>
      <c r="Y121" s="3">
        <v>19.011727011512068</v>
      </c>
      <c r="Z121" s="3">
        <v>-2.344943677923629</v>
      </c>
      <c r="AA121" s="3">
        <v>6.9484159014948368</v>
      </c>
      <c r="AB121" t="s">
        <v>60</v>
      </c>
      <c r="AC121" t="s">
        <v>666</v>
      </c>
      <c r="AD121">
        <v>0</v>
      </c>
      <c r="AE121">
        <v>0</v>
      </c>
      <c r="AF121" s="3">
        <v>5.8290220000000001</v>
      </c>
      <c r="AG121" s="3">
        <v>-0.71896300000000002</v>
      </c>
      <c r="AH121" s="3">
        <v>2.1303939999999999</v>
      </c>
      <c r="AI121" s="2" t="s">
        <v>670</v>
      </c>
      <c r="AJ121" s="2"/>
    </row>
    <row r="122" spans="1:36" x14ac:dyDescent="0.45">
      <c r="A122" t="s">
        <v>695</v>
      </c>
      <c r="B122" t="str">
        <f t="shared" si="2"/>
        <v>Unknown</v>
      </c>
      <c r="C122">
        <f t="shared" si="3"/>
        <v>0</v>
      </c>
      <c r="D122" s="2"/>
      <c r="E122">
        <f>COUNTIFS(Planets!$C:$C,I122,Planets!$E:$E,1)</f>
        <v>0</v>
      </c>
      <c r="F122" s="3">
        <v>20.529913195380409</v>
      </c>
      <c r="H122" s="2"/>
      <c r="I122" t="s">
        <v>696</v>
      </c>
      <c r="L122">
        <v>0</v>
      </c>
      <c r="M122" s="3">
        <v>6.2945000000000002</v>
      </c>
      <c r="N122" t="s">
        <v>48</v>
      </c>
      <c r="O122" s="3">
        <v>7.5509222766539995E-4</v>
      </c>
      <c r="P122" s="3">
        <v>11.65</v>
      </c>
      <c r="Q122" t="s">
        <v>697</v>
      </c>
      <c r="T122" t="s">
        <v>695</v>
      </c>
      <c r="W122" s="3">
        <v>107.50794</v>
      </c>
      <c r="X122" s="3">
        <v>38.52946</v>
      </c>
      <c r="Y122" s="3">
        <v>-4.8317262413887159</v>
      </c>
      <c r="Z122" s="3">
        <v>15.317167811979219</v>
      </c>
      <c r="AA122" s="3">
        <v>12.78911994360541</v>
      </c>
      <c r="AB122" t="s">
        <v>41</v>
      </c>
      <c r="AC122" t="s">
        <v>696</v>
      </c>
      <c r="AD122">
        <v>0</v>
      </c>
      <c r="AE122">
        <v>0</v>
      </c>
      <c r="AF122" s="3">
        <v>-1.481414</v>
      </c>
      <c r="AG122" s="3">
        <v>4.6962650000000004</v>
      </c>
      <c r="AH122" s="3">
        <v>3.9211619999999998</v>
      </c>
      <c r="AI122" s="2" t="s">
        <v>698</v>
      </c>
      <c r="AJ122" s="2"/>
    </row>
    <row r="123" spans="1:36" x14ac:dyDescent="0.45">
      <c r="A123" t="s">
        <v>699</v>
      </c>
      <c r="B123" t="str">
        <f t="shared" si="2"/>
        <v>Unknown</v>
      </c>
      <c r="C123">
        <f t="shared" si="3"/>
        <v>0</v>
      </c>
      <c r="D123" s="2"/>
      <c r="E123">
        <f>COUNTIFS(Planets!$C:$C,I123,Planets!$E:$E,1)</f>
        <v>0</v>
      </c>
      <c r="F123" s="3">
        <v>20.620584668385661</v>
      </c>
      <c r="H123" s="2"/>
      <c r="I123" t="s">
        <v>700</v>
      </c>
      <c r="L123">
        <v>0</v>
      </c>
      <c r="M123" s="3">
        <v>6.3223000000000003</v>
      </c>
      <c r="N123" t="s">
        <v>638</v>
      </c>
      <c r="O123" s="3">
        <v>2.4076868456124421E-3</v>
      </c>
      <c r="P123" s="3">
        <v>10.4</v>
      </c>
      <c r="T123" t="s">
        <v>699</v>
      </c>
      <c r="W123" s="3">
        <v>258.03106500000001</v>
      </c>
      <c r="X123" s="3">
        <v>45.665514000000002</v>
      </c>
      <c r="Y123" s="3">
        <v>-2.9881403625999332</v>
      </c>
      <c r="Z123" s="3">
        <v>-14.097404929030359</v>
      </c>
      <c r="AA123" s="3">
        <v>14.749332819938139</v>
      </c>
      <c r="AB123" t="s">
        <v>60</v>
      </c>
      <c r="AC123" t="s">
        <v>607</v>
      </c>
      <c r="AD123">
        <v>0</v>
      </c>
      <c r="AE123">
        <v>0</v>
      </c>
      <c r="AF123" s="3">
        <v>-0.91616799999999998</v>
      </c>
      <c r="AG123" s="3">
        <v>-4.3222839999999998</v>
      </c>
      <c r="AH123" s="3">
        <v>4.5221660000000004</v>
      </c>
      <c r="AI123" s="2" t="s">
        <v>610</v>
      </c>
      <c r="AJ123" s="2"/>
    </row>
    <row r="124" spans="1:36" x14ac:dyDescent="0.45">
      <c r="A124" t="s">
        <v>701</v>
      </c>
      <c r="B124" t="str">
        <f t="shared" si="2"/>
        <v>Yes</v>
      </c>
      <c r="C124">
        <f t="shared" si="3"/>
        <v>1</v>
      </c>
      <c r="D124" s="2"/>
      <c r="E124">
        <f>COUNTIFS(Planets!$C:$C,I124,Planets!$E:$E,1)</f>
        <v>1</v>
      </c>
      <c r="F124" s="3">
        <v>20.8472633508988</v>
      </c>
      <c r="G124" t="s">
        <v>702</v>
      </c>
      <c r="H124" s="2"/>
      <c r="I124" t="s">
        <v>703</v>
      </c>
      <c r="J124" t="s">
        <v>704</v>
      </c>
      <c r="K124" t="s">
        <v>73</v>
      </c>
      <c r="L124">
        <v>0</v>
      </c>
      <c r="M124" s="3">
        <v>6.3917999999999999</v>
      </c>
      <c r="N124" t="s">
        <v>705</v>
      </c>
      <c r="O124" s="3">
        <v>2.9593749953433859E-2</v>
      </c>
      <c r="P124" s="3">
        <v>7.7</v>
      </c>
      <c r="Q124" t="s">
        <v>706</v>
      </c>
      <c r="R124" t="s">
        <v>707</v>
      </c>
      <c r="T124" t="s">
        <v>701</v>
      </c>
      <c r="W124" s="3">
        <v>138.605355</v>
      </c>
      <c r="X124" s="3">
        <v>52.686376000000003</v>
      </c>
      <c r="Y124" s="3">
        <v>-9.4798818887071175</v>
      </c>
      <c r="Z124" s="3">
        <v>8.3567819714221745</v>
      </c>
      <c r="AA124" s="3">
        <v>16.58078241991209</v>
      </c>
      <c r="AB124" t="s">
        <v>60</v>
      </c>
      <c r="AC124" t="s">
        <v>534</v>
      </c>
      <c r="AD124">
        <v>1</v>
      </c>
      <c r="AE124">
        <v>0</v>
      </c>
      <c r="AF124" s="3">
        <v>-2.9065449999999999</v>
      </c>
      <c r="AG124" s="3">
        <v>2.562201</v>
      </c>
      <c r="AH124" s="3">
        <v>5.083691</v>
      </c>
      <c r="AI124" s="2" t="s">
        <v>537</v>
      </c>
      <c r="AJ124" s="2"/>
    </row>
    <row r="125" spans="1:36" x14ac:dyDescent="0.45">
      <c r="A125" t="s">
        <v>708</v>
      </c>
      <c r="B125" t="str">
        <f t="shared" si="2"/>
        <v>Unknown</v>
      </c>
      <c r="C125">
        <f t="shared" si="3"/>
        <v>0</v>
      </c>
      <c r="D125" s="2"/>
      <c r="E125">
        <f>COUNTIFS(Planets!$C:$C,I125,Planets!$E:$E,1)</f>
        <v>0</v>
      </c>
      <c r="F125" s="3">
        <v>20.907602280776398</v>
      </c>
      <c r="H125" s="2"/>
      <c r="I125" t="s">
        <v>709</v>
      </c>
      <c r="L125">
        <v>0</v>
      </c>
      <c r="M125" s="3">
        <v>6.4103000000000003</v>
      </c>
      <c r="N125" t="s">
        <v>332</v>
      </c>
      <c r="O125" s="3">
        <v>3.3235330357750002E-4</v>
      </c>
      <c r="P125" s="3">
        <v>12.58</v>
      </c>
      <c r="T125" t="s">
        <v>708</v>
      </c>
      <c r="W125" s="3">
        <v>196.75937999999999</v>
      </c>
      <c r="X125" s="3">
        <v>20.815404999999998</v>
      </c>
      <c r="Y125" s="3">
        <v>-18.71182296063774</v>
      </c>
      <c r="Z125" s="3">
        <v>-5.634935244972854</v>
      </c>
      <c r="AA125" s="3">
        <v>7.429274772290186</v>
      </c>
      <c r="AB125" t="s">
        <v>41</v>
      </c>
      <c r="AC125" t="s">
        <v>709</v>
      </c>
      <c r="AD125">
        <v>0</v>
      </c>
      <c r="AE125">
        <v>0</v>
      </c>
      <c r="AF125" s="3">
        <v>-5.7370710000000003</v>
      </c>
      <c r="AG125" s="3">
        <v>-1.727679</v>
      </c>
      <c r="AH125" s="3">
        <v>2.2778260000000001</v>
      </c>
      <c r="AI125" s="2" t="s">
        <v>710</v>
      </c>
      <c r="AJ125" s="2"/>
    </row>
    <row r="126" spans="1:36" x14ac:dyDescent="0.45">
      <c r="A126" t="s">
        <v>711</v>
      </c>
      <c r="B126" t="str">
        <f t="shared" si="2"/>
        <v>Unknown</v>
      </c>
      <c r="C126">
        <f t="shared" si="3"/>
        <v>0</v>
      </c>
      <c r="D126" s="2"/>
      <c r="E126">
        <f>COUNTIFS(Planets!$C:$C,I126,Planets!$E:$E,1)</f>
        <v>0</v>
      </c>
      <c r="F126" s="3">
        <v>21.069375844123901</v>
      </c>
      <c r="H126" s="2"/>
      <c r="I126" t="s">
        <v>712</v>
      </c>
      <c r="L126">
        <v>0</v>
      </c>
      <c r="M126" s="3">
        <v>6.4599000000000002</v>
      </c>
      <c r="N126" t="s">
        <v>713</v>
      </c>
      <c r="O126" s="3">
        <v>6.0311481961799997E-5</v>
      </c>
      <c r="P126" s="3">
        <v>14.45</v>
      </c>
      <c r="T126" t="s">
        <v>711</v>
      </c>
      <c r="W126" s="3">
        <v>88.79016</v>
      </c>
      <c r="X126" s="3">
        <v>-4.1697610000000003</v>
      </c>
      <c r="Y126" s="3">
        <v>0.44367378217186321</v>
      </c>
      <c r="Z126" s="3">
        <v>21.00892602107788</v>
      </c>
      <c r="AA126" s="3">
        <v>-1.5319923833370921</v>
      </c>
      <c r="AB126" t="s">
        <v>41</v>
      </c>
      <c r="AC126" t="s">
        <v>712</v>
      </c>
      <c r="AD126">
        <v>0</v>
      </c>
      <c r="AE126">
        <v>0</v>
      </c>
      <c r="AF126" s="3">
        <v>0.13603100000000001</v>
      </c>
      <c r="AG126" s="3">
        <v>6.4413660000000004</v>
      </c>
      <c r="AH126" s="3">
        <v>-0.46971099999999999</v>
      </c>
      <c r="AI126" s="2" t="s">
        <v>714</v>
      </c>
      <c r="AJ126" s="2"/>
    </row>
    <row r="127" spans="1:36" x14ac:dyDescent="0.45">
      <c r="A127" t="s">
        <v>715</v>
      </c>
      <c r="B127" t="str">
        <f t="shared" si="2"/>
        <v>Yes</v>
      </c>
      <c r="C127">
        <f t="shared" si="3"/>
        <v>1</v>
      </c>
      <c r="D127" s="2"/>
      <c r="E127">
        <f>COUNTIFS(Planets!$C:$C,I127,Planets!$E:$E,1)</f>
        <v>1</v>
      </c>
      <c r="F127" s="3">
        <v>21.253654197533859</v>
      </c>
      <c r="G127" t="s">
        <v>716</v>
      </c>
      <c r="H127" s="2"/>
      <c r="I127" t="s">
        <v>717</v>
      </c>
      <c r="J127" t="s">
        <v>718</v>
      </c>
      <c r="K127" t="s">
        <v>73</v>
      </c>
      <c r="L127">
        <v>0</v>
      </c>
      <c r="M127" s="3">
        <v>6.5164</v>
      </c>
      <c r="N127" t="s">
        <v>719</v>
      </c>
      <c r="O127" s="3">
        <v>3.2809529311311871E-3</v>
      </c>
      <c r="P127" s="3">
        <v>10.130000000000001</v>
      </c>
      <c r="Q127" t="s">
        <v>720</v>
      </c>
      <c r="T127" t="s">
        <v>715</v>
      </c>
      <c r="W127" s="3">
        <v>246.35184000000001</v>
      </c>
      <c r="X127" s="3">
        <v>54.304102999999998</v>
      </c>
      <c r="Y127" s="3">
        <v>-4.9741032849534061</v>
      </c>
      <c r="Z127" s="3">
        <v>-11.359641771348461</v>
      </c>
      <c r="AA127" s="3">
        <v>17.260332494448701</v>
      </c>
      <c r="AB127" t="s">
        <v>41</v>
      </c>
      <c r="AC127" t="s">
        <v>717</v>
      </c>
      <c r="AD127">
        <v>1</v>
      </c>
      <c r="AE127">
        <v>0</v>
      </c>
      <c r="AF127" s="3">
        <v>-1.525067</v>
      </c>
      <c r="AG127" s="3">
        <v>-3.482882</v>
      </c>
      <c r="AH127" s="3">
        <v>5.2920420000000004</v>
      </c>
      <c r="AI127" s="2" t="s">
        <v>721</v>
      </c>
      <c r="AJ127" s="2"/>
    </row>
    <row r="128" spans="1:36" x14ac:dyDescent="0.45">
      <c r="A128" t="s">
        <v>722</v>
      </c>
      <c r="B128" t="str">
        <f t="shared" si="2"/>
        <v>Unknown</v>
      </c>
      <c r="C128">
        <f t="shared" si="3"/>
        <v>0</v>
      </c>
      <c r="D128" s="2"/>
      <c r="E128">
        <f>COUNTIFS(Planets!$C:$C,I128,Planets!$E:$E,1)</f>
        <v>0</v>
      </c>
      <c r="F128" s="3">
        <v>21.331279415430441</v>
      </c>
      <c r="H128" s="2"/>
      <c r="I128" t="s">
        <v>723</v>
      </c>
      <c r="L128">
        <v>0</v>
      </c>
      <c r="M128" s="3">
        <v>6.5401999999999996</v>
      </c>
      <c r="N128" t="s">
        <v>724</v>
      </c>
      <c r="O128" s="3">
        <v>1.114807803364E-4</v>
      </c>
      <c r="P128" s="3">
        <v>13.81</v>
      </c>
      <c r="T128" t="s">
        <v>722</v>
      </c>
      <c r="W128" s="3">
        <v>184.75166999999999</v>
      </c>
      <c r="X128" s="3">
        <v>11.125204999999999</v>
      </c>
      <c r="Y128" s="3">
        <v>-20.858496176547369</v>
      </c>
      <c r="Z128" s="3">
        <v>-1.733694010444681</v>
      </c>
      <c r="AA128" s="3">
        <v>4.1159467164153281</v>
      </c>
      <c r="AB128" t="s">
        <v>41</v>
      </c>
      <c r="AC128" t="s">
        <v>723</v>
      </c>
      <c r="AD128">
        <v>0</v>
      </c>
      <c r="AE128">
        <v>0</v>
      </c>
      <c r="AF128" s="3">
        <v>-6.3952439999999999</v>
      </c>
      <c r="AG128" s="3">
        <v>-0.53155300000000005</v>
      </c>
      <c r="AH128" s="3">
        <v>1.2619549999999999</v>
      </c>
      <c r="AI128" s="2" t="s">
        <v>725</v>
      </c>
      <c r="AJ128" s="2"/>
    </row>
    <row r="129" spans="1:36" x14ac:dyDescent="0.45">
      <c r="A129" t="s">
        <v>726</v>
      </c>
      <c r="B129" t="str">
        <f t="shared" si="2"/>
        <v>Yes</v>
      </c>
      <c r="C129">
        <f t="shared" si="3"/>
        <v>6</v>
      </c>
      <c r="D129" s="2"/>
      <c r="E129">
        <f>COUNTIFS(Planets!$C:$C,I129,Planets!$E:$E,1)</f>
        <v>6</v>
      </c>
      <c r="F129" s="3">
        <v>21.350848798093448</v>
      </c>
      <c r="G129" t="s">
        <v>727</v>
      </c>
      <c r="H129" s="2"/>
      <c r="I129" t="s">
        <v>728</v>
      </c>
      <c r="J129" t="s">
        <v>729</v>
      </c>
      <c r="K129" t="s">
        <v>73</v>
      </c>
      <c r="L129">
        <v>2</v>
      </c>
      <c r="M129" s="3">
        <v>6.5461999999999998</v>
      </c>
      <c r="N129" t="s">
        <v>730</v>
      </c>
      <c r="O129" s="3">
        <v>0.2208004733018899</v>
      </c>
      <c r="P129" s="3">
        <v>5.57</v>
      </c>
      <c r="Q129" t="s">
        <v>731</v>
      </c>
      <c r="R129" t="s">
        <v>732</v>
      </c>
      <c r="S129" t="s">
        <v>733</v>
      </c>
      <c r="T129" t="s">
        <v>726</v>
      </c>
      <c r="W129" s="3">
        <v>348.31646999999998</v>
      </c>
      <c r="X129" s="3">
        <v>57.168354999999998</v>
      </c>
      <c r="Y129" s="3">
        <v>11.33589432548691</v>
      </c>
      <c r="Z129" s="3">
        <v>-2.3432737572697189</v>
      </c>
      <c r="AA129" s="3">
        <v>17.939973892771071</v>
      </c>
      <c r="AB129" t="s">
        <v>41</v>
      </c>
      <c r="AC129" t="s">
        <v>728</v>
      </c>
      <c r="AD129">
        <v>6</v>
      </c>
      <c r="AE129">
        <v>0</v>
      </c>
      <c r="AF129" s="3">
        <v>3.4756010000000002</v>
      </c>
      <c r="AG129" s="3">
        <v>-0.71845099999999995</v>
      </c>
      <c r="AH129" s="3">
        <v>5.5004210000000002</v>
      </c>
      <c r="AI129" s="2" t="s">
        <v>734</v>
      </c>
      <c r="AJ129" s="2"/>
    </row>
    <row r="130" spans="1:36" x14ac:dyDescent="0.45">
      <c r="A130" t="s">
        <v>735</v>
      </c>
      <c r="B130" t="str">
        <f t="shared" ref="B130:B193" si="4">IF(C130&gt;0,"Yes",IF(D130="","Unknown","No"))</f>
        <v>Unknown</v>
      </c>
      <c r="C130">
        <f t="shared" si="3"/>
        <v>0</v>
      </c>
      <c r="D130" s="2"/>
      <c r="E130">
        <f>COUNTIFS(Planets!$C:$C,I130,Planets!$E:$E,1)</f>
        <v>0</v>
      </c>
      <c r="F130" s="3">
        <v>21.729190196244879</v>
      </c>
      <c r="H130" s="2"/>
      <c r="I130" t="s">
        <v>736</v>
      </c>
      <c r="L130">
        <v>0</v>
      </c>
      <c r="M130" s="3">
        <v>6.6622000000000003</v>
      </c>
      <c r="N130" t="s">
        <v>737</v>
      </c>
      <c r="O130" s="3">
        <v>3.7601052366849522E-3</v>
      </c>
      <c r="P130" s="3">
        <v>10.029999999999999</v>
      </c>
      <c r="Q130" t="s">
        <v>738</v>
      </c>
      <c r="T130" t="s">
        <v>735</v>
      </c>
      <c r="W130" s="3">
        <v>165.01782</v>
      </c>
      <c r="X130" s="3">
        <v>22.832961999999998</v>
      </c>
      <c r="Y130" s="3">
        <v>-19.345786158260889</v>
      </c>
      <c r="Z130" s="3">
        <v>5.1772693541969428</v>
      </c>
      <c r="AA130" s="3">
        <v>8.4319577549221059</v>
      </c>
      <c r="AB130" t="s">
        <v>41</v>
      </c>
      <c r="AC130" t="s">
        <v>736</v>
      </c>
      <c r="AD130">
        <v>0</v>
      </c>
      <c r="AE130">
        <v>0</v>
      </c>
      <c r="AF130" s="3">
        <v>-5.9314450000000001</v>
      </c>
      <c r="AG130" s="3">
        <v>1.587358</v>
      </c>
      <c r="AH130" s="3">
        <v>2.5852499999999998</v>
      </c>
      <c r="AI130" s="2" t="s">
        <v>739</v>
      </c>
      <c r="AJ130" s="2"/>
    </row>
    <row r="131" spans="1:36" x14ac:dyDescent="0.45">
      <c r="A131" t="s">
        <v>740</v>
      </c>
      <c r="B131" t="str">
        <f t="shared" si="4"/>
        <v>Unknown</v>
      </c>
      <c r="C131">
        <f t="shared" ref="C131:C194" si="5">IF(D131="",E131+0,D131)</f>
        <v>0</v>
      </c>
      <c r="D131" s="2"/>
      <c r="E131">
        <f>COUNTIFS(Planets!$C:$C,I131,Planets!$E:$E,1)</f>
        <v>0</v>
      </c>
      <c r="F131" s="3">
        <v>21.851498837888649</v>
      </c>
      <c r="H131" s="2"/>
      <c r="I131" t="s">
        <v>741</v>
      </c>
      <c r="L131">
        <v>0</v>
      </c>
      <c r="M131" s="3">
        <v>6.6997</v>
      </c>
      <c r="N131" t="s">
        <v>742</v>
      </c>
      <c r="O131" s="3">
        <v>6.3679552090791555E-2</v>
      </c>
      <c r="P131" s="3">
        <v>6.97</v>
      </c>
      <c r="T131" t="s">
        <v>740</v>
      </c>
      <c r="W131" s="3">
        <v>222.84732</v>
      </c>
      <c r="X131" s="3">
        <v>19.099249</v>
      </c>
      <c r="Y131" s="3">
        <v>-15.139265815753619</v>
      </c>
      <c r="Z131" s="3">
        <v>-14.042411702183539</v>
      </c>
      <c r="AA131" s="3">
        <v>7.1501012207835393</v>
      </c>
      <c r="AB131" t="s">
        <v>60</v>
      </c>
      <c r="AC131" t="s">
        <v>743</v>
      </c>
      <c r="AD131">
        <v>0</v>
      </c>
      <c r="AE131">
        <v>0</v>
      </c>
      <c r="AF131" s="3">
        <v>-4.6417200000000003</v>
      </c>
      <c r="AG131" s="3">
        <v>-4.3054230000000002</v>
      </c>
      <c r="AH131" s="3">
        <v>2.192231</v>
      </c>
      <c r="AI131" s="2" t="s">
        <v>744</v>
      </c>
      <c r="AJ131" s="2"/>
    </row>
    <row r="132" spans="1:36" x14ac:dyDescent="0.45">
      <c r="A132" t="s">
        <v>745</v>
      </c>
      <c r="B132" t="str">
        <f t="shared" si="4"/>
        <v>Unknown</v>
      </c>
      <c r="C132">
        <f t="shared" si="5"/>
        <v>0</v>
      </c>
      <c r="D132" s="2"/>
      <c r="E132">
        <f>COUNTIFS(Planets!$C:$C,I132,Planets!$E:$E,1)</f>
        <v>0</v>
      </c>
      <c r="F132" s="3">
        <v>21.867806656774491</v>
      </c>
      <c r="H132" s="2"/>
      <c r="I132" t="s">
        <v>746</v>
      </c>
      <c r="L132">
        <v>0</v>
      </c>
      <c r="M132" s="3">
        <v>6.7046999999999999</v>
      </c>
      <c r="N132" t="s">
        <v>304</v>
      </c>
      <c r="O132" s="3">
        <v>2.8893489815590779E-3</v>
      </c>
      <c r="P132" s="3">
        <v>10.33</v>
      </c>
      <c r="Q132" t="s">
        <v>747</v>
      </c>
      <c r="T132" t="s">
        <v>745</v>
      </c>
      <c r="W132" s="3">
        <v>322.40326499999998</v>
      </c>
      <c r="X132" s="3">
        <v>17.64329</v>
      </c>
      <c r="Y132" s="3">
        <v>16.510874061912279</v>
      </c>
      <c r="Z132" s="3">
        <v>-12.713529941505771</v>
      </c>
      <c r="AA132" s="3">
        <v>6.6276932890308542</v>
      </c>
      <c r="AB132" t="s">
        <v>41</v>
      </c>
      <c r="AC132" t="s">
        <v>746</v>
      </c>
      <c r="AD132">
        <v>0</v>
      </c>
      <c r="AE132">
        <v>0</v>
      </c>
      <c r="AF132" s="3">
        <v>5.0622569999999998</v>
      </c>
      <c r="AG132" s="3">
        <v>-3.897986</v>
      </c>
      <c r="AH132" s="3">
        <v>2.03206</v>
      </c>
      <c r="AI132" s="2" t="s">
        <v>748</v>
      </c>
      <c r="AJ132" s="2"/>
    </row>
    <row r="133" spans="1:36" x14ac:dyDescent="0.45">
      <c r="A133" t="s">
        <v>749</v>
      </c>
      <c r="B133" t="str">
        <f t="shared" si="4"/>
        <v>Unknown</v>
      </c>
      <c r="C133">
        <f t="shared" si="5"/>
        <v>0</v>
      </c>
      <c r="D133" s="2"/>
      <c r="E133">
        <f>COUNTIFS(Planets!$C:$C,I133,Planets!$E:$E,1)</f>
        <v>0</v>
      </c>
      <c r="F133" s="3">
        <v>21.89259454148096</v>
      </c>
      <c r="H133" s="2"/>
      <c r="I133" t="s">
        <v>743</v>
      </c>
      <c r="L133">
        <v>0</v>
      </c>
      <c r="M133" s="3">
        <v>6.7122999999999999</v>
      </c>
      <c r="N133" t="s">
        <v>750</v>
      </c>
      <c r="O133" s="3">
        <v>0.59923890258347812</v>
      </c>
      <c r="P133" s="3">
        <v>4.54</v>
      </c>
      <c r="Q133" t="s">
        <v>751</v>
      </c>
      <c r="R133" t="s">
        <v>752</v>
      </c>
      <c r="S133" t="s">
        <v>753</v>
      </c>
      <c r="T133" t="s">
        <v>749</v>
      </c>
      <c r="U133" t="s">
        <v>754</v>
      </c>
      <c r="W133" s="3">
        <v>222.84739500000001</v>
      </c>
      <c r="X133" s="3">
        <v>19.100460000000002</v>
      </c>
      <c r="Y133" s="3">
        <v>-15.167318525801029</v>
      </c>
      <c r="Z133" s="3">
        <v>-14.06841941174268</v>
      </c>
      <c r="AA133" s="3">
        <v>7.1638356658491906</v>
      </c>
      <c r="AB133" t="s">
        <v>41</v>
      </c>
      <c r="AC133" t="s">
        <v>743</v>
      </c>
      <c r="AD133">
        <v>0</v>
      </c>
      <c r="AE133">
        <v>0</v>
      </c>
      <c r="AF133" s="3">
        <v>-4.6503209999999999</v>
      </c>
      <c r="AG133" s="3">
        <v>-4.3133970000000001</v>
      </c>
      <c r="AH133" s="3">
        <v>2.1964419999999998</v>
      </c>
      <c r="AI133" s="2" t="s">
        <v>744</v>
      </c>
      <c r="AJ133" s="2"/>
    </row>
    <row r="134" spans="1:36" x14ac:dyDescent="0.45">
      <c r="A134" t="s">
        <v>755</v>
      </c>
      <c r="B134" t="str">
        <f t="shared" si="4"/>
        <v>Unknown</v>
      </c>
      <c r="C134">
        <f t="shared" si="5"/>
        <v>0</v>
      </c>
      <c r="D134" s="2"/>
      <c r="E134">
        <f>COUNTIFS(Planets!$C:$C,I134,Planets!$E:$E,1)</f>
        <v>0</v>
      </c>
      <c r="F134" s="3">
        <v>21.901400763679309</v>
      </c>
      <c r="H134" s="2"/>
      <c r="I134" t="s">
        <v>756</v>
      </c>
      <c r="L134">
        <v>0</v>
      </c>
      <c r="M134" s="3">
        <v>6.7149999999999999</v>
      </c>
      <c r="N134" t="s">
        <v>304</v>
      </c>
      <c r="O134" s="3">
        <v>7.97994687268E-4</v>
      </c>
      <c r="P134" s="3">
        <v>11.73</v>
      </c>
      <c r="Q134" t="s">
        <v>757</v>
      </c>
      <c r="T134" t="s">
        <v>755</v>
      </c>
      <c r="W134" s="3">
        <v>253.85512499999999</v>
      </c>
      <c r="X134" s="3">
        <v>-8.3225759999999998</v>
      </c>
      <c r="Y134" s="3">
        <v>-6.0258173558474848</v>
      </c>
      <c r="Z134" s="3">
        <v>-20.815701198227149</v>
      </c>
      <c r="AA134" s="3">
        <v>-3.1700834363454411</v>
      </c>
      <c r="AB134" t="s">
        <v>41</v>
      </c>
      <c r="AC134" t="s">
        <v>756</v>
      </c>
      <c r="AD134">
        <v>0</v>
      </c>
      <c r="AE134">
        <v>0</v>
      </c>
      <c r="AF134" s="3">
        <v>-1.8475239999999999</v>
      </c>
      <c r="AG134" s="3">
        <v>-6.382123</v>
      </c>
      <c r="AH134" s="3">
        <v>-0.97195200000000004</v>
      </c>
      <c r="AI134" s="2" t="s">
        <v>758</v>
      </c>
      <c r="AJ134" s="2"/>
    </row>
    <row r="135" spans="1:36" x14ac:dyDescent="0.45">
      <c r="A135" t="s">
        <v>759</v>
      </c>
      <c r="B135" t="str">
        <f t="shared" si="4"/>
        <v>Unknown</v>
      </c>
      <c r="C135">
        <f t="shared" si="5"/>
        <v>0</v>
      </c>
      <c r="D135" s="2"/>
      <c r="E135">
        <f>COUNTIFS(Planets!$C:$C,I135,Planets!$E:$E,1)</f>
        <v>0</v>
      </c>
      <c r="F135" s="3">
        <v>22.03773412956491</v>
      </c>
      <c r="H135" s="2"/>
      <c r="I135" t="s">
        <v>760</v>
      </c>
      <c r="L135">
        <v>0</v>
      </c>
      <c r="M135" s="3">
        <v>6.7568000000000001</v>
      </c>
      <c r="N135" t="s">
        <v>761</v>
      </c>
      <c r="O135" s="3">
        <v>2.9349452222700003E-4</v>
      </c>
      <c r="P135" s="3">
        <v>12.83</v>
      </c>
      <c r="T135" t="s">
        <v>759</v>
      </c>
      <c r="W135" s="3">
        <v>122.98944</v>
      </c>
      <c r="X135" s="3">
        <v>8.7757319999999996</v>
      </c>
      <c r="Y135" s="3">
        <v>-11.855663652143861</v>
      </c>
      <c r="Z135" s="3">
        <v>18.263344895022119</v>
      </c>
      <c r="AA135" s="3">
        <v>3.3613415362385388</v>
      </c>
      <c r="AB135" t="s">
        <v>41</v>
      </c>
      <c r="AC135" t="s">
        <v>760</v>
      </c>
      <c r="AD135">
        <v>0</v>
      </c>
      <c r="AE135">
        <v>0</v>
      </c>
      <c r="AF135" s="3">
        <v>-3.6349629999999999</v>
      </c>
      <c r="AG135" s="3">
        <v>5.5995670000000004</v>
      </c>
      <c r="AH135" s="3">
        <v>1.030592</v>
      </c>
      <c r="AI135" s="2" t="s">
        <v>762</v>
      </c>
      <c r="AJ135" s="2"/>
    </row>
    <row r="136" spans="1:36" x14ac:dyDescent="0.45">
      <c r="A136" t="s">
        <v>763</v>
      </c>
      <c r="B136" t="str">
        <f t="shared" si="4"/>
        <v>Unknown</v>
      </c>
      <c r="C136">
        <f t="shared" si="5"/>
        <v>0</v>
      </c>
      <c r="D136" s="2"/>
      <c r="E136">
        <f>COUNTIFS(Planets!$C:$C,I136,Planets!$E:$E,1)</f>
        <v>0</v>
      </c>
      <c r="F136" s="3">
        <v>22.049475759162711</v>
      </c>
      <c r="H136" s="2"/>
      <c r="I136" t="s">
        <v>764</v>
      </c>
      <c r="L136">
        <v>0</v>
      </c>
      <c r="M136" s="3">
        <v>6.7603999999999997</v>
      </c>
      <c r="N136" t="s">
        <v>765</v>
      </c>
      <c r="O136" s="3">
        <v>8.7902251683090005E-4</v>
      </c>
      <c r="P136" s="3">
        <v>11.64</v>
      </c>
      <c r="Q136" t="s">
        <v>766</v>
      </c>
      <c r="T136" t="s">
        <v>763</v>
      </c>
      <c r="W136" s="3">
        <v>162.71695500000001</v>
      </c>
      <c r="X136" s="3">
        <v>6.8081490000000002</v>
      </c>
      <c r="Y136" s="3">
        <v>-20.9054300793008</v>
      </c>
      <c r="Z136" s="3">
        <v>6.5045366408050116</v>
      </c>
      <c r="AA136" s="3">
        <v>2.6138563497873069</v>
      </c>
      <c r="AB136" t="s">
        <v>41</v>
      </c>
      <c r="AC136" t="s">
        <v>764</v>
      </c>
      <c r="AD136">
        <v>0</v>
      </c>
      <c r="AE136">
        <v>0</v>
      </c>
      <c r="AF136" s="3">
        <v>-6.4096339999999996</v>
      </c>
      <c r="AG136" s="3">
        <v>1.9943</v>
      </c>
      <c r="AH136" s="3">
        <v>0.80141200000000001</v>
      </c>
      <c r="AI136" s="2" t="s">
        <v>767</v>
      </c>
      <c r="AJ136" s="2"/>
    </row>
    <row r="137" spans="1:36" x14ac:dyDescent="0.45">
      <c r="A137" t="s">
        <v>768</v>
      </c>
      <c r="B137" t="str">
        <f t="shared" si="4"/>
        <v>Unknown</v>
      </c>
      <c r="C137">
        <f t="shared" si="5"/>
        <v>0</v>
      </c>
      <c r="D137" s="2"/>
      <c r="E137">
        <f>COUNTIFS(Planets!$C:$C,I137,Planets!$E:$E,1)</f>
        <v>0</v>
      </c>
      <c r="F137" s="3">
        <v>22.187439906936898</v>
      </c>
      <c r="H137" s="2"/>
      <c r="I137" t="s">
        <v>769</v>
      </c>
      <c r="L137">
        <v>0</v>
      </c>
      <c r="M137" s="3">
        <v>6.8026999999999997</v>
      </c>
      <c r="N137" t="s">
        <v>332</v>
      </c>
      <c r="O137" s="3">
        <v>1.059741641883096E-3</v>
      </c>
      <c r="P137" s="3">
        <v>11.45</v>
      </c>
      <c r="T137" t="s">
        <v>768</v>
      </c>
      <c r="W137" s="3">
        <v>339.49012499999998</v>
      </c>
      <c r="X137" s="3">
        <v>-65.822317999999996</v>
      </c>
      <c r="Y137" s="3">
        <v>8.5119247756106979</v>
      </c>
      <c r="Z137" s="3">
        <v>-3.1820533754076461</v>
      </c>
      <c r="AA137" s="3">
        <v>-20.24115064636889</v>
      </c>
      <c r="AB137" t="s">
        <v>41</v>
      </c>
      <c r="AC137" t="s">
        <v>769</v>
      </c>
      <c r="AD137">
        <v>0</v>
      </c>
      <c r="AE137">
        <v>0</v>
      </c>
      <c r="AF137" s="3">
        <v>2.6097679999999999</v>
      </c>
      <c r="AG137" s="3">
        <v>-0.97562199999999999</v>
      </c>
      <c r="AH137" s="3">
        <v>-6.205965</v>
      </c>
      <c r="AI137" s="2" t="s">
        <v>770</v>
      </c>
      <c r="AJ137" s="2"/>
    </row>
    <row r="138" spans="1:36" x14ac:dyDescent="0.45">
      <c r="A138" t="s">
        <v>771</v>
      </c>
      <c r="B138" t="str">
        <f t="shared" si="4"/>
        <v>Unknown</v>
      </c>
      <c r="C138">
        <f t="shared" si="5"/>
        <v>0</v>
      </c>
      <c r="D138" s="2"/>
      <c r="E138">
        <f>COUNTIFS(Planets!$C:$C,I138,Planets!$E:$E,1)</f>
        <v>0</v>
      </c>
      <c r="F138" s="3">
        <v>22.211575478887941</v>
      </c>
      <c r="H138" s="2"/>
      <c r="I138" t="s">
        <v>772</v>
      </c>
      <c r="L138">
        <v>0</v>
      </c>
      <c r="M138" s="3">
        <v>6.8101000000000003</v>
      </c>
      <c r="O138" s="3">
        <v>1.123052347541083E-3</v>
      </c>
      <c r="P138" s="3">
        <v>11.39</v>
      </c>
      <c r="Q138" t="s">
        <v>773</v>
      </c>
      <c r="W138" s="3">
        <v>262.40102999999999</v>
      </c>
      <c r="X138" s="3">
        <v>24.654069</v>
      </c>
      <c r="Y138" s="3">
        <v>-2.6694725353155659</v>
      </c>
      <c r="Z138" s="3">
        <v>-20.009550264116012</v>
      </c>
      <c r="AA138" s="3">
        <v>9.2653068693710487</v>
      </c>
      <c r="AB138" t="s">
        <v>41</v>
      </c>
      <c r="AC138" t="s">
        <v>772</v>
      </c>
      <c r="AD138">
        <v>0</v>
      </c>
      <c r="AE138">
        <v>0</v>
      </c>
      <c r="AF138" s="3">
        <v>-0.81846399999999997</v>
      </c>
      <c r="AG138" s="3">
        <v>-6.1349559999999999</v>
      </c>
      <c r="AH138" s="3">
        <v>2.8407559999999998</v>
      </c>
      <c r="AI138" s="2" t="s">
        <v>774</v>
      </c>
      <c r="AJ138" s="2"/>
    </row>
    <row r="139" spans="1:36" x14ac:dyDescent="0.45">
      <c r="A139" t="s">
        <v>775</v>
      </c>
      <c r="B139" t="str">
        <f t="shared" si="4"/>
        <v>Unknown</v>
      </c>
      <c r="C139">
        <f t="shared" si="5"/>
        <v>0</v>
      </c>
      <c r="D139" s="2"/>
      <c r="E139">
        <f>COUNTIFS(Planets!$C:$C,I139,Planets!$E:$E,1)</f>
        <v>0</v>
      </c>
      <c r="F139" s="3">
        <v>22.295071511583419</v>
      </c>
      <c r="H139" s="2"/>
      <c r="I139" t="s">
        <v>776</v>
      </c>
      <c r="L139">
        <v>0</v>
      </c>
      <c r="M139" s="3">
        <v>6.8357000000000001</v>
      </c>
      <c r="N139" t="s">
        <v>548</v>
      </c>
      <c r="O139" s="3">
        <v>0.17603539536161639</v>
      </c>
      <c r="P139" s="3">
        <v>5.91</v>
      </c>
      <c r="Q139" t="s">
        <v>777</v>
      </c>
      <c r="R139" t="s">
        <v>778</v>
      </c>
      <c r="S139" t="s">
        <v>779</v>
      </c>
      <c r="T139" t="s">
        <v>775</v>
      </c>
      <c r="W139" s="3">
        <v>259.73763000000002</v>
      </c>
      <c r="X139" s="3">
        <v>-34.989792000000001</v>
      </c>
      <c r="Y139" s="3">
        <v>-3.2538925791635349</v>
      </c>
      <c r="Z139" s="3">
        <v>-17.97318313515019</v>
      </c>
      <c r="AA139" s="3">
        <v>-12.78468747843224</v>
      </c>
      <c r="AB139" t="s">
        <v>41</v>
      </c>
      <c r="AC139" t="s">
        <v>776</v>
      </c>
      <c r="AD139">
        <v>0</v>
      </c>
      <c r="AE139">
        <v>0</v>
      </c>
      <c r="AF139" s="3">
        <v>-0.99764799999999998</v>
      </c>
      <c r="AG139" s="3">
        <v>-5.5106029999999997</v>
      </c>
      <c r="AH139" s="3">
        <v>-3.9198029999999999</v>
      </c>
      <c r="AI139" s="2" t="s">
        <v>780</v>
      </c>
      <c r="AJ139" s="2"/>
    </row>
    <row r="140" spans="1:36" x14ac:dyDescent="0.45">
      <c r="A140" t="s">
        <v>781</v>
      </c>
      <c r="B140" t="str">
        <f t="shared" si="4"/>
        <v>Unknown</v>
      </c>
      <c r="C140">
        <f t="shared" si="5"/>
        <v>0</v>
      </c>
      <c r="D140" s="2"/>
      <c r="E140">
        <f>COUNTIFS(Planets!$C:$C,I140,Planets!$E:$E,1)</f>
        <v>0</v>
      </c>
      <c r="F140" s="3">
        <v>22.3257302110888</v>
      </c>
      <c r="H140" s="2"/>
      <c r="I140" t="s">
        <v>782</v>
      </c>
      <c r="L140">
        <v>0</v>
      </c>
      <c r="M140" s="3">
        <v>6.8451000000000004</v>
      </c>
      <c r="N140" t="s">
        <v>783</v>
      </c>
      <c r="O140" s="3">
        <v>1.376575386509416E-2</v>
      </c>
      <c r="P140" s="3">
        <v>8.68</v>
      </c>
      <c r="Q140" t="s">
        <v>784</v>
      </c>
      <c r="R140" t="s">
        <v>785</v>
      </c>
      <c r="T140" t="s">
        <v>781</v>
      </c>
      <c r="W140" s="3">
        <v>344.14513499999998</v>
      </c>
      <c r="X140" s="3">
        <v>16.553432999999998</v>
      </c>
      <c r="Y140" s="3">
        <v>20.585522857781111</v>
      </c>
      <c r="Z140" s="3">
        <v>-5.8464574406134933</v>
      </c>
      <c r="AA140" s="3">
        <v>6.3605777388083959</v>
      </c>
      <c r="AB140" t="s">
        <v>41</v>
      </c>
      <c r="AC140" t="s">
        <v>782</v>
      </c>
      <c r="AD140">
        <v>0</v>
      </c>
      <c r="AE140">
        <v>0</v>
      </c>
      <c r="AF140" s="3">
        <v>6.3115500000000004</v>
      </c>
      <c r="AG140" s="3">
        <v>-1.792532</v>
      </c>
      <c r="AH140" s="3">
        <v>1.950162</v>
      </c>
      <c r="AI140" s="2" t="s">
        <v>786</v>
      </c>
      <c r="AJ140" s="2"/>
    </row>
    <row r="141" spans="1:36" x14ac:dyDescent="0.45">
      <c r="A141" t="s">
        <v>787</v>
      </c>
      <c r="B141" t="str">
        <f t="shared" si="4"/>
        <v>Unknown</v>
      </c>
      <c r="C141">
        <f t="shared" si="5"/>
        <v>0</v>
      </c>
      <c r="D141" s="2"/>
      <c r="E141">
        <f>COUNTIFS(Planets!$C:$C,I141,Planets!$E:$E,1)</f>
        <v>0</v>
      </c>
      <c r="F141" s="3">
        <v>22.540341107626411</v>
      </c>
      <c r="H141" s="2"/>
      <c r="I141" t="s">
        <v>788</v>
      </c>
      <c r="L141">
        <v>0</v>
      </c>
      <c r="M141" s="3">
        <v>6.9108999999999998</v>
      </c>
      <c r="N141" t="s">
        <v>789</v>
      </c>
      <c r="O141" s="3">
        <v>9.7095700652900002E-5</v>
      </c>
      <c r="P141" s="3">
        <v>14.08</v>
      </c>
      <c r="T141" t="s">
        <v>787</v>
      </c>
      <c r="W141" s="3">
        <v>118.280385</v>
      </c>
      <c r="X141" s="3">
        <v>-67.791860999999997</v>
      </c>
      <c r="Y141" s="3">
        <v>-4.0407578866602876</v>
      </c>
      <c r="Z141" s="3">
        <v>7.5004225245253169</v>
      </c>
      <c r="AA141" s="3">
        <v>-20.86823194442221</v>
      </c>
      <c r="AB141" t="s">
        <v>41</v>
      </c>
      <c r="AC141" t="s">
        <v>788</v>
      </c>
      <c r="AD141">
        <v>0</v>
      </c>
      <c r="AE141">
        <v>0</v>
      </c>
      <c r="AF141" s="3">
        <v>-1.2389019999999999</v>
      </c>
      <c r="AG141" s="3">
        <v>2.2996400000000001</v>
      </c>
      <c r="AH141" s="3">
        <v>-6.3982289999999997</v>
      </c>
      <c r="AI141" s="2" t="s">
        <v>790</v>
      </c>
      <c r="AJ141" s="2"/>
    </row>
    <row r="142" spans="1:36" x14ac:dyDescent="0.45">
      <c r="A142" t="s">
        <v>791</v>
      </c>
      <c r="B142" t="str">
        <f t="shared" si="4"/>
        <v>Unknown</v>
      </c>
      <c r="C142">
        <f t="shared" si="5"/>
        <v>0</v>
      </c>
      <c r="D142" s="2"/>
      <c r="E142">
        <f>COUNTIFS(Planets!$C:$C,I142,Planets!$E:$E,1)</f>
        <v>0</v>
      </c>
      <c r="F142" s="3">
        <v>22.73668724701189</v>
      </c>
      <c r="H142" s="2"/>
      <c r="I142" t="s">
        <v>792</v>
      </c>
      <c r="L142">
        <v>0</v>
      </c>
      <c r="M142" s="3">
        <v>6.9710999999999999</v>
      </c>
      <c r="N142" t="s">
        <v>793</v>
      </c>
      <c r="O142" s="3">
        <v>5.5821306891772622E-2</v>
      </c>
      <c r="P142" s="3">
        <v>7.2</v>
      </c>
      <c r="T142" t="s">
        <v>791</v>
      </c>
      <c r="W142" s="3">
        <v>259.73443500000002</v>
      </c>
      <c r="X142" s="3">
        <v>-34.992894999999997</v>
      </c>
      <c r="Y142" s="3">
        <v>-3.3183345562728102</v>
      </c>
      <c r="Z142" s="3">
        <v>-18.328592478384351</v>
      </c>
      <c r="AA142" s="3">
        <v>-13.03901443708442</v>
      </c>
      <c r="AB142" t="s">
        <v>60</v>
      </c>
      <c r="AC142" t="s">
        <v>776</v>
      </c>
      <c r="AD142">
        <v>0</v>
      </c>
      <c r="AE142">
        <v>0</v>
      </c>
      <c r="AF142" s="3">
        <v>-1.017406</v>
      </c>
      <c r="AG142" s="3">
        <v>-5.6195719999999998</v>
      </c>
      <c r="AH142" s="3">
        <v>-3.9977800000000001</v>
      </c>
      <c r="AI142" s="2" t="s">
        <v>780</v>
      </c>
      <c r="AJ142" s="2"/>
    </row>
    <row r="143" spans="1:36" x14ac:dyDescent="0.45">
      <c r="A143" t="s">
        <v>794</v>
      </c>
      <c r="B143" t="str">
        <f t="shared" si="4"/>
        <v>Yes</v>
      </c>
      <c r="C143">
        <f t="shared" si="5"/>
        <v>5</v>
      </c>
      <c r="D143" s="2"/>
      <c r="E143">
        <f>COUNTIFS(Planets!$C:$C,I143,Planets!$E:$E,1)</f>
        <v>5</v>
      </c>
      <c r="F143" s="3">
        <v>22.73668724701189</v>
      </c>
      <c r="G143" t="s">
        <v>795</v>
      </c>
      <c r="H143" s="2"/>
      <c r="I143" t="s">
        <v>796</v>
      </c>
      <c r="J143" t="s">
        <v>797</v>
      </c>
      <c r="K143" t="s">
        <v>73</v>
      </c>
      <c r="L143">
        <v>3</v>
      </c>
      <c r="M143" s="3">
        <v>6.9710999999999999</v>
      </c>
      <c r="N143" t="s">
        <v>798</v>
      </c>
      <c r="O143" s="3">
        <v>3.3946890538007831E-3</v>
      </c>
      <c r="P143" s="3">
        <v>10.24</v>
      </c>
      <c r="T143" t="s">
        <v>794</v>
      </c>
      <c r="W143" s="3">
        <v>259.73894999999999</v>
      </c>
      <c r="X143" s="3">
        <v>-34.997664999999998</v>
      </c>
      <c r="Y143" s="3">
        <v>-3.3166646356189</v>
      </c>
      <c r="Z143" s="3">
        <v>-18.327737948674731</v>
      </c>
      <c r="AA143" s="3">
        <v>-13.04052780267703</v>
      </c>
      <c r="AB143" t="s">
        <v>416</v>
      </c>
      <c r="AC143" t="s">
        <v>776</v>
      </c>
      <c r="AD143">
        <v>5</v>
      </c>
      <c r="AE143">
        <v>0</v>
      </c>
      <c r="AF143" s="3">
        <v>-1.016894</v>
      </c>
      <c r="AG143" s="3">
        <v>-5.6193099999999996</v>
      </c>
      <c r="AH143" s="3">
        <v>-3.9982440000000001</v>
      </c>
      <c r="AI143" s="2" t="s">
        <v>780</v>
      </c>
      <c r="AJ143" s="2"/>
    </row>
    <row r="144" spans="1:36" x14ac:dyDescent="0.45">
      <c r="A144" t="s">
        <v>799</v>
      </c>
      <c r="B144" t="str">
        <f t="shared" si="4"/>
        <v>Unknown</v>
      </c>
      <c r="C144">
        <f t="shared" si="5"/>
        <v>0</v>
      </c>
      <c r="D144" s="2"/>
      <c r="E144">
        <f>COUNTIFS(Planets!$C:$C,I144,Planets!$E:$E,1)</f>
        <v>0</v>
      </c>
      <c r="F144" s="3">
        <v>22.989784596120089</v>
      </c>
      <c r="H144" s="2"/>
      <c r="I144" t="s">
        <v>800</v>
      </c>
      <c r="L144">
        <v>0</v>
      </c>
      <c r="M144" s="3">
        <v>7.0487000000000002</v>
      </c>
      <c r="N144" t="s">
        <v>88</v>
      </c>
      <c r="O144" s="3">
        <v>1.6458869432193039E-2</v>
      </c>
      <c r="P144" s="3">
        <v>8.5500000000000007</v>
      </c>
      <c r="Q144" t="s">
        <v>801</v>
      </c>
      <c r="R144" t="s">
        <v>802</v>
      </c>
      <c r="T144" t="s">
        <v>799</v>
      </c>
      <c r="W144" s="3">
        <v>313.33244999999999</v>
      </c>
      <c r="X144" s="3">
        <v>62.154389999999999</v>
      </c>
      <c r="Y144" s="3">
        <v>7.3687988567339477</v>
      </c>
      <c r="Z144" s="3">
        <v>-7.8107113944661402</v>
      </c>
      <c r="AA144" s="3">
        <v>20.327343992308091</v>
      </c>
      <c r="AB144" t="s">
        <v>41</v>
      </c>
      <c r="AC144" t="s">
        <v>800</v>
      </c>
      <c r="AD144">
        <v>0</v>
      </c>
      <c r="AE144">
        <v>0</v>
      </c>
      <c r="AF144" s="3">
        <v>2.2592840000000001</v>
      </c>
      <c r="AG144" s="3">
        <v>-2.3947750000000001</v>
      </c>
      <c r="AH144" s="3">
        <v>6.2323919999999999</v>
      </c>
      <c r="AI144" s="2" t="s">
        <v>803</v>
      </c>
      <c r="AJ144" s="2"/>
    </row>
    <row r="145" spans="1:36" x14ac:dyDescent="0.45">
      <c r="A145" t="s">
        <v>804</v>
      </c>
      <c r="B145" t="str">
        <f t="shared" si="4"/>
        <v>Yes</v>
      </c>
      <c r="C145">
        <f t="shared" si="5"/>
        <v>1</v>
      </c>
      <c r="D145" s="2"/>
      <c r="E145">
        <f>COUNTIFS(Planets!$C:$C,I145,Planets!$E:$E,1)</f>
        <v>1</v>
      </c>
      <c r="F145" s="3">
        <v>23.04979736961997</v>
      </c>
      <c r="G145" t="s">
        <v>805</v>
      </c>
      <c r="H145" s="2"/>
      <c r="I145" t="s">
        <v>806</v>
      </c>
      <c r="J145" t="s">
        <v>807</v>
      </c>
      <c r="K145" t="s">
        <v>73</v>
      </c>
      <c r="L145">
        <v>0</v>
      </c>
      <c r="M145" s="3">
        <v>7.0670999999999999</v>
      </c>
      <c r="N145" t="s">
        <v>719</v>
      </c>
      <c r="O145" s="3">
        <v>6.0034375873256442E-3</v>
      </c>
      <c r="P145" s="3">
        <v>9.65</v>
      </c>
      <c r="Q145" t="s">
        <v>808</v>
      </c>
      <c r="T145" t="s">
        <v>804</v>
      </c>
      <c r="W145" s="3">
        <v>157.23147</v>
      </c>
      <c r="X145" s="3">
        <v>0.84099999999999997</v>
      </c>
      <c r="Y145" s="3">
        <v>-21.251596150790469</v>
      </c>
      <c r="Z145" s="3">
        <v>8.9196169861928514</v>
      </c>
      <c r="AA145" s="3">
        <v>0.33832201060557793</v>
      </c>
      <c r="AB145" t="s">
        <v>41</v>
      </c>
      <c r="AC145" t="s">
        <v>806</v>
      </c>
      <c r="AD145">
        <v>1</v>
      </c>
      <c r="AE145">
        <v>0</v>
      </c>
      <c r="AF145" s="3">
        <v>-6.5157689999999997</v>
      </c>
      <c r="AG145" s="3">
        <v>2.7347670000000002</v>
      </c>
      <c r="AH145" s="3">
        <v>0.10373</v>
      </c>
      <c r="AI145" s="2" t="s">
        <v>809</v>
      </c>
      <c r="AJ145" s="2"/>
    </row>
    <row r="146" spans="1:36" x14ac:dyDescent="0.45">
      <c r="A146" t="s">
        <v>810</v>
      </c>
      <c r="B146" t="str">
        <f t="shared" si="4"/>
        <v>Unknown</v>
      </c>
      <c r="C146">
        <f t="shared" si="5"/>
        <v>0</v>
      </c>
      <c r="D146" s="2"/>
      <c r="E146">
        <f>COUNTIFS(Planets!$C:$C,I146,Planets!$E:$E,1)</f>
        <v>0</v>
      </c>
      <c r="F146" s="3">
        <v>23.419006389195321</v>
      </c>
      <c r="H146" s="2"/>
      <c r="I146" t="s">
        <v>811</v>
      </c>
      <c r="L146">
        <v>0</v>
      </c>
      <c r="M146" s="3">
        <v>7.1802999999999999</v>
      </c>
      <c r="N146" t="s">
        <v>812</v>
      </c>
      <c r="O146" s="3">
        <v>0.2169701553800851</v>
      </c>
      <c r="P146" s="3">
        <v>5.79</v>
      </c>
      <c r="Q146" t="s">
        <v>813</v>
      </c>
      <c r="R146" t="s">
        <v>814</v>
      </c>
      <c r="S146" t="s">
        <v>815</v>
      </c>
      <c r="T146" t="s">
        <v>816</v>
      </c>
      <c r="V146" t="s">
        <v>810</v>
      </c>
      <c r="W146" s="3">
        <v>39.020355000000002</v>
      </c>
      <c r="X146" s="3">
        <v>6.88687</v>
      </c>
      <c r="Y146" s="3">
        <v>18.064047040418298</v>
      </c>
      <c r="Z146" s="3">
        <v>14.63862556064975</v>
      </c>
      <c r="AA146" s="3">
        <v>2.8082488124702629</v>
      </c>
      <c r="AB146" t="s">
        <v>41</v>
      </c>
      <c r="AC146" t="s">
        <v>811</v>
      </c>
      <c r="AD146">
        <v>0</v>
      </c>
      <c r="AE146">
        <v>0</v>
      </c>
      <c r="AF146" s="3">
        <v>5.538462</v>
      </c>
      <c r="AG146" s="3">
        <v>4.4882229999999996</v>
      </c>
      <c r="AH146" s="3">
        <v>0.86101300000000003</v>
      </c>
      <c r="AI146" s="2" t="s">
        <v>817</v>
      </c>
      <c r="AJ146" s="2"/>
    </row>
    <row r="147" spans="1:36" x14ac:dyDescent="0.45">
      <c r="A147" t="s">
        <v>818</v>
      </c>
      <c r="B147" t="str">
        <f t="shared" si="4"/>
        <v>Unknown</v>
      </c>
      <c r="C147">
        <f t="shared" si="5"/>
        <v>0</v>
      </c>
      <c r="D147" s="2"/>
      <c r="E147">
        <f>COUNTIFS(Planets!$C:$C,I147,Planets!$E:$E,1)</f>
        <v>0</v>
      </c>
      <c r="F147" s="3">
        <v>23.46434212569795</v>
      </c>
      <c r="H147" s="2"/>
      <c r="I147" t="s">
        <v>819</v>
      </c>
      <c r="L147">
        <v>0</v>
      </c>
      <c r="M147" s="3">
        <v>7.1942000000000004</v>
      </c>
      <c r="N147" t="s">
        <v>304</v>
      </c>
      <c r="O147" s="3">
        <v>3.6140986263959998E-4</v>
      </c>
      <c r="P147" s="3">
        <v>12.74</v>
      </c>
      <c r="T147" t="s">
        <v>818</v>
      </c>
      <c r="W147" s="3">
        <v>189.70675499999999</v>
      </c>
      <c r="X147" s="3">
        <v>-38.374865</v>
      </c>
      <c r="Y147" s="3">
        <v>-18.13203107578958</v>
      </c>
      <c r="Z147" s="3">
        <v>-3.1007230210601979</v>
      </c>
      <c r="AA147" s="3">
        <v>-14.566757002819861</v>
      </c>
      <c r="AB147" t="s">
        <v>41</v>
      </c>
      <c r="AC147" t="s">
        <v>819</v>
      </c>
      <c r="AD147">
        <v>0</v>
      </c>
      <c r="AE147">
        <v>0</v>
      </c>
      <c r="AF147" s="3">
        <v>-5.5593060000000003</v>
      </c>
      <c r="AG147" s="3">
        <v>-0.95068600000000003</v>
      </c>
      <c r="AH147" s="3">
        <v>-4.4661879999999998</v>
      </c>
      <c r="AI147" s="2" t="s">
        <v>820</v>
      </c>
      <c r="AJ147" s="2"/>
    </row>
    <row r="148" spans="1:36" x14ac:dyDescent="0.45">
      <c r="A148" t="s">
        <v>821</v>
      </c>
      <c r="B148" t="str">
        <f t="shared" si="4"/>
        <v>Unknown</v>
      </c>
      <c r="C148">
        <f t="shared" si="5"/>
        <v>0</v>
      </c>
      <c r="D148" s="2"/>
      <c r="E148">
        <f>COUNTIFS(Planets!$C:$C,I148,Planets!$E:$E,1)</f>
        <v>0</v>
      </c>
      <c r="F148" s="3">
        <v>23.51196095684459</v>
      </c>
      <c r="H148" s="2"/>
      <c r="I148" t="s">
        <v>822</v>
      </c>
      <c r="L148">
        <v>0</v>
      </c>
      <c r="M148" s="3">
        <v>7.2088000000000001</v>
      </c>
      <c r="N148" t="s">
        <v>823</v>
      </c>
      <c r="O148" s="3">
        <v>9.808441360308999E-4</v>
      </c>
      <c r="P148" s="3">
        <v>11.66</v>
      </c>
      <c r="T148" t="s">
        <v>821</v>
      </c>
      <c r="W148" s="3">
        <v>39.06465</v>
      </c>
      <c r="X148" s="3">
        <v>6.8716600000000003</v>
      </c>
      <c r="Y148" s="3">
        <v>18.12764101094551</v>
      </c>
      <c r="Z148" s="3">
        <v>14.713471926208189</v>
      </c>
      <c r="AA148" s="3">
        <v>2.8136173464474812</v>
      </c>
      <c r="AB148" t="s">
        <v>60</v>
      </c>
      <c r="AC148" t="s">
        <v>811</v>
      </c>
      <c r="AD148">
        <v>0</v>
      </c>
      <c r="AE148">
        <v>0</v>
      </c>
      <c r="AF148" s="3">
        <v>5.5579599999999996</v>
      </c>
      <c r="AG148" s="3">
        <v>4.511171</v>
      </c>
      <c r="AH148" s="3">
        <v>0.86265899999999995</v>
      </c>
      <c r="AI148" s="2" t="s">
        <v>817</v>
      </c>
      <c r="AJ148" s="2"/>
    </row>
    <row r="149" spans="1:36" x14ac:dyDescent="0.45">
      <c r="A149" t="s">
        <v>824</v>
      </c>
      <c r="B149" t="str">
        <f t="shared" si="4"/>
        <v>Unknown</v>
      </c>
      <c r="C149">
        <f t="shared" si="5"/>
        <v>0</v>
      </c>
      <c r="D149" s="2"/>
      <c r="E149">
        <f>COUNTIFS(Planets!$C:$C,I149,Planets!$E:$E,1)</f>
        <v>0</v>
      </c>
      <c r="F149" s="3">
        <v>23.532182652263032</v>
      </c>
      <c r="H149" s="2"/>
      <c r="I149" t="s">
        <v>825</v>
      </c>
      <c r="L149">
        <v>0</v>
      </c>
      <c r="M149" s="3">
        <v>7.2149999999999999</v>
      </c>
      <c r="N149" t="s">
        <v>249</v>
      </c>
      <c r="O149" s="3">
        <v>6.0311481961799997E-5</v>
      </c>
      <c r="P149" s="3">
        <v>14.69</v>
      </c>
      <c r="T149" t="s">
        <v>824</v>
      </c>
      <c r="W149" s="3">
        <v>353.79423000000003</v>
      </c>
      <c r="X149" s="3">
        <v>-2.390374</v>
      </c>
      <c r="Y149" s="3">
        <v>23.37393157779487</v>
      </c>
      <c r="Z149" s="3">
        <v>-2.5415996658679401</v>
      </c>
      <c r="AA149" s="3">
        <v>-0.98147629495277844</v>
      </c>
      <c r="AB149" t="s">
        <v>41</v>
      </c>
      <c r="AC149" t="s">
        <v>825</v>
      </c>
      <c r="AD149">
        <v>0</v>
      </c>
      <c r="AE149">
        <v>0</v>
      </c>
      <c r="AF149" s="3">
        <v>7.16648</v>
      </c>
      <c r="AG149" s="3">
        <v>-0.77925800000000001</v>
      </c>
      <c r="AH149" s="3">
        <v>-0.30092200000000002</v>
      </c>
      <c r="AI149" s="2" t="s">
        <v>826</v>
      </c>
      <c r="AJ149" s="2"/>
    </row>
    <row r="150" spans="1:36" x14ac:dyDescent="0.45">
      <c r="A150" t="s">
        <v>827</v>
      </c>
      <c r="B150" t="str">
        <f t="shared" si="4"/>
        <v>Unknown</v>
      </c>
      <c r="C150">
        <f t="shared" si="5"/>
        <v>0</v>
      </c>
      <c r="D150" s="2"/>
      <c r="E150">
        <f>COUNTIFS(Planets!$C:$C,I150,Planets!$E:$E,1)</f>
        <v>0</v>
      </c>
      <c r="F150" s="3">
        <v>23.754947458243571</v>
      </c>
      <c r="H150" s="2"/>
      <c r="I150" t="s">
        <v>828</v>
      </c>
      <c r="L150">
        <v>0</v>
      </c>
      <c r="M150" s="3">
        <v>7.2832999999999997</v>
      </c>
      <c r="N150" t="s">
        <v>332</v>
      </c>
      <c r="O150" s="3">
        <v>1.8741312399770001E-4</v>
      </c>
      <c r="P150" s="3">
        <v>13.48</v>
      </c>
      <c r="T150" t="s">
        <v>827</v>
      </c>
      <c r="W150" s="3">
        <v>274.73089499999998</v>
      </c>
      <c r="X150" s="3">
        <v>66.192187000000004</v>
      </c>
      <c r="Y150" s="3">
        <v>0.79246867406592558</v>
      </c>
      <c r="Z150" s="3">
        <v>-9.5563590361541397</v>
      </c>
      <c r="AA150" s="3">
        <v>21.73351176824962</v>
      </c>
      <c r="AB150" t="s">
        <v>41</v>
      </c>
      <c r="AC150" t="s">
        <v>828</v>
      </c>
      <c r="AD150">
        <v>0</v>
      </c>
      <c r="AE150">
        <v>0</v>
      </c>
      <c r="AF150" s="3">
        <v>0.24297199999999999</v>
      </c>
      <c r="AG150" s="3">
        <v>-2.9299930000000001</v>
      </c>
      <c r="AH150" s="3">
        <v>6.6635249999999999</v>
      </c>
      <c r="AI150" s="2" t="s">
        <v>829</v>
      </c>
      <c r="AJ150" s="2"/>
    </row>
    <row r="151" spans="1:36" x14ac:dyDescent="0.45">
      <c r="A151" t="s">
        <v>830</v>
      </c>
      <c r="B151" t="str">
        <f t="shared" si="4"/>
        <v>Unknown</v>
      </c>
      <c r="C151">
        <f t="shared" si="5"/>
        <v>0</v>
      </c>
      <c r="D151" s="2"/>
      <c r="E151">
        <f>COUNTIFS(Planets!$C:$C,I151,Planets!$E:$E,1)</f>
        <v>0</v>
      </c>
      <c r="F151" s="3">
        <v>23.98195229713442</v>
      </c>
      <c r="H151" s="2"/>
      <c r="I151" t="s">
        <v>831</v>
      </c>
      <c r="L151">
        <v>0</v>
      </c>
      <c r="M151" s="3">
        <v>7.3529</v>
      </c>
      <c r="N151" t="s">
        <v>832</v>
      </c>
      <c r="O151" s="3">
        <v>5.1617860549670004E-4</v>
      </c>
      <c r="P151" s="3">
        <v>12.4</v>
      </c>
      <c r="T151" t="s">
        <v>830</v>
      </c>
      <c r="W151" s="3">
        <v>280.28740499999998</v>
      </c>
      <c r="X151" s="3">
        <v>24.784458000000001</v>
      </c>
      <c r="Y151" s="3">
        <v>3.8886124595829812</v>
      </c>
      <c r="Z151" s="3">
        <v>-21.42293914226018</v>
      </c>
      <c r="AA151" s="3">
        <v>10.053372432337801</v>
      </c>
      <c r="AB151" t="s">
        <v>41</v>
      </c>
      <c r="AC151" t="s">
        <v>831</v>
      </c>
      <c r="AD151">
        <v>0</v>
      </c>
      <c r="AE151">
        <v>0</v>
      </c>
      <c r="AF151" s="3">
        <v>1.1922539999999999</v>
      </c>
      <c r="AG151" s="3">
        <v>-6.5683030000000002</v>
      </c>
      <c r="AH151" s="3">
        <v>3.0823779999999998</v>
      </c>
      <c r="AI151" s="2" t="s">
        <v>833</v>
      </c>
      <c r="AJ151" s="2"/>
    </row>
    <row r="152" spans="1:36" x14ac:dyDescent="0.45">
      <c r="A152" t="s">
        <v>834</v>
      </c>
      <c r="B152" t="str">
        <f t="shared" si="4"/>
        <v>Unknown</v>
      </c>
      <c r="C152">
        <f t="shared" si="5"/>
        <v>0</v>
      </c>
      <c r="D152" s="2"/>
      <c r="E152">
        <f>COUNTIFS(Planets!$C:$C,I152,Planets!$E:$E,1)</f>
        <v>0</v>
      </c>
      <c r="F152" s="3">
        <v>23.98195229713442</v>
      </c>
      <c r="H152" s="2"/>
      <c r="I152" t="s">
        <v>835</v>
      </c>
      <c r="L152">
        <v>0</v>
      </c>
      <c r="M152" s="3">
        <v>7.3529</v>
      </c>
      <c r="N152" t="s">
        <v>332</v>
      </c>
      <c r="O152" s="3">
        <v>1.182496870383E-4</v>
      </c>
      <c r="P152" s="3">
        <v>14</v>
      </c>
      <c r="T152" t="s">
        <v>834</v>
      </c>
      <c r="W152" s="3">
        <v>280.28739000000002</v>
      </c>
      <c r="X152" s="3">
        <v>24.786124999999998</v>
      </c>
      <c r="Y152" s="3">
        <v>3.8885570129987692</v>
      </c>
      <c r="Z152" s="3">
        <v>-21.42265538621157</v>
      </c>
      <c r="AA152" s="3">
        <v>10.05400517571057</v>
      </c>
      <c r="AB152" t="s">
        <v>60</v>
      </c>
      <c r="AC152" t="s">
        <v>831</v>
      </c>
      <c r="AD152">
        <v>0</v>
      </c>
      <c r="AE152">
        <v>0</v>
      </c>
      <c r="AF152" s="3">
        <v>1.192237</v>
      </c>
      <c r="AG152" s="3">
        <v>-6.5682159999999996</v>
      </c>
      <c r="AH152" s="3">
        <v>3.0825719999999999</v>
      </c>
      <c r="AI152" s="2" t="s">
        <v>833</v>
      </c>
      <c r="AJ152" s="2"/>
    </row>
    <row r="153" spans="1:36" x14ac:dyDescent="0.45">
      <c r="A153" t="s">
        <v>836</v>
      </c>
      <c r="B153" t="str">
        <f t="shared" si="4"/>
        <v>Unknown</v>
      </c>
      <c r="C153">
        <f t="shared" si="5"/>
        <v>0</v>
      </c>
      <c r="D153" s="2"/>
      <c r="E153">
        <f>COUNTIFS(Planets!$C:$C,I153,Planets!$E:$E,1)</f>
        <v>0</v>
      </c>
      <c r="F153" s="3">
        <v>24.28397310290012</v>
      </c>
      <c r="H153" s="2"/>
      <c r="I153" t="s">
        <v>837</v>
      </c>
      <c r="L153">
        <v>0</v>
      </c>
      <c r="M153" s="3">
        <v>7.4455</v>
      </c>
      <c r="N153" t="s">
        <v>737</v>
      </c>
      <c r="O153" s="3">
        <v>9.4536604595799999E-4</v>
      </c>
      <c r="P153" s="3">
        <v>11.77</v>
      </c>
      <c r="Q153" t="s">
        <v>838</v>
      </c>
      <c r="T153" t="s">
        <v>836</v>
      </c>
      <c r="W153" s="3">
        <v>257.38111500000002</v>
      </c>
      <c r="X153" s="3">
        <v>43.681350999999999</v>
      </c>
      <c r="Y153" s="3">
        <v>-3.836580732645829</v>
      </c>
      <c r="Z153" s="3">
        <v>-17.137782497085411</v>
      </c>
      <c r="AA153" s="3">
        <v>16.771652393715701</v>
      </c>
      <c r="AB153" t="s">
        <v>41</v>
      </c>
      <c r="AC153" t="s">
        <v>837</v>
      </c>
      <c r="AD153">
        <v>0</v>
      </c>
      <c r="AE153">
        <v>0</v>
      </c>
      <c r="AF153" s="3">
        <v>-1.176301</v>
      </c>
      <c r="AG153" s="3">
        <v>-5.2544680000000001</v>
      </c>
      <c r="AH153" s="3">
        <v>5.1422119999999998</v>
      </c>
      <c r="AI153" s="2" t="s">
        <v>839</v>
      </c>
      <c r="AJ153" s="2"/>
    </row>
    <row r="154" spans="1:36" x14ac:dyDescent="0.45">
      <c r="A154" t="s">
        <v>840</v>
      </c>
      <c r="B154" t="str">
        <f t="shared" si="4"/>
        <v>Unknown</v>
      </c>
      <c r="C154">
        <f t="shared" si="5"/>
        <v>0</v>
      </c>
      <c r="D154" s="2"/>
      <c r="E154">
        <f>COUNTIFS(Planets!$C:$C,I154,Planets!$E:$E,1)</f>
        <v>0</v>
      </c>
      <c r="F154" s="3">
        <v>24.314631802405501</v>
      </c>
      <c r="H154" s="2"/>
      <c r="I154" t="s">
        <v>841</v>
      </c>
      <c r="L154">
        <v>0</v>
      </c>
      <c r="M154" s="3">
        <v>7.4549000000000003</v>
      </c>
      <c r="N154" t="s">
        <v>126</v>
      </c>
      <c r="O154" s="3">
        <v>0.24479356661960661</v>
      </c>
      <c r="P154" s="3">
        <v>5.74</v>
      </c>
      <c r="Q154" t="s">
        <v>842</v>
      </c>
      <c r="R154" t="s">
        <v>843</v>
      </c>
      <c r="S154" t="s">
        <v>844</v>
      </c>
      <c r="T154" t="s">
        <v>845</v>
      </c>
      <c r="V154" t="s">
        <v>840</v>
      </c>
      <c r="W154" s="3">
        <v>12.09573</v>
      </c>
      <c r="X154" s="3">
        <v>5.2806150000000001</v>
      </c>
      <c r="Y154" s="3">
        <v>23.673630150151229</v>
      </c>
      <c r="Z154" s="3">
        <v>5.073346147565057</v>
      </c>
      <c r="AA154" s="3">
        <v>2.2377360765681358</v>
      </c>
      <c r="AB154" t="s">
        <v>41</v>
      </c>
      <c r="AC154" t="s">
        <v>841</v>
      </c>
      <c r="AD154">
        <v>0</v>
      </c>
      <c r="AE154">
        <v>0</v>
      </c>
      <c r="AF154" s="3">
        <v>7.2583679999999999</v>
      </c>
      <c r="AG154" s="3">
        <v>1.5554950000000001</v>
      </c>
      <c r="AH154" s="3">
        <v>0.68609299999999995</v>
      </c>
      <c r="AI154" s="2" t="s">
        <v>846</v>
      </c>
      <c r="AJ154" s="2"/>
    </row>
    <row r="155" spans="1:36" x14ac:dyDescent="0.45">
      <c r="A155" t="s">
        <v>847</v>
      </c>
      <c r="B155" t="str">
        <f t="shared" si="4"/>
        <v>Yes</v>
      </c>
      <c r="C155">
        <f t="shared" si="5"/>
        <v>2</v>
      </c>
      <c r="D155" s="2"/>
      <c r="E155">
        <f>COUNTIFS(Planets!$C:$C,I155,Planets!$E:$E,1)</f>
        <v>2</v>
      </c>
      <c r="F155" s="3">
        <v>24.32180724271527</v>
      </c>
      <c r="G155" t="s">
        <v>848</v>
      </c>
      <c r="H155" s="2"/>
      <c r="I155" t="s">
        <v>849</v>
      </c>
      <c r="J155" t="s">
        <v>847</v>
      </c>
      <c r="K155" t="s">
        <v>73</v>
      </c>
      <c r="L155">
        <v>0</v>
      </c>
      <c r="M155" s="3">
        <v>7.4570999999999996</v>
      </c>
      <c r="N155" t="s">
        <v>304</v>
      </c>
      <c r="O155" s="3">
        <v>2.4277278476809999E-4</v>
      </c>
      <c r="P155" s="3">
        <v>13.25</v>
      </c>
      <c r="T155" t="s">
        <v>847</v>
      </c>
      <c r="W155" s="3">
        <v>335.77774499999998</v>
      </c>
      <c r="X155" s="3">
        <v>-17.607447000000001</v>
      </c>
      <c r="Y155" s="3">
        <v>21.141440095780421</v>
      </c>
      <c r="Z155" s="3">
        <v>-9.5111276696923817</v>
      </c>
      <c r="AA155" s="3">
        <v>-7.357194212814786</v>
      </c>
      <c r="AB155" t="s">
        <v>41</v>
      </c>
      <c r="AC155" t="s">
        <v>849</v>
      </c>
      <c r="AD155">
        <v>2</v>
      </c>
      <c r="AE155">
        <v>0</v>
      </c>
      <c r="AF155" s="3">
        <v>6.4819950000000004</v>
      </c>
      <c r="AG155" s="3">
        <v>-2.9161250000000001</v>
      </c>
      <c r="AH155" s="3">
        <v>-2.2557260000000001</v>
      </c>
      <c r="AI155" s="2" t="s">
        <v>850</v>
      </c>
      <c r="AJ155" s="2"/>
    </row>
    <row r="156" spans="1:36" x14ac:dyDescent="0.45">
      <c r="A156" t="s">
        <v>851</v>
      </c>
      <c r="B156" t="str">
        <f t="shared" si="4"/>
        <v>Unknown</v>
      </c>
      <c r="C156">
        <f t="shared" si="5"/>
        <v>0</v>
      </c>
      <c r="D156" s="2"/>
      <c r="E156">
        <f>COUNTIFS(Planets!$C:$C,I156,Planets!$E:$E,1)</f>
        <v>0</v>
      </c>
      <c r="F156" s="3">
        <v>24.327351901136449</v>
      </c>
      <c r="H156" s="2"/>
      <c r="I156" t="s">
        <v>852</v>
      </c>
      <c r="L156">
        <v>0</v>
      </c>
      <c r="M156" s="3">
        <v>7.4588000000000001</v>
      </c>
      <c r="N156" t="s">
        <v>853</v>
      </c>
      <c r="O156" s="3">
        <v>3.607447338641915</v>
      </c>
      <c r="P156" s="3">
        <v>2.82</v>
      </c>
      <c r="Q156" t="s">
        <v>854</v>
      </c>
      <c r="R156" t="s">
        <v>855</v>
      </c>
      <c r="S156" t="s">
        <v>856</v>
      </c>
      <c r="T156" t="s">
        <v>851</v>
      </c>
      <c r="U156" t="s">
        <v>857</v>
      </c>
      <c r="W156" s="3">
        <v>6.4187400000000006</v>
      </c>
      <c r="X156" s="3">
        <v>-77.254247000000007</v>
      </c>
      <c r="Y156" s="3">
        <v>5.3335276131972584</v>
      </c>
      <c r="Z156" s="3">
        <v>0.60181396347160321</v>
      </c>
      <c r="AA156" s="3">
        <v>-23.7285450994674</v>
      </c>
      <c r="AB156" t="s">
        <v>41</v>
      </c>
      <c r="AC156" t="s">
        <v>852</v>
      </c>
      <c r="AD156">
        <v>0</v>
      </c>
      <c r="AE156">
        <v>0</v>
      </c>
      <c r="AF156" s="3">
        <v>1.635267</v>
      </c>
      <c r="AG156" s="3">
        <v>0.18451699999999999</v>
      </c>
      <c r="AH156" s="3">
        <v>-7.2752049999999997</v>
      </c>
      <c r="AI156" s="2" t="s">
        <v>858</v>
      </c>
      <c r="AJ156" s="2"/>
    </row>
    <row r="157" spans="1:36" x14ac:dyDescent="0.45">
      <c r="A157" t="s">
        <v>859</v>
      </c>
      <c r="B157" t="str">
        <f t="shared" si="4"/>
        <v>Unknown</v>
      </c>
      <c r="C157">
        <f t="shared" si="5"/>
        <v>0</v>
      </c>
      <c r="D157" s="2"/>
      <c r="E157">
        <f>COUNTIFS(Planets!$C:$C,I157,Planets!$E:$E,1)</f>
        <v>0</v>
      </c>
      <c r="F157" s="3">
        <v>24.49369165377199</v>
      </c>
      <c r="H157" s="2"/>
      <c r="I157" t="s">
        <v>860</v>
      </c>
      <c r="L157">
        <v>0</v>
      </c>
      <c r="M157" s="3">
        <v>7.5098000000000003</v>
      </c>
      <c r="N157" t="s">
        <v>113</v>
      </c>
      <c r="O157" s="3">
        <v>2.9593749953433861E-3</v>
      </c>
      <c r="P157" s="3">
        <v>10.55</v>
      </c>
      <c r="Q157" t="s">
        <v>861</v>
      </c>
      <c r="T157" t="s">
        <v>859</v>
      </c>
      <c r="W157" s="3">
        <v>41.064390000000003</v>
      </c>
      <c r="X157" s="3">
        <v>25.523357000000001</v>
      </c>
      <c r="Y157" s="3">
        <v>16.66583421852928</v>
      </c>
      <c r="Z157" s="3">
        <v>14.52041996623765</v>
      </c>
      <c r="AA157" s="3">
        <v>10.554195335013191</v>
      </c>
      <c r="AB157" t="s">
        <v>41</v>
      </c>
      <c r="AC157" t="s">
        <v>860</v>
      </c>
      <c r="AD157">
        <v>0</v>
      </c>
      <c r="AE157">
        <v>0</v>
      </c>
      <c r="AF157" s="3">
        <v>5.1097679999999999</v>
      </c>
      <c r="AG157" s="3">
        <v>4.451981</v>
      </c>
      <c r="AH157" s="3">
        <v>3.2359309999999999</v>
      </c>
      <c r="AI157" s="2" t="s">
        <v>862</v>
      </c>
      <c r="AJ157" s="2"/>
    </row>
    <row r="158" spans="1:36" x14ac:dyDescent="0.45">
      <c r="A158" t="s">
        <v>863</v>
      </c>
      <c r="B158" t="str">
        <f t="shared" si="4"/>
        <v>Unknown</v>
      </c>
      <c r="C158">
        <f t="shared" si="5"/>
        <v>0</v>
      </c>
      <c r="D158" s="2"/>
      <c r="E158">
        <f>COUNTIFS(Planets!$C:$C,I158,Planets!$E:$E,1)</f>
        <v>0</v>
      </c>
      <c r="F158" s="3">
        <v>24.554356740027309</v>
      </c>
      <c r="H158" s="2"/>
      <c r="I158" t="s">
        <v>864</v>
      </c>
      <c r="L158">
        <v>0</v>
      </c>
      <c r="M158" s="3">
        <v>7.5284000000000004</v>
      </c>
      <c r="N158" t="s">
        <v>865</v>
      </c>
      <c r="O158" s="3">
        <v>1.9480495532907649E-2</v>
      </c>
      <c r="P158" s="3">
        <v>8.51</v>
      </c>
      <c r="Q158" t="s">
        <v>866</v>
      </c>
      <c r="W158" s="3">
        <v>193.49446499999999</v>
      </c>
      <c r="X158" s="3">
        <v>-18.034763999999999</v>
      </c>
      <c r="Y158" s="3">
        <v>-22.703393203974571</v>
      </c>
      <c r="Z158" s="3">
        <v>-5.4482792115693393</v>
      </c>
      <c r="AA158" s="3">
        <v>-7.6018799889416639</v>
      </c>
      <c r="AB158" t="s">
        <v>41</v>
      </c>
      <c r="AC158" t="s">
        <v>864</v>
      </c>
      <c r="AD158">
        <v>0</v>
      </c>
      <c r="AE158">
        <v>0</v>
      </c>
      <c r="AF158" s="3">
        <v>-6.9608920000000003</v>
      </c>
      <c r="AG158" s="3">
        <v>-1.67045</v>
      </c>
      <c r="AH158" s="3">
        <v>-2.3307470000000001</v>
      </c>
      <c r="AI158" s="2" t="s">
        <v>867</v>
      </c>
      <c r="AJ158" s="2"/>
    </row>
    <row r="159" spans="1:36" x14ac:dyDescent="0.45">
      <c r="A159" t="s">
        <v>868</v>
      </c>
      <c r="B159" t="str">
        <f t="shared" si="4"/>
        <v>Unknown</v>
      </c>
      <c r="C159">
        <f t="shared" si="5"/>
        <v>0</v>
      </c>
      <c r="D159" s="2"/>
      <c r="E159">
        <f>COUNTIFS(Planets!$C:$C,I159,Planets!$E:$E,1)</f>
        <v>0</v>
      </c>
      <c r="F159" s="3">
        <v>24.559901398448488</v>
      </c>
      <c r="H159" s="2"/>
      <c r="I159" t="s">
        <v>869</v>
      </c>
      <c r="L159">
        <v>0</v>
      </c>
      <c r="M159" s="3">
        <v>7.5301</v>
      </c>
      <c r="N159" t="s">
        <v>870</v>
      </c>
      <c r="O159" s="3">
        <v>3.3542853083299997E-5</v>
      </c>
      <c r="P159" s="3">
        <v>15.42</v>
      </c>
      <c r="T159" t="s">
        <v>868</v>
      </c>
      <c r="W159" s="3">
        <v>6.1754850000000001</v>
      </c>
      <c r="X159" s="3">
        <v>-27.147825000000001</v>
      </c>
      <c r="Y159" s="3">
        <v>21.69492094563817</v>
      </c>
      <c r="Z159" s="3">
        <v>2.3473931123202818</v>
      </c>
      <c r="AA159" s="3">
        <v>-11.18963602102739</v>
      </c>
      <c r="AB159" t="s">
        <v>41</v>
      </c>
      <c r="AC159" t="s">
        <v>869</v>
      </c>
      <c r="AD159">
        <v>0</v>
      </c>
      <c r="AE159">
        <v>0</v>
      </c>
      <c r="AF159" s="3">
        <v>6.6516929999999999</v>
      </c>
      <c r="AG159" s="3">
        <v>0.71971399999999996</v>
      </c>
      <c r="AH159" s="3">
        <v>-3.430758</v>
      </c>
      <c r="AI159" s="2" t="s">
        <v>871</v>
      </c>
      <c r="AJ159" s="2"/>
    </row>
    <row r="160" spans="1:36" x14ac:dyDescent="0.45">
      <c r="A160" t="s">
        <v>872</v>
      </c>
      <c r="B160" t="str">
        <f t="shared" si="4"/>
        <v>Unknown</v>
      </c>
      <c r="C160">
        <f t="shared" si="5"/>
        <v>0</v>
      </c>
      <c r="D160" s="2"/>
      <c r="E160">
        <f>COUNTIFS(Planets!$C:$C,I160,Planets!$E:$E,1)</f>
        <v>0</v>
      </c>
      <c r="F160" s="3">
        <v>24.567402995135971</v>
      </c>
      <c r="H160" s="2"/>
      <c r="I160" t="s">
        <v>873</v>
      </c>
      <c r="L160">
        <v>0</v>
      </c>
      <c r="M160" s="3">
        <v>7.5324</v>
      </c>
      <c r="N160" t="s">
        <v>54</v>
      </c>
      <c r="O160" s="3">
        <v>0.39627803425543912</v>
      </c>
      <c r="P160" s="3">
        <v>5.24</v>
      </c>
      <c r="Q160" t="s">
        <v>874</v>
      </c>
      <c r="R160" t="s">
        <v>875</v>
      </c>
      <c r="S160" t="s">
        <v>876</v>
      </c>
      <c r="T160" t="s">
        <v>872</v>
      </c>
      <c r="U160" t="s">
        <v>877</v>
      </c>
      <c r="W160" s="3">
        <v>25.62405</v>
      </c>
      <c r="X160" s="3">
        <v>20.268504</v>
      </c>
      <c r="Y160" s="3">
        <v>20.778783557833389</v>
      </c>
      <c r="Z160" s="3">
        <v>9.9662332329032175</v>
      </c>
      <c r="AA160" s="3">
        <v>8.5103005168496679</v>
      </c>
      <c r="AB160" t="s">
        <v>41</v>
      </c>
      <c r="AC160" t="s">
        <v>873</v>
      </c>
      <c r="AD160">
        <v>0</v>
      </c>
      <c r="AE160">
        <v>0</v>
      </c>
      <c r="AF160" s="3">
        <v>6.3708039999999997</v>
      </c>
      <c r="AG160" s="3">
        <v>3.0556610000000002</v>
      </c>
      <c r="AH160" s="3">
        <v>2.60927</v>
      </c>
      <c r="AI160" s="2" t="s">
        <v>878</v>
      </c>
      <c r="AJ160" s="2"/>
    </row>
    <row r="161" spans="1:36" x14ac:dyDescent="0.45">
      <c r="A161" t="s">
        <v>879</v>
      </c>
      <c r="B161" t="str">
        <f t="shared" si="4"/>
        <v>Unknown</v>
      </c>
      <c r="C161">
        <f t="shared" si="5"/>
        <v>0</v>
      </c>
      <c r="D161" s="2"/>
      <c r="E161">
        <f>COUNTIFS(Planets!$C:$C,I161,Planets!$E:$E,1)</f>
        <v>0</v>
      </c>
      <c r="F161" s="3">
        <v>24.578492311978341</v>
      </c>
      <c r="H161" s="2"/>
      <c r="I161" t="s">
        <v>880</v>
      </c>
      <c r="L161">
        <v>0</v>
      </c>
      <c r="M161" s="3">
        <v>7.5358000000000001</v>
      </c>
      <c r="N161" t="s">
        <v>332</v>
      </c>
      <c r="O161" s="3">
        <v>1.747430855267E-4</v>
      </c>
      <c r="P161" s="3">
        <v>13.63</v>
      </c>
      <c r="T161" t="s">
        <v>879</v>
      </c>
      <c r="W161" s="3">
        <v>271.887045</v>
      </c>
      <c r="X161" s="3">
        <v>-15.965788999999999</v>
      </c>
      <c r="Y161" s="3">
        <v>0.77800363871418798</v>
      </c>
      <c r="Z161" s="3">
        <v>-23.61759648445949</v>
      </c>
      <c r="AA161" s="3">
        <v>-6.7606411517157534</v>
      </c>
      <c r="AB161" t="s">
        <v>41</v>
      </c>
      <c r="AC161" t="s">
        <v>880</v>
      </c>
      <c r="AD161">
        <v>0</v>
      </c>
      <c r="AE161">
        <v>0</v>
      </c>
      <c r="AF161" s="3">
        <v>0.238537</v>
      </c>
      <c r="AG161" s="3">
        <v>-7.2411880000000002</v>
      </c>
      <c r="AH161" s="3">
        <v>-2.0728219999999999</v>
      </c>
      <c r="AI161" s="2" t="s">
        <v>881</v>
      </c>
      <c r="AJ161" s="2"/>
    </row>
    <row r="162" spans="1:36" x14ac:dyDescent="0.45">
      <c r="A162" t="s">
        <v>882</v>
      </c>
      <c r="B162" t="str">
        <f t="shared" si="4"/>
        <v>Unknown</v>
      </c>
      <c r="C162">
        <f t="shared" si="5"/>
        <v>0</v>
      </c>
      <c r="D162" s="2"/>
      <c r="E162">
        <f>COUNTIFS(Planets!$C:$C,I162,Planets!$E:$E,1)</f>
        <v>0</v>
      </c>
      <c r="F162" s="3">
        <v>24.634265052567908</v>
      </c>
      <c r="H162" s="2"/>
      <c r="I162" t="s">
        <v>883</v>
      </c>
      <c r="L162">
        <v>0</v>
      </c>
      <c r="M162" s="3">
        <v>7.5529000000000002</v>
      </c>
      <c r="O162" s="3">
        <v>1.9787913352337359E-3</v>
      </c>
      <c r="P162" s="3">
        <v>11</v>
      </c>
      <c r="T162" t="s">
        <v>882</v>
      </c>
      <c r="W162" s="3">
        <v>17.030925</v>
      </c>
      <c r="X162" s="3">
        <v>54.920395999999997</v>
      </c>
      <c r="Y162" s="3">
        <v>13.534263327264631</v>
      </c>
      <c r="Z162" s="3">
        <v>4.1549224035524794</v>
      </c>
      <c r="AA162" s="3">
        <v>20.159559366919272</v>
      </c>
      <c r="AB162" t="s">
        <v>60</v>
      </c>
      <c r="AC162" t="s">
        <v>884</v>
      </c>
      <c r="AD162">
        <v>0</v>
      </c>
      <c r="AE162">
        <v>0</v>
      </c>
      <c r="AF162" s="3">
        <v>4.1496240000000002</v>
      </c>
      <c r="AG162" s="3">
        <v>1.2739050000000001</v>
      </c>
      <c r="AH162" s="3">
        <v>6.180949</v>
      </c>
      <c r="AI162" s="2" t="s">
        <v>885</v>
      </c>
      <c r="AJ162" s="2"/>
    </row>
    <row r="163" spans="1:36" x14ac:dyDescent="0.45">
      <c r="A163" t="s">
        <v>886</v>
      </c>
      <c r="B163" t="str">
        <f t="shared" si="4"/>
        <v>Unknown</v>
      </c>
      <c r="C163">
        <f t="shared" si="5"/>
        <v>0</v>
      </c>
      <c r="D163" s="2"/>
      <c r="E163">
        <f>COUNTIFS(Planets!$C:$C,I163,Planets!$E:$E,1)</f>
        <v>0</v>
      </c>
      <c r="F163" s="3">
        <v>24.637852772722791</v>
      </c>
      <c r="H163" s="2"/>
      <c r="I163" t="s">
        <v>884</v>
      </c>
      <c r="L163">
        <v>0</v>
      </c>
      <c r="M163" s="3">
        <v>7.5540000000000003</v>
      </c>
      <c r="N163" t="s">
        <v>887</v>
      </c>
      <c r="O163" s="3">
        <v>0.42501083317604688</v>
      </c>
      <c r="P163" s="3">
        <v>5.17</v>
      </c>
      <c r="Q163" t="s">
        <v>888</v>
      </c>
      <c r="R163" t="s">
        <v>889</v>
      </c>
      <c r="S163" t="s">
        <v>890</v>
      </c>
      <c r="T163" t="s">
        <v>886</v>
      </c>
      <c r="U163" t="s">
        <v>891</v>
      </c>
      <c r="W163" s="3">
        <v>17.062155000000001</v>
      </c>
      <c r="X163" s="3">
        <v>54.920340000000003</v>
      </c>
      <c r="Y163" s="3">
        <v>13.53450794454792</v>
      </c>
      <c r="Z163" s="3">
        <v>4.1555649316165812</v>
      </c>
      <c r="AA163" s="3">
        <v>20.160136663707831</v>
      </c>
      <c r="AB163" t="s">
        <v>41</v>
      </c>
      <c r="AC163" t="s">
        <v>884</v>
      </c>
      <c r="AD163">
        <v>0</v>
      </c>
      <c r="AE163">
        <v>0</v>
      </c>
      <c r="AF163" s="3">
        <v>4.149699</v>
      </c>
      <c r="AG163" s="3">
        <v>1.2741020000000001</v>
      </c>
      <c r="AH163" s="3">
        <v>6.1811259999999999</v>
      </c>
      <c r="AI163" s="2" t="s">
        <v>885</v>
      </c>
      <c r="AJ163" s="2"/>
    </row>
    <row r="164" spans="1:36" x14ac:dyDescent="0.45">
      <c r="A164" t="s">
        <v>892</v>
      </c>
      <c r="B164" t="str">
        <f t="shared" si="4"/>
        <v>Yes</v>
      </c>
      <c r="C164">
        <f t="shared" si="5"/>
        <v>1</v>
      </c>
      <c r="D164" s="2"/>
      <c r="E164">
        <f>COUNTIFS(Planets!$C:$C,I164,Planets!$E:$E,1)</f>
        <v>1</v>
      </c>
      <c r="F164" s="3">
        <v>24.67144687962762</v>
      </c>
      <c r="G164" t="s">
        <v>893</v>
      </c>
      <c r="H164" s="2"/>
      <c r="I164" t="s">
        <v>894</v>
      </c>
      <c r="J164" t="s">
        <v>892</v>
      </c>
      <c r="K164" t="s">
        <v>73</v>
      </c>
      <c r="L164">
        <v>0</v>
      </c>
      <c r="M164" s="3">
        <v>7.5643000000000002</v>
      </c>
      <c r="N164" t="s">
        <v>332</v>
      </c>
      <c r="O164" s="3">
        <v>1.0318106352675909E-3</v>
      </c>
      <c r="P164" s="3">
        <v>11.71</v>
      </c>
      <c r="T164" t="s">
        <v>892</v>
      </c>
      <c r="W164" s="3">
        <v>90.291944999999998</v>
      </c>
      <c r="X164" s="3">
        <v>59.600971999999999</v>
      </c>
      <c r="Y164" s="3">
        <v>-6.3183013491287521E-2</v>
      </c>
      <c r="Z164" s="3">
        <v>12.48406262196316</v>
      </c>
      <c r="AA164" s="3">
        <v>21.27967169178433</v>
      </c>
      <c r="AB164" t="s">
        <v>41</v>
      </c>
      <c r="AC164" t="s">
        <v>894</v>
      </c>
      <c r="AD164">
        <v>1</v>
      </c>
      <c r="AE164">
        <v>0</v>
      </c>
      <c r="AF164" s="3">
        <v>-1.9372E-2</v>
      </c>
      <c r="AG164" s="3">
        <v>3.8276309999999998</v>
      </c>
      <c r="AH164" s="3">
        <v>6.5243770000000003</v>
      </c>
      <c r="AI164" s="2" t="s">
        <v>895</v>
      </c>
      <c r="AJ164" s="2"/>
    </row>
    <row r="165" spans="1:36" x14ac:dyDescent="0.45">
      <c r="A165" t="s">
        <v>896</v>
      </c>
      <c r="B165" t="str">
        <f t="shared" si="4"/>
        <v>Unknown</v>
      </c>
      <c r="C165">
        <f t="shared" si="5"/>
        <v>0</v>
      </c>
      <c r="D165" s="2"/>
      <c r="E165">
        <f>COUNTIFS(Planets!$C:$C,I165,Planets!$E:$E,1)</f>
        <v>0</v>
      </c>
      <c r="F165" s="3">
        <v>24.817891093222439</v>
      </c>
      <c r="H165" s="2"/>
      <c r="I165" t="s">
        <v>897</v>
      </c>
      <c r="L165">
        <v>0</v>
      </c>
      <c r="M165" s="3">
        <v>7.6092000000000004</v>
      </c>
      <c r="N165" t="s">
        <v>898</v>
      </c>
      <c r="O165" s="3">
        <v>0.12906247820605371</v>
      </c>
      <c r="P165" s="3">
        <v>6.48</v>
      </c>
      <c r="Q165" t="s">
        <v>899</v>
      </c>
      <c r="R165" t="s">
        <v>900</v>
      </c>
      <c r="S165" t="s">
        <v>901</v>
      </c>
      <c r="T165" t="s">
        <v>896</v>
      </c>
      <c r="W165" s="3">
        <v>344.100075</v>
      </c>
      <c r="X165" s="3">
        <v>-31.565567000000001</v>
      </c>
      <c r="Y165" s="3">
        <v>20.3370993295656</v>
      </c>
      <c r="Z165" s="3">
        <v>-5.7930917340914796</v>
      </c>
      <c r="AA165" s="3">
        <v>-12.991656531039951</v>
      </c>
      <c r="AB165" t="s">
        <v>41</v>
      </c>
      <c r="AC165" t="s">
        <v>897</v>
      </c>
      <c r="AD165">
        <v>0</v>
      </c>
      <c r="AE165">
        <v>0</v>
      </c>
      <c r="AF165" s="3">
        <v>6.2353829999999997</v>
      </c>
      <c r="AG165" s="3">
        <v>-1.77617</v>
      </c>
      <c r="AH165" s="3">
        <v>-3.98326</v>
      </c>
      <c r="AI165" s="2" t="s">
        <v>902</v>
      </c>
      <c r="AJ165" s="2"/>
    </row>
    <row r="166" spans="1:36" x14ac:dyDescent="0.45">
      <c r="A166" t="s">
        <v>903</v>
      </c>
      <c r="B166" t="str">
        <f t="shared" si="4"/>
        <v>Unknown</v>
      </c>
      <c r="C166">
        <f t="shared" si="5"/>
        <v>0</v>
      </c>
      <c r="D166" s="2"/>
      <c r="E166">
        <f>COUNTIFS(Planets!$C:$C,I166,Planets!$E:$E,1)</f>
        <v>0</v>
      </c>
      <c r="F166" s="3">
        <v>24.897473249385321</v>
      </c>
      <c r="H166" s="2"/>
      <c r="I166" t="s">
        <v>904</v>
      </c>
      <c r="L166">
        <v>0</v>
      </c>
      <c r="M166" s="3">
        <v>7.6336000000000004</v>
      </c>
      <c r="N166" t="s">
        <v>737</v>
      </c>
      <c r="O166" s="3">
        <v>9.6738644996899998E-4</v>
      </c>
      <c r="P166" s="3">
        <v>11.8</v>
      </c>
      <c r="T166" t="s">
        <v>903</v>
      </c>
      <c r="W166" s="3">
        <v>45.459584999999997</v>
      </c>
      <c r="X166" s="3">
        <v>-16.589769</v>
      </c>
      <c r="Y166" s="3">
        <v>16.736512305580501</v>
      </c>
      <c r="Z166" s="3">
        <v>17.007065544024091</v>
      </c>
      <c r="AA166" s="3">
        <v>-7.1086565298670719</v>
      </c>
      <c r="AB166" t="s">
        <v>60</v>
      </c>
      <c r="AC166" t="s">
        <v>904</v>
      </c>
      <c r="AD166">
        <v>0</v>
      </c>
      <c r="AE166">
        <v>0</v>
      </c>
      <c r="AF166" s="3">
        <v>5.1314380000000002</v>
      </c>
      <c r="AG166" s="3">
        <v>5.2143899999999999</v>
      </c>
      <c r="AH166" s="3">
        <v>-2.1795239999999998</v>
      </c>
      <c r="AI166" s="2" t="s">
        <v>905</v>
      </c>
      <c r="AJ166" s="2"/>
    </row>
    <row r="167" spans="1:36" x14ac:dyDescent="0.45">
      <c r="A167" t="s">
        <v>906</v>
      </c>
      <c r="B167" t="str">
        <f t="shared" si="4"/>
        <v>Unknown</v>
      </c>
      <c r="C167">
        <f t="shared" si="5"/>
        <v>0</v>
      </c>
      <c r="D167" s="2"/>
      <c r="E167">
        <f>COUNTIFS(Planets!$C:$C,I167,Planets!$E:$E,1)</f>
        <v>0</v>
      </c>
      <c r="F167" s="3">
        <v>24.897473249385321</v>
      </c>
      <c r="H167" s="2"/>
      <c r="I167" t="s">
        <v>907</v>
      </c>
      <c r="L167">
        <v>0</v>
      </c>
      <c r="M167" s="3">
        <v>7.6336000000000004</v>
      </c>
      <c r="N167" t="s">
        <v>737</v>
      </c>
      <c r="O167" s="3">
        <v>2.7289800000000002E-3</v>
      </c>
      <c r="P167" s="3">
        <v>10.96</v>
      </c>
      <c r="T167" t="s">
        <v>906</v>
      </c>
      <c r="W167" s="3">
        <v>45.45984</v>
      </c>
      <c r="X167" s="3">
        <v>-16.590778</v>
      </c>
      <c r="Y167" s="3">
        <v>16.736290519243649</v>
      </c>
      <c r="Z167" s="3">
        <v>17.007111205916971</v>
      </c>
      <c r="AA167" s="3">
        <v>-7.1090674869029966</v>
      </c>
      <c r="AB167" t="s">
        <v>41</v>
      </c>
      <c r="AC167" t="s">
        <v>907</v>
      </c>
      <c r="AD167">
        <v>0</v>
      </c>
      <c r="AE167">
        <v>0</v>
      </c>
      <c r="AF167" s="3">
        <v>5.1313700000000004</v>
      </c>
      <c r="AG167" s="3">
        <v>5.214404</v>
      </c>
      <c r="AH167" s="3">
        <v>-2.1796500000000001</v>
      </c>
      <c r="AI167" s="2" t="s">
        <v>908</v>
      </c>
      <c r="AJ167" s="2"/>
    </row>
    <row r="168" spans="1:36" x14ac:dyDescent="0.45">
      <c r="A168" t="s">
        <v>909</v>
      </c>
      <c r="B168" t="str">
        <f t="shared" si="4"/>
        <v>Yes</v>
      </c>
      <c r="C168">
        <f t="shared" si="5"/>
        <v>1</v>
      </c>
      <c r="D168" s="2"/>
      <c r="E168">
        <f>COUNTIFS(Planets!$C:$C,I168,Planets!$E:$E,1)</f>
        <v>1</v>
      </c>
      <c r="F168" s="3">
        <v>24.969879965238441</v>
      </c>
      <c r="G168" t="s">
        <v>910</v>
      </c>
      <c r="H168" s="2"/>
      <c r="I168" t="s">
        <v>911</v>
      </c>
      <c r="J168" t="s">
        <v>912</v>
      </c>
      <c r="K168" t="s">
        <v>73</v>
      </c>
      <c r="L168">
        <v>0</v>
      </c>
      <c r="M168" s="3">
        <v>7.6558000000000002</v>
      </c>
      <c r="N168" t="s">
        <v>205</v>
      </c>
      <c r="O168" s="3">
        <v>1.2246161992650471E-2</v>
      </c>
      <c r="P168" s="3">
        <v>9.0500000000000007</v>
      </c>
      <c r="Q168" t="s">
        <v>913</v>
      </c>
      <c r="T168" t="s">
        <v>909</v>
      </c>
      <c r="W168" s="3">
        <v>202.49906999999999</v>
      </c>
      <c r="X168" s="3">
        <v>10.377162</v>
      </c>
      <c r="Y168" s="3">
        <v>-22.692352810588861</v>
      </c>
      <c r="Z168" s="3">
        <v>-9.399066861436463</v>
      </c>
      <c r="AA168" s="3">
        <v>4.4978269112649771</v>
      </c>
      <c r="AB168" t="s">
        <v>41</v>
      </c>
      <c r="AC168" t="s">
        <v>911</v>
      </c>
      <c r="AD168">
        <v>1</v>
      </c>
      <c r="AE168">
        <v>0</v>
      </c>
      <c r="AF168" s="3">
        <v>-6.9575069999999997</v>
      </c>
      <c r="AG168" s="3">
        <v>-2.881767</v>
      </c>
      <c r="AH168" s="3">
        <v>1.37904</v>
      </c>
      <c r="AI168" s="2" t="s">
        <v>914</v>
      </c>
      <c r="AJ168" s="2"/>
    </row>
    <row r="169" spans="1:36" x14ac:dyDescent="0.45">
      <c r="A169" t="s">
        <v>915</v>
      </c>
      <c r="B169" t="str">
        <f t="shared" si="4"/>
        <v>Unknown</v>
      </c>
      <c r="C169">
        <f t="shared" si="5"/>
        <v>0</v>
      </c>
      <c r="D169" s="2"/>
      <c r="E169">
        <f>COUNTIFS(Planets!$C:$C,I169,Planets!$E:$E,1)</f>
        <v>0</v>
      </c>
      <c r="F169" s="3">
        <v>25.044569775735571</v>
      </c>
      <c r="H169" s="2"/>
      <c r="I169" t="s">
        <v>916</v>
      </c>
      <c r="L169">
        <v>0</v>
      </c>
      <c r="M169" s="3">
        <v>7.6787000000000001</v>
      </c>
      <c r="N169" t="s">
        <v>917</v>
      </c>
      <c r="O169" s="3">
        <v>49.934418872134977</v>
      </c>
      <c r="P169" s="3">
        <v>0.03</v>
      </c>
      <c r="Q169" t="s">
        <v>918</v>
      </c>
      <c r="R169" t="s">
        <v>919</v>
      </c>
      <c r="S169" t="s">
        <v>920</v>
      </c>
      <c r="T169" t="s">
        <v>921</v>
      </c>
      <c r="U169" t="s">
        <v>922</v>
      </c>
      <c r="V169" t="s">
        <v>915</v>
      </c>
      <c r="W169" s="3">
        <v>279.2346</v>
      </c>
      <c r="X169" s="3">
        <v>38.783692000000002</v>
      </c>
      <c r="Y169" s="3">
        <v>3.1329440096148362</v>
      </c>
      <c r="Z169" s="3">
        <v>-19.269348149579191</v>
      </c>
      <c r="AA169" s="3">
        <v>15.6872444075193</v>
      </c>
      <c r="AB169" t="s">
        <v>41</v>
      </c>
      <c r="AC169" t="s">
        <v>916</v>
      </c>
      <c r="AD169">
        <v>0</v>
      </c>
      <c r="AE169">
        <v>0</v>
      </c>
      <c r="AF169" s="3">
        <v>0.960565</v>
      </c>
      <c r="AG169" s="3">
        <v>-5.9080089999999998</v>
      </c>
      <c r="AH169" s="3">
        <v>4.8097310000000002</v>
      </c>
      <c r="AI169" s="2" t="s">
        <v>923</v>
      </c>
      <c r="AJ169" s="2"/>
    </row>
    <row r="170" spans="1:36" x14ac:dyDescent="0.45">
      <c r="A170" t="s">
        <v>924</v>
      </c>
      <c r="B170" t="str">
        <f t="shared" si="4"/>
        <v>Unknown</v>
      </c>
      <c r="C170">
        <f t="shared" si="5"/>
        <v>0</v>
      </c>
      <c r="D170" s="2"/>
      <c r="E170">
        <f>COUNTIFS(Planets!$C:$C,I170,Planets!$E:$E,1)</f>
        <v>0</v>
      </c>
      <c r="F170" s="3">
        <v>25.115998022455539</v>
      </c>
      <c r="H170" s="2"/>
      <c r="I170" t="s">
        <v>925</v>
      </c>
      <c r="L170">
        <v>0</v>
      </c>
      <c r="M170" s="3">
        <v>7.7005999999999997</v>
      </c>
      <c r="N170" t="s">
        <v>180</v>
      </c>
      <c r="O170" s="3">
        <v>4.9796635416448562E-2</v>
      </c>
      <c r="P170" s="3">
        <v>7.54</v>
      </c>
      <c r="Q170" t="s">
        <v>926</v>
      </c>
      <c r="R170" t="s">
        <v>927</v>
      </c>
      <c r="T170" t="s">
        <v>924</v>
      </c>
      <c r="W170" s="3">
        <v>261.43846500000001</v>
      </c>
      <c r="X170" s="3">
        <v>2.1114220000000001</v>
      </c>
      <c r="Y170" s="3">
        <v>-3.7364181090490169</v>
      </c>
      <c r="Z170" s="3">
        <v>-24.81858580630697</v>
      </c>
      <c r="AA170" s="3">
        <v>0.92532195140128659</v>
      </c>
      <c r="AB170" t="s">
        <v>41</v>
      </c>
      <c r="AC170" t="s">
        <v>925</v>
      </c>
      <c r="AD170">
        <v>0</v>
      </c>
      <c r="AE170">
        <v>0</v>
      </c>
      <c r="AF170" s="3">
        <v>-1.145591</v>
      </c>
      <c r="AG170" s="3">
        <v>-7.609413</v>
      </c>
      <c r="AH170" s="3">
        <v>0.28370499999999998</v>
      </c>
      <c r="AI170" s="2" t="s">
        <v>928</v>
      </c>
      <c r="AJ170" s="2"/>
    </row>
    <row r="171" spans="1:36" x14ac:dyDescent="0.45">
      <c r="A171" t="s">
        <v>929</v>
      </c>
      <c r="B171" t="str">
        <f t="shared" si="4"/>
        <v>Unknown</v>
      </c>
      <c r="C171">
        <f t="shared" si="5"/>
        <v>0</v>
      </c>
      <c r="D171" s="2"/>
      <c r="E171">
        <f>COUNTIFS(Planets!$C:$C,I171,Planets!$E:$E,1)</f>
        <v>0</v>
      </c>
      <c r="F171" s="3">
        <v>25.125782713787039</v>
      </c>
      <c r="H171" s="2"/>
      <c r="I171" t="s">
        <v>930</v>
      </c>
      <c r="L171">
        <v>0</v>
      </c>
      <c r="M171" s="3">
        <v>7.7035999999999998</v>
      </c>
      <c r="N171" t="s">
        <v>931</v>
      </c>
      <c r="O171" s="3">
        <v>17.587333541355719</v>
      </c>
      <c r="P171" s="3">
        <v>1.17</v>
      </c>
      <c r="Q171" t="s">
        <v>932</v>
      </c>
      <c r="R171" t="s">
        <v>933</v>
      </c>
      <c r="S171" t="s">
        <v>934</v>
      </c>
      <c r="T171" t="s">
        <v>935</v>
      </c>
      <c r="U171" t="s">
        <v>936</v>
      </c>
      <c r="V171" t="s">
        <v>929</v>
      </c>
      <c r="W171" s="3">
        <v>344.41257000000002</v>
      </c>
      <c r="X171" s="3">
        <v>-29.622236000000001</v>
      </c>
      <c r="Y171" s="3">
        <v>21.03877259120274</v>
      </c>
      <c r="Z171" s="3">
        <v>-5.8691057394821442</v>
      </c>
      <c r="AA171" s="3">
        <v>-12.41924230345573</v>
      </c>
      <c r="AB171" t="s">
        <v>41</v>
      </c>
      <c r="AC171" t="s">
        <v>930</v>
      </c>
      <c r="AD171">
        <v>0</v>
      </c>
      <c r="AE171">
        <v>0</v>
      </c>
      <c r="AF171" s="3">
        <v>6.4505169999999996</v>
      </c>
      <c r="AG171" s="3">
        <v>-1.7994760000000001</v>
      </c>
      <c r="AH171" s="3">
        <v>-3.8077570000000001</v>
      </c>
      <c r="AI171" s="2" t="s">
        <v>937</v>
      </c>
      <c r="AJ171" s="2"/>
    </row>
    <row r="172" spans="1:36" x14ac:dyDescent="0.45">
      <c r="A172" t="s">
        <v>938</v>
      </c>
      <c r="B172" t="str">
        <f t="shared" si="4"/>
        <v>Unknown</v>
      </c>
      <c r="C172">
        <f t="shared" si="5"/>
        <v>0</v>
      </c>
      <c r="D172" s="2"/>
      <c r="E172">
        <f>COUNTIFS(Planets!$C:$C,I172,Planets!$E:$E,1)</f>
        <v>0</v>
      </c>
      <c r="F172" s="3">
        <v>25.283316244224231</v>
      </c>
      <c r="H172" s="2"/>
      <c r="I172" t="s">
        <v>939</v>
      </c>
      <c r="L172">
        <v>0</v>
      </c>
      <c r="M172" s="3">
        <v>7.7519</v>
      </c>
      <c r="N172" t="s">
        <v>332</v>
      </c>
      <c r="O172" s="3">
        <v>1.8146797793969999E-4</v>
      </c>
      <c r="P172" s="3">
        <v>13.65</v>
      </c>
      <c r="T172" t="s">
        <v>938</v>
      </c>
      <c r="W172" s="3">
        <v>104.483655</v>
      </c>
      <c r="X172" s="3">
        <v>62.325443</v>
      </c>
      <c r="Y172" s="3">
        <v>-2.937964465451989</v>
      </c>
      <c r="Z172" s="3">
        <v>11.36933840045798</v>
      </c>
      <c r="AA172" s="3">
        <v>22.390902778484161</v>
      </c>
      <c r="AB172" t="s">
        <v>41</v>
      </c>
      <c r="AC172" t="s">
        <v>939</v>
      </c>
      <c r="AD172">
        <v>0</v>
      </c>
      <c r="AE172">
        <v>0</v>
      </c>
      <c r="AF172" s="3">
        <v>-0.90078400000000003</v>
      </c>
      <c r="AG172" s="3">
        <v>3.4858549999999999</v>
      </c>
      <c r="AH172" s="3">
        <v>6.8650820000000001</v>
      </c>
      <c r="AI172" s="2" t="s">
        <v>940</v>
      </c>
      <c r="AJ172" s="2"/>
    </row>
    <row r="173" spans="1:36" x14ac:dyDescent="0.45">
      <c r="A173" t="s">
        <v>941</v>
      </c>
      <c r="B173" t="str">
        <f t="shared" si="4"/>
        <v>Unknown</v>
      </c>
      <c r="C173">
        <f t="shared" si="5"/>
        <v>0</v>
      </c>
      <c r="D173" s="2"/>
      <c r="E173">
        <f>COUNTIFS(Planets!$C:$C,I173,Planets!$E:$E,1)</f>
        <v>0</v>
      </c>
      <c r="F173" s="3">
        <v>25.303211783264949</v>
      </c>
      <c r="H173" s="2"/>
      <c r="I173" t="s">
        <v>942</v>
      </c>
      <c r="L173">
        <v>0</v>
      </c>
      <c r="M173" s="3">
        <v>7.758</v>
      </c>
      <c r="N173" t="s">
        <v>332</v>
      </c>
      <c r="O173" s="3">
        <v>6.1319696971599995E-5</v>
      </c>
      <c r="P173" s="3">
        <v>14.83</v>
      </c>
      <c r="T173" t="s">
        <v>941</v>
      </c>
      <c r="W173" s="3">
        <v>104.86776</v>
      </c>
      <c r="X173" s="3">
        <v>19.349633000000001</v>
      </c>
      <c r="Y173" s="3">
        <v>-6.1260680416662803</v>
      </c>
      <c r="Z173" s="3">
        <v>23.07458199276266</v>
      </c>
      <c r="AA173" s="3">
        <v>8.3837616269869031</v>
      </c>
      <c r="AB173" t="s">
        <v>41</v>
      </c>
      <c r="AC173" t="s">
        <v>942</v>
      </c>
      <c r="AD173">
        <v>0</v>
      </c>
      <c r="AE173">
        <v>0</v>
      </c>
      <c r="AF173" s="3">
        <v>-1.878261</v>
      </c>
      <c r="AG173" s="3">
        <v>7.0746989999999998</v>
      </c>
      <c r="AH173" s="3">
        <v>2.5704729999999998</v>
      </c>
      <c r="AI173" s="2" t="s">
        <v>943</v>
      </c>
      <c r="AJ173" s="2"/>
    </row>
    <row r="174" spans="1:36" x14ac:dyDescent="0.45">
      <c r="A174" t="s">
        <v>944</v>
      </c>
      <c r="B174" t="str">
        <f t="shared" si="4"/>
        <v>Unknown</v>
      </c>
      <c r="C174">
        <f t="shared" si="5"/>
        <v>0</v>
      </c>
      <c r="D174" s="2"/>
      <c r="E174">
        <f>COUNTIFS(Planets!$C:$C,I174,Planets!$E:$E,1)</f>
        <v>0</v>
      </c>
      <c r="F174" s="3">
        <v>25.305168721531249</v>
      </c>
      <c r="H174" s="2"/>
      <c r="I174" t="s">
        <v>945</v>
      </c>
      <c r="L174">
        <v>0</v>
      </c>
      <c r="M174" s="3">
        <v>7.7586000000000004</v>
      </c>
      <c r="N174" t="s">
        <v>88</v>
      </c>
      <c r="O174" s="3">
        <v>9.3669887795211626E-3</v>
      </c>
      <c r="P174" s="3">
        <v>9.3699999999999992</v>
      </c>
      <c r="Q174" t="s">
        <v>946</v>
      </c>
      <c r="R174" t="s">
        <v>947</v>
      </c>
      <c r="T174" t="s">
        <v>944</v>
      </c>
      <c r="W174" s="3">
        <v>271.28156999999999</v>
      </c>
      <c r="X174" s="3">
        <v>-3.0313189999999999</v>
      </c>
      <c r="Y174" s="3">
        <v>0.5652029100728988</v>
      </c>
      <c r="Z174" s="3">
        <v>-25.264386128061549</v>
      </c>
      <c r="AA174" s="3">
        <v>-1.3382359255906839</v>
      </c>
      <c r="AB174" t="s">
        <v>41</v>
      </c>
      <c r="AC174" t="s">
        <v>945</v>
      </c>
      <c r="AD174">
        <v>0</v>
      </c>
      <c r="AE174">
        <v>0</v>
      </c>
      <c r="AF174" s="3">
        <v>0.173292</v>
      </c>
      <c r="AG174" s="3">
        <v>-7.7460959999999996</v>
      </c>
      <c r="AH174" s="3">
        <v>-0.41030499999999998</v>
      </c>
      <c r="AI174" s="2" t="s">
        <v>948</v>
      </c>
      <c r="AJ174" s="2"/>
    </row>
    <row r="175" spans="1:36" x14ac:dyDescent="0.45">
      <c r="A175" t="s">
        <v>949</v>
      </c>
      <c r="B175" t="str">
        <f t="shared" si="4"/>
        <v>Unknown</v>
      </c>
      <c r="C175">
        <f t="shared" si="5"/>
        <v>0</v>
      </c>
      <c r="D175" s="2"/>
      <c r="E175">
        <f>COUNTIFS(Planets!$C:$C,I175,Planets!$E:$E,1)</f>
        <v>0</v>
      </c>
      <c r="F175" s="3">
        <v>25.377901593762079</v>
      </c>
      <c r="H175" s="2"/>
      <c r="I175" t="s">
        <v>950</v>
      </c>
      <c r="L175">
        <v>0</v>
      </c>
      <c r="M175" s="3">
        <v>7.7808999999999999</v>
      </c>
      <c r="N175" t="s">
        <v>304</v>
      </c>
      <c r="O175" s="3">
        <v>6.6988460941650005E-4</v>
      </c>
      <c r="P175" s="3">
        <v>12.24</v>
      </c>
      <c r="Q175" t="s">
        <v>951</v>
      </c>
      <c r="T175" t="s">
        <v>949</v>
      </c>
      <c r="W175" s="3">
        <v>190.19359499999999</v>
      </c>
      <c r="X175" s="3">
        <v>-43.566375999999998</v>
      </c>
      <c r="Y175" s="3">
        <v>-18.097102989299891</v>
      </c>
      <c r="Z175" s="3">
        <v>-3.2538567019619871</v>
      </c>
      <c r="AA175" s="3">
        <v>-17.489424734156941</v>
      </c>
      <c r="AB175" t="s">
        <v>41</v>
      </c>
      <c r="AC175" t="s">
        <v>950</v>
      </c>
      <c r="AD175">
        <v>0</v>
      </c>
      <c r="AE175">
        <v>0</v>
      </c>
      <c r="AF175" s="3">
        <v>-5.548597</v>
      </c>
      <c r="AG175" s="3">
        <v>-0.997637</v>
      </c>
      <c r="AH175" s="3">
        <v>-5.3622820000000004</v>
      </c>
      <c r="AI175" s="2" t="s">
        <v>952</v>
      </c>
      <c r="AJ175" s="2"/>
    </row>
    <row r="176" spans="1:36" x14ac:dyDescent="0.45">
      <c r="A176" t="s">
        <v>953</v>
      </c>
      <c r="B176" t="str">
        <f t="shared" si="4"/>
        <v>Unknown</v>
      </c>
      <c r="C176">
        <f t="shared" si="5"/>
        <v>0</v>
      </c>
      <c r="D176" s="2"/>
      <c r="E176">
        <f>COUNTIFS(Planets!$C:$C,I176,Planets!$E:$E,1)</f>
        <v>0</v>
      </c>
      <c r="F176" s="3">
        <v>25.44117593103913</v>
      </c>
      <c r="H176" s="2"/>
      <c r="I176" t="s">
        <v>954</v>
      </c>
      <c r="L176">
        <v>0</v>
      </c>
      <c r="M176" s="3">
        <v>7.8003</v>
      </c>
      <c r="N176" t="s">
        <v>955</v>
      </c>
      <c r="O176" s="3">
        <v>3.194478724209E-4</v>
      </c>
      <c r="P176" s="3">
        <v>13.05</v>
      </c>
      <c r="T176" t="s">
        <v>953</v>
      </c>
      <c r="W176" s="3">
        <v>0.54088500000000006</v>
      </c>
      <c r="X176" s="3">
        <v>-43.165973999999999</v>
      </c>
      <c r="Y176" s="3">
        <v>18.55532334591792</v>
      </c>
      <c r="Z176" s="3">
        <v>0.17619293680636189</v>
      </c>
      <c r="AA176" s="3">
        <v>-17.40466973784347</v>
      </c>
      <c r="AB176" t="s">
        <v>41</v>
      </c>
      <c r="AC176" t="s">
        <v>954</v>
      </c>
      <c r="AD176">
        <v>0</v>
      </c>
      <c r="AE176">
        <v>0</v>
      </c>
      <c r="AF176" s="3">
        <v>5.6890879999999999</v>
      </c>
      <c r="AG176" s="3">
        <v>5.4021E-2</v>
      </c>
      <c r="AH176" s="3">
        <v>-5.3362959999999999</v>
      </c>
      <c r="AI176" s="2" t="s">
        <v>956</v>
      </c>
      <c r="AJ176" s="2"/>
    </row>
    <row r="177" spans="1:36" x14ac:dyDescent="0.45">
      <c r="A177" t="s">
        <v>957</v>
      </c>
      <c r="B177" t="str">
        <f t="shared" si="4"/>
        <v>Unknown</v>
      </c>
      <c r="C177">
        <f t="shared" si="5"/>
        <v>0</v>
      </c>
      <c r="D177" s="2"/>
      <c r="E177">
        <f>COUNTIFS(Planets!$C:$C,I177,Planets!$E:$E,1)</f>
        <v>0</v>
      </c>
      <c r="F177" s="3">
        <v>25.512930334136811</v>
      </c>
      <c r="H177" s="2"/>
      <c r="I177" t="s">
        <v>958</v>
      </c>
      <c r="L177">
        <v>0</v>
      </c>
      <c r="M177" s="3">
        <v>7.8223000000000003</v>
      </c>
      <c r="N177" t="s">
        <v>520</v>
      </c>
      <c r="O177" s="3">
        <v>0.26472807400175608</v>
      </c>
      <c r="P177" s="3">
        <v>5.76</v>
      </c>
      <c r="Q177" t="s">
        <v>959</v>
      </c>
      <c r="R177" t="s">
        <v>960</v>
      </c>
      <c r="S177" t="s">
        <v>961</v>
      </c>
      <c r="T177" t="s">
        <v>962</v>
      </c>
      <c r="V177" t="s">
        <v>957</v>
      </c>
      <c r="W177" s="3">
        <v>24.947534999999998</v>
      </c>
      <c r="X177" s="3">
        <v>-56.196399999999997</v>
      </c>
      <c r="Y177" s="3">
        <v>12.86995127869495</v>
      </c>
      <c r="Z177" s="3">
        <v>5.9871678250880507</v>
      </c>
      <c r="AA177" s="3">
        <v>-21.200500492657369</v>
      </c>
      <c r="AB177" t="s">
        <v>60</v>
      </c>
      <c r="AC177" t="s">
        <v>963</v>
      </c>
      <c r="AD177">
        <v>0</v>
      </c>
      <c r="AE177">
        <v>0</v>
      </c>
      <c r="AF177" s="3">
        <v>3.945945</v>
      </c>
      <c r="AG177" s="3">
        <v>1.835674</v>
      </c>
      <c r="AH177" s="3">
        <v>-6.5001030000000002</v>
      </c>
      <c r="AI177" s="2" t="s">
        <v>964</v>
      </c>
      <c r="AJ177" s="2"/>
    </row>
    <row r="178" spans="1:36" x14ac:dyDescent="0.45">
      <c r="A178" t="s">
        <v>965</v>
      </c>
      <c r="B178" t="str">
        <f t="shared" si="4"/>
        <v>Unknown</v>
      </c>
      <c r="C178">
        <f t="shared" si="5"/>
        <v>0</v>
      </c>
      <c r="D178" s="2"/>
      <c r="E178">
        <f>COUNTIFS(Planets!$C:$C,I178,Planets!$E:$E,1)</f>
        <v>0</v>
      </c>
      <c r="F178" s="3">
        <v>25.665571518908251</v>
      </c>
      <c r="H178" s="2"/>
      <c r="I178" t="s">
        <v>966</v>
      </c>
      <c r="L178">
        <v>0</v>
      </c>
      <c r="M178" s="3">
        <v>7.8691000000000004</v>
      </c>
      <c r="N178" t="s">
        <v>737</v>
      </c>
      <c r="O178" s="3">
        <v>1.066596121230258E-2</v>
      </c>
      <c r="P178" s="3">
        <v>9.26</v>
      </c>
      <c r="Q178" t="s">
        <v>967</v>
      </c>
      <c r="T178" t="s">
        <v>965</v>
      </c>
      <c r="W178" s="3">
        <v>153.07362000000001</v>
      </c>
      <c r="X178" s="3">
        <v>-3.7456619999999998</v>
      </c>
      <c r="Y178" s="3">
        <v>-22.834462405923819</v>
      </c>
      <c r="Z178" s="3">
        <v>11.597807681484779</v>
      </c>
      <c r="AA178" s="3">
        <v>-1.6766818756197941</v>
      </c>
      <c r="AB178" t="s">
        <v>41</v>
      </c>
      <c r="AC178" t="s">
        <v>966</v>
      </c>
      <c r="AD178">
        <v>0</v>
      </c>
      <c r="AE178">
        <v>0</v>
      </c>
      <c r="AF178" s="3">
        <v>-7.0010779999999997</v>
      </c>
      <c r="AG178" s="3">
        <v>3.555904</v>
      </c>
      <c r="AH178" s="3">
        <v>-0.514073</v>
      </c>
      <c r="AI178" s="2" t="s">
        <v>968</v>
      </c>
      <c r="AJ178" s="2"/>
    </row>
    <row r="179" spans="1:36" x14ac:dyDescent="0.45">
      <c r="A179" t="s">
        <v>969</v>
      </c>
      <c r="B179" t="str">
        <f t="shared" si="4"/>
        <v>Unknown</v>
      </c>
      <c r="C179">
        <f t="shared" si="5"/>
        <v>0</v>
      </c>
      <c r="D179" s="2"/>
      <c r="E179">
        <f>COUNTIFS(Planets!$C:$C,I179,Planets!$E:$E,1)</f>
        <v>0</v>
      </c>
      <c r="F179" s="3">
        <v>25.885400917489331</v>
      </c>
      <c r="H179" s="2"/>
      <c r="I179" t="s">
        <v>970</v>
      </c>
      <c r="L179">
        <v>0</v>
      </c>
      <c r="M179" s="3">
        <v>7.9364999999999997</v>
      </c>
      <c r="N179" t="s">
        <v>971</v>
      </c>
      <c r="O179" s="3">
        <v>9.1033239967989999E-4</v>
      </c>
      <c r="P179" s="3">
        <v>11.95</v>
      </c>
      <c r="T179" t="s">
        <v>969</v>
      </c>
      <c r="W179" s="3">
        <v>202.94379000000001</v>
      </c>
      <c r="X179" s="3">
        <v>29.27375</v>
      </c>
      <c r="Y179" s="3">
        <v>-20.793405148246439</v>
      </c>
      <c r="Z179" s="3">
        <v>-8.8020180426433008</v>
      </c>
      <c r="AA179" s="3">
        <v>12.6575158451967</v>
      </c>
      <c r="AB179" t="s">
        <v>41</v>
      </c>
      <c r="AC179" t="s">
        <v>970</v>
      </c>
      <c r="AD179">
        <v>0</v>
      </c>
      <c r="AE179">
        <v>0</v>
      </c>
      <c r="AF179" s="3">
        <v>-6.3752870000000001</v>
      </c>
      <c r="AG179" s="3">
        <v>-2.6987109999999999</v>
      </c>
      <c r="AH179" s="3">
        <v>3.8808120000000002</v>
      </c>
      <c r="AI179" s="2" t="s">
        <v>972</v>
      </c>
      <c r="AJ179" s="2"/>
    </row>
    <row r="180" spans="1:36" x14ac:dyDescent="0.45">
      <c r="A180" t="s">
        <v>973</v>
      </c>
      <c r="B180" t="str">
        <f t="shared" si="4"/>
        <v>Unknown</v>
      </c>
      <c r="C180">
        <f t="shared" si="5"/>
        <v>0</v>
      </c>
      <c r="D180" s="2"/>
      <c r="E180">
        <f>COUNTIFS(Planets!$C:$C,I180,Planets!$E:$E,1)</f>
        <v>0</v>
      </c>
      <c r="F180" s="3">
        <v>26.07163620916559</v>
      </c>
      <c r="H180" s="2"/>
      <c r="I180" t="s">
        <v>974</v>
      </c>
      <c r="L180">
        <v>0</v>
      </c>
      <c r="M180" s="3">
        <v>7.9935999999999998</v>
      </c>
      <c r="N180" t="s">
        <v>975</v>
      </c>
      <c r="O180" s="3">
        <v>1.2752637064599999E-4</v>
      </c>
      <c r="P180" s="3">
        <v>14.1</v>
      </c>
      <c r="T180" t="s">
        <v>973</v>
      </c>
      <c r="W180" s="3">
        <v>89.105580000000003</v>
      </c>
      <c r="X180" s="3">
        <v>5.3645560000000003</v>
      </c>
      <c r="Y180" s="3">
        <v>0.4052068989839504</v>
      </c>
      <c r="Z180" s="3">
        <v>25.954278621335561</v>
      </c>
      <c r="AA180" s="3">
        <v>2.4375003347920869</v>
      </c>
      <c r="AB180" t="s">
        <v>41</v>
      </c>
      <c r="AC180" t="s">
        <v>974</v>
      </c>
      <c r="AD180">
        <v>0</v>
      </c>
      <c r="AE180">
        <v>0</v>
      </c>
      <c r="AF180" s="3">
        <v>0.124237</v>
      </c>
      <c r="AG180" s="3">
        <v>7.9576180000000001</v>
      </c>
      <c r="AH180" s="3">
        <v>0.74734100000000003</v>
      </c>
      <c r="AI180" s="2" t="s">
        <v>976</v>
      </c>
      <c r="AJ180" s="2"/>
    </row>
    <row r="181" spans="1:36" x14ac:dyDescent="0.45">
      <c r="A181" t="s">
        <v>977</v>
      </c>
      <c r="B181" t="str">
        <f t="shared" si="4"/>
        <v>Unknown</v>
      </c>
      <c r="C181">
        <f t="shared" si="5"/>
        <v>0</v>
      </c>
      <c r="D181" s="2"/>
      <c r="E181">
        <f>COUNTIFS(Planets!$C:$C,I181,Planets!$E:$E,1)</f>
        <v>0</v>
      </c>
      <c r="F181" s="3">
        <v>26.077833180342211</v>
      </c>
      <c r="H181" s="2"/>
      <c r="I181" t="s">
        <v>978</v>
      </c>
      <c r="L181">
        <v>0</v>
      </c>
      <c r="M181" s="3">
        <v>7.9954999999999998</v>
      </c>
      <c r="N181" t="s">
        <v>737</v>
      </c>
      <c r="O181" s="3">
        <v>3.3853221281535408E-3</v>
      </c>
      <c r="P181" s="3">
        <v>10.54</v>
      </c>
      <c r="Q181" t="s">
        <v>979</v>
      </c>
      <c r="T181" t="s">
        <v>977</v>
      </c>
      <c r="W181" s="3">
        <v>307.63200000000001</v>
      </c>
      <c r="X181" s="3">
        <v>65.449560000000005</v>
      </c>
      <c r="Y181" s="3">
        <v>6.6161310454407962</v>
      </c>
      <c r="Z181" s="3">
        <v>-8.5808350950946917</v>
      </c>
      <c r="AA181" s="3">
        <v>23.720557529777111</v>
      </c>
      <c r="AB181" t="s">
        <v>41</v>
      </c>
      <c r="AC181" t="s">
        <v>978</v>
      </c>
      <c r="AD181">
        <v>0</v>
      </c>
      <c r="AE181">
        <v>0</v>
      </c>
      <c r="AF181" s="3">
        <v>2.0285150000000001</v>
      </c>
      <c r="AG181" s="3">
        <v>-2.6308959999999999</v>
      </c>
      <c r="AH181" s="3">
        <v>7.2727560000000002</v>
      </c>
      <c r="AI181" s="2" t="s">
        <v>980</v>
      </c>
      <c r="AJ181" s="2"/>
    </row>
    <row r="182" spans="1:36" x14ac:dyDescent="0.45">
      <c r="A182" t="s">
        <v>981</v>
      </c>
      <c r="B182" t="str">
        <f t="shared" si="4"/>
        <v>Unknown</v>
      </c>
      <c r="C182">
        <f t="shared" si="5"/>
        <v>0</v>
      </c>
      <c r="D182" s="2"/>
      <c r="E182">
        <f>COUNTIFS(Planets!$C:$C,I182,Planets!$E:$E,1)</f>
        <v>0</v>
      </c>
      <c r="F182" s="3">
        <v>26.123821229600271</v>
      </c>
      <c r="H182" s="2"/>
      <c r="I182" t="s">
        <v>982</v>
      </c>
      <c r="L182">
        <v>0</v>
      </c>
      <c r="M182" s="3">
        <v>8.0096000000000007</v>
      </c>
      <c r="N182" t="s">
        <v>983</v>
      </c>
      <c r="O182" s="3">
        <v>2.6497200988789609E-3</v>
      </c>
      <c r="P182" s="3">
        <v>10.81</v>
      </c>
      <c r="Q182" t="s">
        <v>984</v>
      </c>
      <c r="T182" t="s">
        <v>981</v>
      </c>
      <c r="W182" s="3">
        <v>104.44524</v>
      </c>
      <c r="X182" s="3">
        <v>-44.291200000000003</v>
      </c>
      <c r="Y182" s="3">
        <v>-4.6643264805255971</v>
      </c>
      <c r="Z182" s="3">
        <v>18.108365169022449</v>
      </c>
      <c r="AA182" s="3">
        <v>-18.24240239400892</v>
      </c>
      <c r="AB182" t="s">
        <v>41</v>
      </c>
      <c r="AC182" t="s">
        <v>982</v>
      </c>
      <c r="AD182">
        <v>0</v>
      </c>
      <c r="AE182">
        <v>0</v>
      </c>
      <c r="AF182" s="3">
        <v>-1.4300889999999999</v>
      </c>
      <c r="AG182" s="3">
        <v>5.5520500000000004</v>
      </c>
      <c r="AH182" s="3">
        <v>-5.593146</v>
      </c>
      <c r="AI182" s="2" t="s">
        <v>985</v>
      </c>
      <c r="AJ182" s="2"/>
    </row>
    <row r="183" spans="1:36" x14ac:dyDescent="0.45">
      <c r="A183" t="s">
        <v>986</v>
      </c>
      <c r="B183" t="str">
        <f t="shared" si="4"/>
        <v>Unknown</v>
      </c>
      <c r="C183">
        <f t="shared" si="5"/>
        <v>0</v>
      </c>
      <c r="D183" s="2"/>
      <c r="E183">
        <f>COUNTIFS(Planets!$C:$C,I183,Planets!$E:$E,1)</f>
        <v>0</v>
      </c>
      <c r="F183" s="3">
        <v>26.130018200776892</v>
      </c>
      <c r="H183" s="2"/>
      <c r="I183" t="s">
        <v>987</v>
      </c>
      <c r="L183">
        <v>0</v>
      </c>
      <c r="M183" s="3">
        <v>8.0114999999999998</v>
      </c>
      <c r="O183" s="3">
        <v>6.1319696971599995E-5</v>
      </c>
      <c r="P183" s="3">
        <v>14.9</v>
      </c>
      <c r="T183" t="s">
        <v>986</v>
      </c>
      <c r="W183" s="3">
        <v>322.82855999999998</v>
      </c>
      <c r="X183" s="3">
        <v>-9.7904450000000001</v>
      </c>
      <c r="Y183" s="3">
        <v>20.518044364795291</v>
      </c>
      <c r="Z183" s="3">
        <v>-15.5577962027673</v>
      </c>
      <c r="AA183" s="3">
        <v>-4.4432837802194074</v>
      </c>
      <c r="AB183" t="s">
        <v>60</v>
      </c>
      <c r="AC183" t="s">
        <v>988</v>
      </c>
      <c r="AD183">
        <v>0</v>
      </c>
      <c r="AE183">
        <v>0</v>
      </c>
      <c r="AF183" s="3">
        <v>6.2908609999999996</v>
      </c>
      <c r="AG183" s="3">
        <v>-4.7700420000000001</v>
      </c>
      <c r="AH183" s="3">
        <v>-1.362317</v>
      </c>
      <c r="AI183" s="2" t="s">
        <v>989</v>
      </c>
      <c r="AJ183" s="2"/>
    </row>
    <row r="184" spans="1:36" x14ac:dyDescent="0.45">
      <c r="A184" t="s">
        <v>990</v>
      </c>
      <c r="B184" t="str">
        <f t="shared" si="4"/>
        <v>Unknown</v>
      </c>
      <c r="C184">
        <f t="shared" si="5"/>
        <v>0</v>
      </c>
      <c r="D184" s="2"/>
      <c r="E184">
        <f>COUNTIFS(Planets!$C:$C,I184,Planets!$E:$E,1)</f>
        <v>0</v>
      </c>
      <c r="F184" s="3">
        <v>26.172092373502348</v>
      </c>
      <c r="H184" s="2"/>
      <c r="I184" t="s">
        <v>991</v>
      </c>
      <c r="L184">
        <v>0</v>
      </c>
      <c r="M184" s="3">
        <v>8.0244</v>
      </c>
      <c r="N184" t="s">
        <v>737</v>
      </c>
      <c r="O184" s="3">
        <v>1.1716556739113011E-3</v>
      </c>
      <c r="P184" s="3">
        <v>11.7</v>
      </c>
      <c r="T184" t="s">
        <v>990</v>
      </c>
      <c r="W184" s="3">
        <v>104.449305</v>
      </c>
      <c r="X184" s="3">
        <v>-44.290792000000003</v>
      </c>
      <c r="Y184" s="3">
        <v>-4.6726369450298204</v>
      </c>
      <c r="Z184" s="3">
        <v>18.142037553457929</v>
      </c>
      <c r="AA184" s="3">
        <v>-18.27597693153108</v>
      </c>
      <c r="AB184" t="s">
        <v>60</v>
      </c>
      <c r="AC184" t="s">
        <v>982</v>
      </c>
      <c r="AD184">
        <v>0</v>
      </c>
      <c r="AE184">
        <v>0</v>
      </c>
      <c r="AF184" s="3">
        <v>-1.4326369999999999</v>
      </c>
      <c r="AG184" s="3">
        <v>5.5623740000000002</v>
      </c>
      <c r="AH184" s="3">
        <v>-5.60344</v>
      </c>
      <c r="AI184" s="2" t="s">
        <v>985</v>
      </c>
      <c r="AJ184" s="2"/>
    </row>
    <row r="185" spans="1:36" x14ac:dyDescent="0.45">
      <c r="A185" t="s">
        <v>992</v>
      </c>
      <c r="B185" t="str">
        <f t="shared" si="4"/>
        <v>Unknown</v>
      </c>
      <c r="C185">
        <f t="shared" si="5"/>
        <v>0</v>
      </c>
      <c r="D185" s="2"/>
      <c r="E185">
        <f>COUNTIFS(Planets!$C:$C,I185,Planets!$E:$E,1)</f>
        <v>0</v>
      </c>
      <c r="F185" s="3">
        <v>26.260480751863589</v>
      </c>
      <c r="H185" s="2"/>
      <c r="I185" t="s">
        <v>993</v>
      </c>
      <c r="L185">
        <v>0</v>
      </c>
      <c r="M185" s="3">
        <v>8.0515000000000008</v>
      </c>
      <c r="N185" t="s">
        <v>994</v>
      </c>
      <c r="O185" s="3">
        <v>3.1017014994800003E-5</v>
      </c>
      <c r="P185" s="3">
        <v>15.65</v>
      </c>
      <c r="T185" t="s">
        <v>992</v>
      </c>
      <c r="W185" s="3">
        <v>343.47219000000001</v>
      </c>
      <c r="X185" s="3">
        <v>-6.7822639999999996</v>
      </c>
      <c r="Y185" s="3">
        <v>24.99930579363604</v>
      </c>
      <c r="Z185" s="3">
        <v>-7.4182213326493649</v>
      </c>
      <c r="AA185" s="3">
        <v>-3.1012742253385399</v>
      </c>
      <c r="AB185" t="s">
        <v>41</v>
      </c>
      <c r="AC185" t="s">
        <v>993</v>
      </c>
      <c r="AD185">
        <v>0</v>
      </c>
      <c r="AE185">
        <v>0</v>
      </c>
      <c r="AF185" s="3">
        <v>7.664822</v>
      </c>
      <c r="AG185" s="3">
        <v>-2.2744369999999998</v>
      </c>
      <c r="AH185" s="3">
        <v>-0.95085500000000001</v>
      </c>
      <c r="AI185" s="2" t="s">
        <v>995</v>
      </c>
      <c r="AJ185" s="2"/>
    </row>
    <row r="186" spans="1:36" x14ac:dyDescent="0.45">
      <c r="A186" t="s">
        <v>996</v>
      </c>
      <c r="B186" t="str">
        <f t="shared" si="4"/>
        <v>Unknown</v>
      </c>
      <c r="C186">
        <f t="shared" si="5"/>
        <v>0</v>
      </c>
      <c r="D186" s="2"/>
      <c r="E186">
        <f>COUNTIFS(Planets!$C:$C,I186,Planets!$E:$E,1)</f>
        <v>0</v>
      </c>
      <c r="F186" s="3">
        <v>26.277440883504859</v>
      </c>
      <c r="H186" s="2"/>
      <c r="I186" t="s">
        <v>997</v>
      </c>
      <c r="L186">
        <v>0</v>
      </c>
      <c r="M186" s="3">
        <v>8.0566999999999993</v>
      </c>
      <c r="N186" t="s">
        <v>737</v>
      </c>
      <c r="O186" s="3">
        <v>4.4096081645063744E-3</v>
      </c>
      <c r="P186" s="3">
        <v>10.27</v>
      </c>
      <c r="Q186" t="s">
        <v>998</v>
      </c>
      <c r="T186" t="s">
        <v>996</v>
      </c>
      <c r="W186" s="3">
        <v>246.03744</v>
      </c>
      <c r="X186" s="3">
        <v>48.352905</v>
      </c>
      <c r="Y186" s="3">
        <v>-7.0915724588022693</v>
      </c>
      <c r="Z186" s="3">
        <v>-15.957040963166589</v>
      </c>
      <c r="AA186" s="3">
        <v>19.635266251303381</v>
      </c>
      <c r="AB186" t="s">
        <v>41</v>
      </c>
      <c r="AC186" t="s">
        <v>997</v>
      </c>
      <c r="AD186">
        <v>0</v>
      </c>
      <c r="AE186">
        <v>0</v>
      </c>
      <c r="AF186" s="3">
        <v>-2.1742859999999999</v>
      </c>
      <c r="AG186" s="3">
        <v>-4.8924510000000003</v>
      </c>
      <c r="AH186" s="3">
        <v>6.0202</v>
      </c>
      <c r="AI186" s="2" t="s">
        <v>999</v>
      </c>
      <c r="AJ186" s="2"/>
    </row>
    <row r="187" spans="1:36" x14ac:dyDescent="0.45">
      <c r="A187" t="s">
        <v>1000</v>
      </c>
      <c r="B187" t="str">
        <f t="shared" si="4"/>
        <v>Unknown</v>
      </c>
      <c r="C187">
        <f t="shared" si="5"/>
        <v>0</v>
      </c>
      <c r="D187" s="2"/>
      <c r="E187">
        <f>COUNTIFS(Planets!$C:$C,I187,Planets!$E:$E,1)</f>
        <v>0</v>
      </c>
      <c r="F187" s="3">
        <v>26.27972397814888</v>
      </c>
      <c r="H187" s="2"/>
      <c r="I187" t="s">
        <v>1001</v>
      </c>
      <c r="L187">
        <v>0</v>
      </c>
      <c r="M187" s="3">
        <v>8.0573999999999995</v>
      </c>
      <c r="N187" t="s">
        <v>1002</v>
      </c>
      <c r="O187" s="3">
        <v>2.149809610389358</v>
      </c>
      <c r="P187" s="3">
        <v>3.55</v>
      </c>
      <c r="Q187" t="s">
        <v>1003</v>
      </c>
      <c r="R187" t="s">
        <v>1004</v>
      </c>
      <c r="S187" t="s">
        <v>1005</v>
      </c>
      <c r="T187" t="s">
        <v>1000</v>
      </c>
      <c r="U187" t="s">
        <v>1006</v>
      </c>
      <c r="W187" s="3">
        <v>275.26103999999998</v>
      </c>
      <c r="X187" s="3">
        <v>72.732843000000003</v>
      </c>
      <c r="Y187" s="3">
        <v>0.7156979858789585</v>
      </c>
      <c r="Z187" s="3">
        <v>-7.7679229392734808</v>
      </c>
      <c r="AA187" s="3">
        <v>25.096219899710789</v>
      </c>
      <c r="AB187" t="s">
        <v>41</v>
      </c>
      <c r="AC187" t="s">
        <v>1001</v>
      </c>
      <c r="AD187">
        <v>0</v>
      </c>
      <c r="AE187">
        <v>0</v>
      </c>
      <c r="AF187" s="3">
        <v>0.21943399999999999</v>
      </c>
      <c r="AG187" s="3">
        <v>-2.381656</v>
      </c>
      <c r="AH187" s="3">
        <v>7.6945360000000003</v>
      </c>
      <c r="AI187" s="2" t="s">
        <v>1007</v>
      </c>
      <c r="AJ187" s="2"/>
    </row>
    <row r="188" spans="1:36" x14ac:dyDescent="0.45">
      <c r="A188" t="s">
        <v>1008</v>
      </c>
      <c r="B188" t="str">
        <f t="shared" si="4"/>
        <v>Unknown</v>
      </c>
      <c r="C188">
        <f t="shared" si="5"/>
        <v>0</v>
      </c>
      <c r="D188" s="2"/>
      <c r="E188">
        <f>COUNTIFS(Planets!$C:$C,I188,Planets!$E:$E,1)</f>
        <v>0</v>
      </c>
      <c r="F188" s="3">
        <v>26.30288108096677</v>
      </c>
      <c r="H188" s="2"/>
      <c r="I188" t="s">
        <v>1009</v>
      </c>
      <c r="L188">
        <v>0</v>
      </c>
      <c r="M188" s="3">
        <v>8.0645000000000007</v>
      </c>
      <c r="N188" t="s">
        <v>1010</v>
      </c>
      <c r="O188" s="3">
        <v>1.5317927158934161E-3</v>
      </c>
      <c r="P188" s="3">
        <v>11.42</v>
      </c>
      <c r="T188" t="s">
        <v>1008</v>
      </c>
      <c r="W188" s="3">
        <v>278.65063500000002</v>
      </c>
      <c r="X188" s="3">
        <v>40.121915999999999</v>
      </c>
      <c r="Y188" s="3">
        <v>3.0252700046392071</v>
      </c>
      <c r="Z188" s="3">
        <v>-19.884335569146771</v>
      </c>
      <c r="AA188" s="3">
        <v>16.95000122417877</v>
      </c>
      <c r="AB188" t="s">
        <v>41</v>
      </c>
      <c r="AC188" t="s">
        <v>1009</v>
      </c>
      <c r="AD188">
        <v>0</v>
      </c>
      <c r="AE188">
        <v>0</v>
      </c>
      <c r="AF188" s="3">
        <v>0.92755200000000004</v>
      </c>
      <c r="AG188" s="3">
        <v>-6.096565</v>
      </c>
      <c r="AH188" s="3">
        <v>5.1968940000000003</v>
      </c>
      <c r="AI188" s="2" t="s">
        <v>1011</v>
      </c>
      <c r="AJ188" s="2"/>
    </row>
    <row r="189" spans="1:36" x14ac:dyDescent="0.45">
      <c r="A189" t="s">
        <v>1012</v>
      </c>
      <c r="B189" t="str">
        <f t="shared" si="4"/>
        <v>Unknown</v>
      </c>
      <c r="C189">
        <f t="shared" si="5"/>
        <v>0</v>
      </c>
      <c r="D189" s="2"/>
      <c r="E189">
        <f>COUNTIFS(Planets!$C:$C,I189,Planets!$E:$E,1)</f>
        <v>0</v>
      </c>
      <c r="F189" s="3">
        <v>26.315601179697719</v>
      </c>
      <c r="H189" s="2"/>
      <c r="I189" t="s">
        <v>1013</v>
      </c>
      <c r="L189">
        <v>0</v>
      </c>
      <c r="M189" s="3">
        <v>8.0684000000000005</v>
      </c>
      <c r="N189" t="s">
        <v>1014</v>
      </c>
      <c r="O189" s="3">
        <v>3.0033088786765578</v>
      </c>
      <c r="P189" s="3">
        <v>3.19</v>
      </c>
      <c r="Q189" t="s">
        <v>1015</v>
      </c>
      <c r="R189" t="s">
        <v>1016</v>
      </c>
      <c r="S189" t="s">
        <v>1017</v>
      </c>
      <c r="T189" t="s">
        <v>1018</v>
      </c>
      <c r="U189" t="s">
        <v>1019</v>
      </c>
      <c r="V189" t="s">
        <v>1012</v>
      </c>
      <c r="W189" s="3">
        <v>72.460035000000005</v>
      </c>
      <c r="X189" s="3">
        <v>6.9612759999999998</v>
      </c>
      <c r="Y189" s="3">
        <v>7.8725049817883539</v>
      </c>
      <c r="Z189" s="3">
        <v>24.907812406558939</v>
      </c>
      <c r="AA189" s="3">
        <v>3.189496263947142</v>
      </c>
      <c r="AB189" t="s">
        <v>41</v>
      </c>
      <c r="AC189" t="s">
        <v>1013</v>
      </c>
      <c r="AD189">
        <v>0</v>
      </c>
      <c r="AE189">
        <v>0</v>
      </c>
      <c r="AF189" s="3">
        <v>2.4137209999999998</v>
      </c>
      <c r="AG189" s="3">
        <v>7.6367700000000003</v>
      </c>
      <c r="AH189" s="3">
        <v>0.977904</v>
      </c>
      <c r="AI189" s="2" t="s">
        <v>1020</v>
      </c>
      <c r="AJ189" s="2"/>
    </row>
    <row r="190" spans="1:36" x14ac:dyDescent="0.45">
      <c r="A190" t="s">
        <v>1021</v>
      </c>
      <c r="B190" t="str">
        <f t="shared" si="4"/>
        <v>Yes</v>
      </c>
      <c r="C190">
        <f t="shared" si="5"/>
        <v>1</v>
      </c>
      <c r="D190" s="2"/>
      <c r="E190">
        <f>COUNTIFS(Planets!$C:$C,I190,Planets!$E:$E,1)</f>
        <v>1</v>
      </c>
      <c r="F190" s="3">
        <v>26.373004702175869</v>
      </c>
      <c r="G190" t="s">
        <v>1022</v>
      </c>
      <c r="H190" s="2"/>
      <c r="I190" t="s">
        <v>1023</v>
      </c>
      <c r="J190" t="s">
        <v>1021</v>
      </c>
      <c r="K190" t="s">
        <v>73</v>
      </c>
      <c r="L190">
        <v>0</v>
      </c>
      <c r="M190" s="3">
        <v>8.0860000000000003</v>
      </c>
      <c r="N190" t="s">
        <v>1024</v>
      </c>
      <c r="O190" s="3">
        <v>8.0835103739006764E-3</v>
      </c>
      <c r="P190" s="3">
        <v>9.6199999999999992</v>
      </c>
      <c r="Q190" t="s">
        <v>1025</v>
      </c>
      <c r="T190" t="s">
        <v>1021</v>
      </c>
      <c r="W190" s="3">
        <v>264.47215499999999</v>
      </c>
      <c r="X190" s="3">
        <v>18.591709000000002</v>
      </c>
      <c r="Y190" s="3">
        <v>-2.4078396738025258</v>
      </c>
      <c r="Z190" s="3">
        <v>-24.880213053876549</v>
      </c>
      <c r="AA190" s="3">
        <v>8.40821030906055</v>
      </c>
      <c r="AB190" t="s">
        <v>41</v>
      </c>
      <c r="AC190" t="s">
        <v>1023</v>
      </c>
      <c r="AD190">
        <v>1</v>
      </c>
      <c r="AE190">
        <v>0</v>
      </c>
      <c r="AF190" s="3">
        <v>-0.73824699999999999</v>
      </c>
      <c r="AG190" s="3">
        <v>-7.6283079999999996</v>
      </c>
      <c r="AH190" s="3">
        <v>2.577969</v>
      </c>
      <c r="AI190" s="2" t="s">
        <v>1026</v>
      </c>
      <c r="AJ190" s="2"/>
    </row>
    <row r="191" spans="1:36" x14ac:dyDescent="0.45">
      <c r="A191" t="s">
        <v>1027</v>
      </c>
      <c r="B191" t="str">
        <f t="shared" si="4"/>
        <v>Yes</v>
      </c>
      <c r="C191">
        <f t="shared" si="5"/>
        <v>1</v>
      </c>
      <c r="D191" s="2"/>
      <c r="E191">
        <f>COUNTIFS(Planets!$C:$C,I191,Planets!$E:$E,1)</f>
        <v>1</v>
      </c>
      <c r="F191" s="3">
        <v>26.51683966474895</v>
      </c>
      <c r="G191" t="s">
        <v>1028</v>
      </c>
      <c r="H191" s="2" t="s">
        <v>1029</v>
      </c>
      <c r="I191" t="s">
        <v>1030</v>
      </c>
      <c r="J191" t="s">
        <v>1031</v>
      </c>
      <c r="K191" t="s">
        <v>47</v>
      </c>
      <c r="L191">
        <v>1</v>
      </c>
      <c r="M191" s="3">
        <v>8.1301000000000005</v>
      </c>
      <c r="N191" t="s">
        <v>1032</v>
      </c>
      <c r="O191" s="3">
        <v>1.037528415818E-4</v>
      </c>
      <c r="P191" s="3">
        <v>14.36</v>
      </c>
      <c r="T191" t="s">
        <v>1027</v>
      </c>
      <c r="W191" s="3">
        <v>65.253164999999996</v>
      </c>
      <c r="X191" s="3">
        <v>-48.657862999999999</v>
      </c>
      <c r="Y191" s="3">
        <v>7.3322008495903521</v>
      </c>
      <c r="Z191" s="3">
        <v>15.90730211556478</v>
      </c>
      <c r="AA191" s="3">
        <v>-19.90827544727118</v>
      </c>
      <c r="AB191" t="s">
        <v>41</v>
      </c>
      <c r="AC191" t="s">
        <v>1030</v>
      </c>
      <c r="AD191">
        <v>1</v>
      </c>
      <c r="AE191">
        <v>0</v>
      </c>
      <c r="AF191" s="3">
        <v>2.2480630000000001</v>
      </c>
      <c r="AG191" s="3">
        <v>4.8772010000000003</v>
      </c>
      <c r="AH191" s="3">
        <v>-6.1039050000000001</v>
      </c>
      <c r="AI191" s="2" t="s">
        <v>1033</v>
      </c>
      <c r="AJ191" s="2"/>
    </row>
    <row r="192" spans="1:36" x14ac:dyDescent="0.45">
      <c r="A192" t="s">
        <v>1034</v>
      </c>
      <c r="B192" t="str">
        <f t="shared" si="4"/>
        <v>Unknown</v>
      </c>
      <c r="C192">
        <f t="shared" si="5"/>
        <v>0</v>
      </c>
      <c r="D192" s="2"/>
      <c r="E192">
        <f>COUNTIFS(Planets!$C:$C,I192,Planets!$E:$E,1)</f>
        <v>0</v>
      </c>
      <c r="F192" s="3">
        <v>26.51683966474895</v>
      </c>
      <c r="H192" s="2"/>
      <c r="I192" t="s">
        <v>1035</v>
      </c>
      <c r="L192">
        <v>0</v>
      </c>
      <c r="M192" s="3">
        <v>8.1301000000000005</v>
      </c>
      <c r="N192" t="s">
        <v>332</v>
      </c>
      <c r="O192" s="3">
        <v>3.3113112148259999E-4</v>
      </c>
      <c r="P192" s="3">
        <v>13.1</v>
      </c>
      <c r="T192" t="s">
        <v>1034</v>
      </c>
      <c r="W192" s="3">
        <v>139.20739499999999</v>
      </c>
      <c r="X192" s="3">
        <v>-77.838716000000005</v>
      </c>
      <c r="Y192" s="3">
        <v>-4.2313669353617289</v>
      </c>
      <c r="Z192" s="3">
        <v>3.6470055996617492</v>
      </c>
      <c r="AA192" s="3">
        <v>-25.921760830477201</v>
      </c>
      <c r="AB192" t="s">
        <v>41</v>
      </c>
      <c r="AC192" t="s">
        <v>1035</v>
      </c>
      <c r="AD192">
        <v>0</v>
      </c>
      <c r="AE192">
        <v>0</v>
      </c>
      <c r="AF192" s="3">
        <v>-1.2973429999999999</v>
      </c>
      <c r="AG192" s="3">
        <v>1.118177</v>
      </c>
      <c r="AH192" s="3">
        <v>-7.947648</v>
      </c>
      <c r="AI192" s="2" t="s">
        <v>1036</v>
      </c>
      <c r="AJ192" s="2"/>
    </row>
    <row r="193" spans="1:36" x14ac:dyDescent="0.45">
      <c r="A193" t="s">
        <v>1037</v>
      </c>
      <c r="B193" t="str">
        <f t="shared" si="4"/>
        <v>Yes</v>
      </c>
      <c r="C193">
        <f t="shared" si="5"/>
        <v>1</v>
      </c>
      <c r="D193" s="2"/>
      <c r="E193">
        <f>COUNTIFS(Planets!$C:$C,I193,Planets!$E:$E,1)</f>
        <v>1</v>
      </c>
      <c r="F193" s="3">
        <v>26.51683966474895</v>
      </c>
      <c r="G193" t="s">
        <v>1038</v>
      </c>
      <c r="H193" s="2"/>
      <c r="I193" t="s">
        <v>1039</v>
      </c>
      <c r="J193" t="s">
        <v>1037</v>
      </c>
      <c r="K193" t="s">
        <v>73</v>
      </c>
      <c r="L193">
        <v>0</v>
      </c>
      <c r="M193" s="3">
        <v>8.1301000000000005</v>
      </c>
      <c r="N193" t="s">
        <v>322</v>
      </c>
      <c r="O193" s="3">
        <v>5.395106225151E-4</v>
      </c>
      <c r="P193" s="3">
        <v>12.57</v>
      </c>
      <c r="T193" t="s">
        <v>1037</v>
      </c>
      <c r="W193" s="3">
        <v>355.77318000000002</v>
      </c>
      <c r="X193" s="3">
        <v>36.537174999999998</v>
      </c>
      <c r="Y193" s="3">
        <v>21.246840790803361</v>
      </c>
      <c r="Z193" s="3">
        <v>-1.569105717557481</v>
      </c>
      <c r="AA193" s="3">
        <v>15.78605348214858</v>
      </c>
      <c r="AB193" t="s">
        <v>41</v>
      </c>
      <c r="AC193" t="s">
        <v>1039</v>
      </c>
      <c r="AD193">
        <v>1</v>
      </c>
      <c r="AE193">
        <v>0</v>
      </c>
      <c r="AF193" s="3">
        <v>6.5143110000000002</v>
      </c>
      <c r="AG193" s="3">
        <v>-0.48109000000000002</v>
      </c>
      <c r="AH193" s="3">
        <v>4.8400259999999999</v>
      </c>
      <c r="AI193" s="2" t="s">
        <v>1040</v>
      </c>
      <c r="AJ193" s="2"/>
    </row>
    <row r="194" spans="1:36" x14ac:dyDescent="0.45">
      <c r="A194" t="s">
        <v>1041</v>
      </c>
      <c r="B194" t="str">
        <f t="shared" ref="B194:B257" si="6">IF(C194&gt;0,"Yes",IF(D194="","Unknown","No"))</f>
        <v>Unknown</v>
      </c>
      <c r="C194">
        <f t="shared" si="5"/>
        <v>0</v>
      </c>
      <c r="D194" s="2"/>
      <c r="E194">
        <f>COUNTIFS(Planets!$C:$C,I194,Planets!$E:$E,1)</f>
        <v>0</v>
      </c>
      <c r="F194" s="3">
        <v>26.559892306607559</v>
      </c>
      <c r="H194" s="2"/>
      <c r="I194" t="s">
        <v>1042</v>
      </c>
      <c r="L194">
        <v>0</v>
      </c>
      <c r="M194" s="3">
        <v>8.1433</v>
      </c>
      <c r="N194" t="s">
        <v>563</v>
      </c>
      <c r="O194" s="3">
        <v>2.5211576308069999E-4</v>
      </c>
      <c r="P194" s="3">
        <v>13.4</v>
      </c>
      <c r="T194" t="s">
        <v>1041</v>
      </c>
      <c r="W194" s="3">
        <v>195.140715</v>
      </c>
      <c r="X194" s="3">
        <v>5.6855339999999996</v>
      </c>
      <c r="Y194" s="3">
        <v>-25.50540590650289</v>
      </c>
      <c r="Z194" s="3">
        <v>-6.9012993511698761</v>
      </c>
      <c r="AA194" s="3">
        <v>2.6305881719641762</v>
      </c>
      <c r="AB194" t="s">
        <v>41</v>
      </c>
      <c r="AC194" t="s">
        <v>1042</v>
      </c>
      <c r="AD194">
        <v>0</v>
      </c>
      <c r="AE194">
        <v>0</v>
      </c>
      <c r="AF194" s="3">
        <v>-7.8199930000000002</v>
      </c>
      <c r="AG194" s="3">
        <v>-2.1159479999999999</v>
      </c>
      <c r="AH194" s="3">
        <v>0.80654199999999998</v>
      </c>
      <c r="AI194" s="2" t="s">
        <v>1043</v>
      </c>
      <c r="AJ194" s="2"/>
    </row>
    <row r="195" spans="1:36" x14ac:dyDescent="0.45">
      <c r="A195" t="s">
        <v>957</v>
      </c>
      <c r="B195" t="str">
        <f t="shared" si="6"/>
        <v>Unknown</v>
      </c>
      <c r="C195">
        <f t="shared" ref="C195:C258" si="7">IF(D195="",E195+0,D195)</f>
        <v>0</v>
      </c>
      <c r="D195" s="2"/>
      <c r="E195">
        <f>COUNTIFS(Planets!$C:$C,I195,Planets!$E:$E,1)</f>
        <v>0</v>
      </c>
      <c r="F195" s="3">
        <v>26.570655467072211</v>
      </c>
      <c r="H195" s="2"/>
      <c r="I195" t="s">
        <v>963</v>
      </c>
      <c r="L195">
        <v>0</v>
      </c>
      <c r="M195" s="3">
        <v>8.1465999999999994</v>
      </c>
      <c r="N195" t="s">
        <v>1044</v>
      </c>
      <c r="O195" s="3">
        <v>0.27669416454115098</v>
      </c>
      <c r="P195" s="3">
        <v>5.8</v>
      </c>
      <c r="R195" t="s">
        <v>1045</v>
      </c>
      <c r="S195" t="s">
        <v>1046</v>
      </c>
      <c r="T195" t="s">
        <v>1047</v>
      </c>
      <c r="V195" t="s">
        <v>957</v>
      </c>
      <c r="W195" s="3">
        <v>24.945045</v>
      </c>
      <c r="X195" s="3">
        <v>-56.19462</v>
      </c>
      <c r="Y195" s="3">
        <v>13.40544460432163</v>
      </c>
      <c r="Z195" s="3">
        <v>6.2362599738778819</v>
      </c>
      <c r="AA195" s="3">
        <v>-22.081112927801239</v>
      </c>
      <c r="AB195" t="s">
        <v>41</v>
      </c>
      <c r="AC195" t="s">
        <v>963</v>
      </c>
      <c r="AD195">
        <v>0</v>
      </c>
      <c r="AE195">
        <v>0</v>
      </c>
      <c r="AF195" s="3">
        <v>4.1101279999999996</v>
      </c>
      <c r="AG195" s="3">
        <v>1.9120459999999999</v>
      </c>
      <c r="AH195" s="3">
        <v>-6.7701000000000002</v>
      </c>
      <c r="AI195" s="2" t="s">
        <v>964</v>
      </c>
      <c r="AJ195" s="2"/>
    </row>
    <row r="196" spans="1:36" x14ac:dyDescent="0.45">
      <c r="A196" t="s">
        <v>1048</v>
      </c>
      <c r="B196" t="str">
        <f t="shared" si="6"/>
        <v>Unknown</v>
      </c>
      <c r="C196">
        <f t="shared" si="7"/>
        <v>0</v>
      </c>
      <c r="D196" s="2"/>
      <c r="E196">
        <f>COUNTIFS(Planets!$C:$C,I196,Planets!$E:$E,1)</f>
        <v>0</v>
      </c>
      <c r="F196" s="3">
        <v>26.603271104843881</v>
      </c>
      <c r="H196" s="2"/>
      <c r="I196" t="s">
        <v>1049</v>
      </c>
      <c r="L196">
        <v>0</v>
      </c>
      <c r="M196" s="3">
        <v>8.1565999999999992</v>
      </c>
      <c r="N196" t="s">
        <v>1050</v>
      </c>
      <c r="O196" s="3">
        <v>1.0452014414584351E-3</v>
      </c>
      <c r="P196" s="3">
        <v>11.86</v>
      </c>
      <c r="T196" t="s">
        <v>1048</v>
      </c>
      <c r="W196" s="3">
        <v>286.92499500000002</v>
      </c>
      <c r="X196" s="3">
        <v>32.543653999999997</v>
      </c>
      <c r="Y196" s="3">
        <v>6.5279383609061892</v>
      </c>
      <c r="Z196" s="3">
        <v>-21.448043398653041</v>
      </c>
      <c r="AA196" s="3">
        <v>14.306803846652061</v>
      </c>
      <c r="AB196" t="s">
        <v>41</v>
      </c>
      <c r="AC196" t="s">
        <v>1049</v>
      </c>
      <c r="AD196">
        <v>0</v>
      </c>
      <c r="AE196">
        <v>0</v>
      </c>
      <c r="AF196" s="3">
        <v>2.0014750000000001</v>
      </c>
      <c r="AG196" s="3">
        <v>-6.5759999999999996</v>
      </c>
      <c r="AH196" s="3">
        <v>4.3864859999999997</v>
      </c>
      <c r="AI196" s="2" t="s">
        <v>1051</v>
      </c>
      <c r="AJ196" s="2"/>
    </row>
    <row r="197" spans="1:36" x14ac:dyDescent="0.45">
      <c r="A197" t="s">
        <v>1052</v>
      </c>
      <c r="B197" t="str">
        <f t="shared" si="6"/>
        <v>Unknown</v>
      </c>
      <c r="C197">
        <f t="shared" si="7"/>
        <v>0</v>
      </c>
      <c r="D197" s="2"/>
      <c r="E197">
        <f>COUNTIFS(Planets!$C:$C,I197,Planets!$E:$E,1)</f>
        <v>0</v>
      </c>
      <c r="F197" s="3">
        <v>26.603271104843881</v>
      </c>
      <c r="H197" s="2"/>
      <c r="I197" t="s">
        <v>1053</v>
      </c>
      <c r="L197">
        <v>0</v>
      </c>
      <c r="M197" s="3">
        <v>8.1565999999999992</v>
      </c>
      <c r="N197" t="s">
        <v>1054</v>
      </c>
      <c r="O197" s="3">
        <v>7.9286637487850002E-4</v>
      </c>
      <c r="P197" s="3">
        <v>12.16</v>
      </c>
      <c r="T197" t="s">
        <v>1052</v>
      </c>
      <c r="W197" s="3">
        <v>286.92499500000002</v>
      </c>
      <c r="X197" s="3">
        <v>32.543653999999997</v>
      </c>
      <c r="Y197" s="3">
        <v>6.52985942197094</v>
      </c>
      <c r="Z197" s="3">
        <v>-21.45436757081697</v>
      </c>
      <c r="AA197" s="3">
        <v>14.311017787052171</v>
      </c>
      <c r="AB197" t="s">
        <v>60</v>
      </c>
      <c r="AC197" t="s">
        <v>1049</v>
      </c>
      <c r="AD197">
        <v>0</v>
      </c>
      <c r="AE197">
        <v>0</v>
      </c>
      <c r="AF197" s="3">
        <v>2.0020639999999998</v>
      </c>
      <c r="AG197" s="3">
        <v>-6.5779389999999998</v>
      </c>
      <c r="AH197" s="3">
        <v>4.387778</v>
      </c>
      <c r="AI197" s="2" t="s">
        <v>1051</v>
      </c>
      <c r="AJ197" s="2"/>
    </row>
    <row r="198" spans="1:36" x14ac:dyDescent="0.45">
      <c r="A198" t="s">
        <v>1055</v>
      </c>
      <c r="B198" t="str">
        <f t="shared" si="6"/>
        <v>Unknown</v>
      </c>
      <c r="C198">
        <f t="shared" si="7"/>
        <v>0</v>
      </c>
      <c r="D198" s="2"/>
      <c r="E198">
        <f>COUNTIFS(Planets!$C:$C,I198,Planets!$E:$E,1)</f>
        <v>0</v>
      </c>
      <c r="F198" s="3">
        <v>26.690354857694249</v>
      </c>
      <c r="H198" s="2"/>
      <c r="I198" t="s">
        <v>1056</v>
      </c>
      <c r="L198">
        <v>0</v>
      </c>
      <c r="M198" s="3">
        <v>8.1832999999999991</v>
      </c>
      <c r="N198" t="s">
        <v>713</v>
      </c>
      <c r="O198" s="3">
        <v>8.0537844119900001E-5</v>
      </c>
      <c r="P198" s="3">
        <v>14.65</v>
      </c>
      <c r="T198" t="s">
        <v>1055</v>
      </c>
      <c r="W198" s="3">
        <v>204.13513499999999</v>
      </c>
      <c r="X198" s="3">
        <v>3.679643</v>
      </c>
      <c r="Y198" s="3">
        <v>-24.30699974316693</v>
      </c>
      <c r="Z198" s="3">
        <v>-10.890886563730181</v>
      </c>
      <c r="AA198" s="3">
        <v>1.712927633875456</v>
      </c>
      <c r="AB198" t="s">
        <v>41</v>
      </c>
      <c r="AC198" t="s">
        <v>1056</v>
      </c>
      <c r="AD198">
        <v>0</v>
      </c>
      <c r="AE198">
        <v>0</v>
      </c>
      <c r="AF198" s="3">
        <v>-7.4525600000000001</v>
      </c>
      <c r="AG198" s="3">
        <v>-3.3391609999999998</v>
      </c>
      <c r="AH198" s="3">
        <v>0.52518600000000004</v>
      </c>
      <c r="AI198" s="2" t="s">
        <v>1057</v>
      </c>
      <c r="AJ198" s="2"/>
    </row>
    <row r="199" spans="1:36" x14ac:dyDescent="0.45">
      <c r="A199" t="s">
        <v>1058</v>
      </c>
      <c r="B199" t="str">
        <f t="shared" si="6"/>
        <v>Unknown</v>
      </c>
      <c r="C199">
        <f t="shared" si="7"/>
        <v>0</v>
      </c>
      <c r="D199" s="2"/>
      <c r="E199">
        <f>COUNTIFS(Planets!$C:$C,I199,Planets!$E:$E,1)</f>
        <v>0</v>
      </c>
      <c r="F199" s="3">
        <v>26.725253590109951</v>
      </c>
      <c r="H199" s="2"/>
      <c r="I199" t="s">
        <v>1059</v>
      </c>
      <c r="L199">
        <v>0</v>
      </c>
      <c r="M199" s="3">
        <v>8.1940000000000008</v>
      </c>
      <c r="N199" t="s">
        <v>1060</v>
      </c>
      <c r="O199" s="3">
        <v>7.0274861765613371E-3</v>
      </c>
      <c r="P199" s="3">
        <v>9.8000000000000007</v>
      </c>
      <c r="Q199" t="s">
        <v>1061</v>
      </c>
      <c r="T199" t="s">
        <v>1058</v>
      </c>
      <c r="W199" s="3">
        <v>17.593889999999998</v>
      </c>
      <c r="X199" s="3">
        <v>-67.444956000000005</v>
      </c>
      <c r="Y199" s="3">
        <v>9.7717135692329506</v>
      </c>
      <c r="Z199" s="3">
        <v>3.098906330036316</v>
      </c>
      <c r="AA199" s="3">
        <v>-24.681779513673678</v>
      </c>
      <c r="AB199" t="s">
        <v>41</v>
      </c>
      <c r="AC199" t="s">
        <v>1059</v>
      </c>
      <c r="AD199">
        <v>0</v>
      </c>
      <c r="AE199">
        <v>0</v>
      </c>
      <c r="AF199" s="3">
        <v>2.9960209999999998</v>
      </c>
      <c r="AG199" s="3">
        <v>0.950129</v>
      </c>
      <c r="AH199" s="3">
        <v>-7.5674679999999999</v>
      </c>
      <c r="AI199" s="2" t="s">
        <v>1062</v>
      </c>
      <c r="AJ199" s="2"/>
    </row>
    <row r="200" spans="1:36" x14ac:dyDescent="0.45">
      <c r="A200" t="s">
        <v>1063</v>
      </c>
      <c r="B200" t="str">
        <f t="shared" si="6"/>
        <v>Yes</v>
      </c>
      <c r="C200">
        <f t="shared" si="7"/>
        <v>1</v>
      </c>
      <c r="D200" s="2"/>
      <c r="E200">
        <f>COUNTIFS(Planets!$C:$C,I200,Planets!$E:$E,1)</f>
        <v>1</v>
      </c>
      <c r="F200" s="3">
        <v>26.778090923300059</v>
      </c>
      <c r="G200" t="s">
        <v>1064</v>
      </c>
      <c r="H200" s="2"/>
      <c r="I200" t="s">
        <v>1065</v>
      </c>
      <c r="J200" t="s">
        <v>1063</v>
      </c>
      <c r="K200" t="s">
        <v>73</v>
      </c>
      <c r="L200">
        <v>0</v>
      </c>
      <c r="M200" s="3">
        <v>8.2102000000000004</v>
      </c>
      <c r="N200" t="s">
        <v>332</v>
      </c>
      <c r="O200" s="3">
        <v>2.9430659896989998E-4</v>
      </c>
      <c r="P200" s="3">
        <v>13.25</v>
      </c>
      <c r="T200" t="s">
        <v>1063</v>
      </c>
      <c r="W200" s="3">
        <v>177.75562500000001</v>
      </c>
      <c r="X200" s="3">
        <v>48.376728</v>
      </c>
      <c r="Y200" s="3">
        <v>-17.769273429365459</v>
      </c>
      <c r="Z200" s="3">
        <v>0.6997587236999413</v>
      </c>
      <c r="AA200" s="3">
        <v>20.013144507398451</v>
      </c>
      <c r="AB200" t="s">
        <v>41</v>
      </c>
      <c r="AC200" t="s">
        <v>1065</v>
      </c>
      <c r="AD200">
        <v>1</v>
      </c>
      <c r="AE200">
        <v>0</v>
      </c>
      <c r="AF200" s="3">
        <v>-5.4480839999999997</v>
      </c>
      <c r="AG200" s="3">
        <v>0.21454699999999999</v>
      </c>
      <c r="AH200" s="3">
        <v>6.1360580000000002</v>
      </c>
      <c r="AI200" s="2" t="s">
        <v>1066</v>
      </c>
      <c r="AJ200" s="2"/>
    </row>
    <row r="201" spans="1:36" x14ac:dyDescent="0.45">
      <c r="A201" t="s">
        <v>1067</v>
      </c>
      <c r="B201" t="str">
        <f t="shared" si="6"/>
        <v>Unknown</v>
      </c>
      <c r="C201">
        <f t="shared" si="7"/>
        <v>0</v>
      </c>
      <c r="D201" s="2"/>
      <c r="E201">
        <f>COUNTIFS(Planets!$C:$C,I201,Planets!$E:$E,1)</f>
        <v>0</v>
      </c>
      <c r="F201" s="3">
        <v>26.802226495251102</v>
      </c>
      <c r="H201" s="2"/>
      <c r="I201" t="s">
        <v>1068</v>
      </c>
      <c r="L201">
        <v>0</v>
      </c>
      <c r="M201" s="3">
        <v>8.2175999999999991</v>
      </c>
      <c r="N201" t="s">
        <v>1069</v>
      </c>
      <c r="O201" s="3">
        <v>4.1457203178672582E-2</v>
      </c>
      <c r="P201" s="3">
        <v>7.88</v>
      </c>
      <c r="Q201" t="s">
        <v>1070</v>
      </c>
      <c r="R201" t="s">
        <v>1071</v>
      </c>
      <c r="T201" t="s">
        <v>1067</v>
      </c>
      <c r="W201" s="3">
        <v>345.06734999999998</v>
      </c>
      <c r="X201" s="3">
        <v>-22.524346999999999</v>
      </c>
      <c r="Y201" s="3">
        <v>23.92196561614476</v>
      </c>
      <c r="Z201" s="3">
        <v>-6.3798209650936837</v>
      </c>
      <c r="AA201" s="3">
        <v>-10.26746147867107</v>
      </c>
      <c r="AB201" t="s">
        <v>41</v>
      </c>
      <c r="AC201" t="s">
        <v>1068</v>
      </c>
      <c r="AD201">
        <v>0</v>
      </c>
      <c r="AE201">
        <v>0</v>
      </c>
      <c r="AF201" s="3">
        <v>7.3345079999999996</v>
      </c>
      <c r="AG201" s="3">
        <v>-1.956062</v>
      </c>
      <c r="AH201" s="3">
        <v>-3.148018</v>
      </c>
      <c r="AI201" s="2" t="s">
        <v>1072</v>
      </c>
      <c r="AJ201" s="2"/>
    </row>
    <row r="202" spans="1:36" x14ac:dyDescent="0.45">
      <c r="A202" t="s">
        <v>1073</v>
      </c>
      <c r="B202" t="str">
        <f t="shared" si="6"/>
        <v>Yes</v>
      </c>
      <c r="C202">
        <f t="shared" si="7"/>
        <v>1</v>
      </c>
      <c r="D202" s="2"/>
      <c r="E202">
        <f>COUNTIFS(Planets!$C:$C,I202,Planets!$E:$E,1)</f>
        <v>1</v>
      </c>
      <c r="F202" s="3">
        <v>26.86419620701728</v>
      </c>
      <c r="G202" t="s">
        <v>1074</v>
      </c>
      <c r="H202" s="2"/>
      <c r="I202" t="s">
        <v>1075</v>
      </c>
      <c r="J202" t="s">
        <v>1076</v>
      </c>
      <c r="K202" t="s">
        <v>73</v>
      </c>
      <c r="L202">
        <v>0</v>
      </c>
      <c r="M202" s="3">
        <v>8.2365999999999993</v>
      </c>
      <c r="N202" t="s">
        <v>1077</v>
      </c>
      <c r="O202" s="3">
        <v>6.0200486368445893E-3</v>
      </c>
      <c r="P202" s="3">
        <v>9.98</v>
      </c>
      <c r="Q202" t="s">
        <v>1078</v>
      </c>
      <c r="T202" t="s">
        <v>1073</v>
      </c>
      <c r="W202" s="3">
        <v>15.62505</v>
      </c>
      <c r="X202" s="3">
        <v>71.679816000000002</v>
      </c>
      <c r="Y202" s="3">
        <v>8.1317242861062908</v>
      </c>
      <c r="Z202" s="3">
        <v>2.2756680632965929</v>
      </c>
      <c r="AA202" s="3">
        <v>25.502600961654519</v>
      </c>
      <c r="AB202" t="s">
        <v>41</v>
      </c>
      <c r="AC202" t="s">
        <v>1075</v>
      </c>
      <c r="AD202">
        <v>1</v>
      </c>
      <c r="AE202">
        <v>0</v>
      </c>
      <c r="AF202" s="3">
        <v>2.493198</v>
      </c>
      <c r="AG202" s="3">
        <v>0.69772299999999998</v>
      </c>
      <c r="AH202" s="3">
        <v>7.8191329999999999</v>
      </c>
      <c r="AI202" s="2" t="s">
        <v>1079</v>
      </c>
      <c r="AJ202" s="2"/>
    </row>
    <row r="203" spans="1:36" x14ac:dyDescent="0.45">
      <c r="A203" t="s">
        <v>1080</v>
      </c>
      <c r="B203" t="str">
        <f t="shared" si="6"/>
        <v>Unknown</v>
      </c>
      <c r="C203">
        <f t="shared" si="7"/>
        <v>0</v>
      </c>
      <c r="D203" s="2"/>
      <c r="E203">
        <f>COUNTIFS(Planets!$C:$C,I203,Planets!$E:$E,1)</f>
        <v>0</v>
      </c>
      <c r="F203" s="3">
        <v>26.888331778968318</v>
      </c>
      <c r="H203" s="2"/>
      <c r="I203" t="s">
        <v>1081</v>
      </c>
      <c r="L203">
        <v>0</v>
      </c>
      <c r="M203" s="3">
        <v>8.2439999999999998</v>
      </c>
      <c r="N203" t="s">
        <v>332</v>
      </c>
      <c r="O203" s="3">
        <v>2.5609435171570003E-4</v>
      </c>
      <c r="P203" s="3">
        <v>13.41</v>
      </c>
      <c r="T203" t="s">
        <v>1080</v>
      </c>
      <c r="W203" s="3">
        <v>275.62618500000002</v>
      </c>
      <c r="X203" s="3">
        <v>62.048056000000003</v>
      </c>
      <c r="Y203" s="3">
        <v>1.232404704149155</v>
      </c>
      <c r="Z203" s="3">
        <v>-12.54299255628902</v>
      </c>
      <c r="AA203" s="3">
        <v>23.751568478170419</v>
      </c>
      <c r="AB203" t="s">
        <v>41</v>
      </c>
      <c r="AC203" t="s">
        <v>1081</v>
      </c>
      <c r="AD203">
        <v>0</v>
      </c>
      <c r="AE203">
        <v>0</v>
      </c>
      <c r="AF203" s="3">
        <v>0.377857</v>
      </c>
      <c r="AG203" s="3">
        <v>-3.8456990000000002</v>
      </c>
      <c r="AH203" s="3">
        <v>7.2822639999999996</v>
      </c>
      <c r="AI203" s="2" t="s">
        <v>1082</v>
      </c>
      <c r="AJ203" s="2"/>
    </row>
    <row r="204" spans="1:36" x14ac:dyDescent="0.45">
      <c r="A204" t="s">
        <v>1083</v>
      </c>
      <c r="B204" t="str">
        <f t="shared" si="6"/>
        <v>Unknown</v>
      </c>
      <c r="C204">
        <f t="shared" si="7"/>
        <v>0</v>
      </c>
      <c r="D204" s="2"/>
      <c r="E204">
        <f>COUNTIFS(Planets!$C:$C,I204,Planets!$E:$E,1)</f>
        <v>0</v>
      </c>
      <c r="F204" s="3">
        <v>27.062499284669059</v>
      </c>
      <c r="H204" s="2"/>
      <c r="I204" t="s">
        <v>988</v>
      </c>
      <c r="L204">
        <v>0</v>
      </c>
      <c r="M204" s="3">
        <v>8.2973999999999997</v>
      </c>
      <c r="N204" t="s">
        <v>1084</v>
      </c>
      <c r="O204" s="3">
        <v>9.8627948563120003E-4</v>
      </c>
      <c r="P204" s="3">
        <v>11.96</v>
      </c>
      <c r="Q204" t="s">
        <v>1085</v>
      </c>
      <c r="T204" t="s">
        <v>1083</v>
      </c>
      <c r="W204" s="3">
        <v>322.827495</v>
      </c>
      <c r="X204" s="3">
        <v>-9.7906630000000003</v>
      </c>
      <c r="Y204" s="3">
        <v>21.24858572742415</v>
      </c>
      <c r="Z204" s="3">
        <v>-16.11246426183995</v>
      </c>
      <c r="AA204" s="3">
        <v>-4.6016685788024354</v>
      </c>
      <c r="AB204" t="s">
        <v>41</v>
      </c>
      <c r="AC204" t="s">
        <v>988</v>
      </c>
      <c r="AD204">
        <v>0</v>
      </c>
      <c r="AE204">
        <v>0</v>
      </c>
      <c r="AF204" s="3">
        <v>6.5148460000000004</v>
      </c>
      <c r="AG204" s="3">
        <v>-4.9401039999999998</v>
      </c>
      <c r="AH204" s="3">
        <v>-1.4108780000000001</v>
      </c>
      <c r="AI204" s="2" t="s">
        <v>989</v>
      </c>
      <c r="AJ204" s="2"/>
    </row>
    <row r="205" spans="1:36" x14ac:dyDescent="0.45">
      <c r="A205" t="s">
        <v>1086</v>
      </c>
      <c r="B205" t="str">
        <f t="shared" si="6"/>
        <v>Unknown</v>
      </c>
      <c r="C205">
        <f t="shared" si="7"/>
        <v>0</v>
      </c>
      <c r="D205" s="2"/>
      <c r="E205">
        <f>COUNTIFS(Planets!$C:$C,I205,Planets!$E:$E,1)</f>
        <v>0</v>
      </c>
      <c r="F205" s="3">
        <v>27.10522577014995</v>
      </c>
      <c r="H205" s="2"/>
      <c r="I205" t="s">
        <v>1087</v>
      </c>
      <c r="L205">
        <v>0</v>
      </c>
      <c r="M205" s="3">
        <v>8.3104999999999993</v>
      </c>
      <c r="N205" t="s">
        <v>1088</v>
      </c>
      <c r="O205" s="3">
        <v>2.5775078699705358</v>
      </c>
      <c r="P205" s="3">
        <v>3.42</v>
      </c>
      <c r="Q205" t="s">
        <v>1089</v>
      </c>
      <c r="R205" t="s">
        <v>1090</v>
      </c>
      <c r="S205" t="s">
        <v>1091</v>
      </c>
      <c r="T205" t="s">
        <v>1086</v>
      </c>
      <c r="U205" t="s">
        <v>1092</v>
      </c>
      <c r="W205" s="3">
        <v>266.61478499999998</v>
      </c>
      <c r="X205" s="3">
        <v>27.720676000000001</v>
      </c>
      <c r="Y205" s="3">
        <v>-1.4168428741841961</v>
      </c>
      <c r="Z205" s="3">
        <v>-23.951945910384481</v>
      </c>
      <c r="AA205" s="3">
        <v>12.60808032302617</v>
      </c>
      <c r="AB205" t="s">
        <v>41</v>
      </c>
      <c r="AC205" t="s">
        <v>1087</v>
      </c>
      <c r="AD205">
        <v>0</v>
      </c>
      <c r="AE205">
        <v>0</v>
      </c>
      <c r="AF205" s="3">
        <v>-0.43440600000000001</v>
      </c>
      <c r="AG205" s="3">
        <v>-7.3437000000000001</v>
      </c>
      <c r="AH205" s="3">
        <v>3.8656549999999998</v>
      </c>
      <c r="AI205" s="2" t="s">
        <v>1093</v>
      </c>
      <c r="AJ205" s="2"/>
    </row>
    <row r="206" spans="1:36" x14ac:dyDescent="0.45">
      <c r="A206" t="s">
        <v>1094</v>
      </c>
      <c r="B206" t="str">
        <f t="shared" si="6"/>
        <v>Unknown</v>
      </c>
      <c r="C206">
        <f t="shared" si="7"/>
        <v>0</v>
      </c>
      <c r="D206" s="2"/>
      <c r="E206">
        <f>COUNTIFS(Planets!$C:$C,I206,Planets!$E:$E,1)</f>
        <v>0</v>
      </c>
      <c r="F206" s="3">
        <v>27.17958942426937</v>
      </c>
      <c r="H206" s="2"/>
      <c r="I206" t="s">
        <v>1095</v>
      </c>
      <c r="L206">
        <v>0</v>
      </c>
      <c r="M206" s="3">
        <v>8.3332999999999995</v>
      </c>
      <c r="N206" t="s">
        <v>299</v>
      </c>
      <c r="O206" s="3">
        <v>3.6107714510040002E-4</v>
      </c>
      <c r="P206" s="3">
        <v>13.06</v>
      </c>
      <c r="T206" t="s">
        <v>1094</v>
      </c>
      <c r="W206" s="3">
        <v>96.172484999999995</v>
      </c>
      <c r="X206" s="3">
        <v>23.434998</v>
      </c>
      <c r="Y206" s="3">
        <v>-2.6816446913319552</v>
      </c>
      <c r="Z206" s="3">
        <v>24.79298905378376</v>
      </c>
      <c r="AA206" s="3">
        <v>10.809549686255179</v>
      </c>
      <c r="AB206" t="s">
        <v>41</v>
      </c>
      <c r="AC206" t="s">
        <v>1095</v>
      </c>
      <c r="AD206">
        <v>0</v>
      </c>
      <c r="AE206">
        <v>0</v>
      </c>
      <c r="AF206" s="3">
        <v>-0.82219600000000004</v>
      </c>
      <c r="AG206" s="3">
        <v>7.6015649999999999</v>
      </c>
      <c r="AH206" s="3">
        <v>3.3142230000000001</v>
      </c>
      <c r="AI206" s="2" t="s">
        <v>1096</v>
      </c>
      <c r="AJ206" s="2"/>
    </row>
    <row r="207" spans="1:36" x14ac:dyDescent="0.45">
      <c r="A207" t="s">
        <v>1097</v>
      </c>
      <c r="B207" t="str">
        <f t="shared" si="6"/>
        <v>Unknown</v>
      </c>
      <c r="C207">
        <f t="shared" si="7"/>
        <v>0</v>
      </c>
      <c r="D207" s="2"/>
      <c r="E207">
        <f>COUNTIFS(Planets!$C:$C,I207,Planets!$E:$E,1)</f>
        <v>0</v>
      </c>
      <c r="F207" s="3">
        <v>27.21383584392963</v>
      </c>
      <c r="H207" s="2"/>
      <c r="I207" t="s">
        <v>1098</v>
      </c>
      <c r="L207">
        <v>0</v>
      </c>
      <c r="M207" s="3">
        <v>8.3437999999999999</v>
      </c>
      <c r="N207" t="s">
        <v>304</v>
      </c>
      <c r="O207" s="3">
        <v>3.6207621775667291E-3</v>
      </c>
      <c r="P207" s="3">
        <v>10.56</v>
      </c>
      <c r="Q207" t="s">
        <v>1099</v>
      </c>
      <c r="T207" t="s">
        <v>1097</v>
      </c>
      <c r="W207" s="3">
        <v>245.01511500000001</v>
      </c>
      <c r="X207" s="3">
        <v>-37.529010999999997</v>
      </c>
      <c r="Y207" s="3">
        <v>-9.1160544493640909</v>
      </c>
      <c r="Z207" s="3">
        <v>-19.56250076343478</v>
      </c>
      <c r="AA207" s="3">
        <v>-16.578019875392819</v>
      </c>
      <c r="AB207" t="s">
        <v>41</v>
      </c>
      <c r="AC207" t="s">
        <v>1098</v>
      </c>
      <c r="AD207">
        <v>0</v>
      </c>
      <c r="AE207">
        <v>0</v>
      </c>
      <c r="AF207" s="3">
        <v>-2.7949950000000001</v>
      </c>
      <c r="AG207" s="3">
        <v>-5.9978899999999999</v>
      </c>
      <c r="AH207" s="3">
        <v>-5.0828439999999997</v>
      </c>
      <c r="AI207" s="2" t="s">
        <v>1100</v>
      </c>
      <c r="AJ207" s="2"/>
    </row>
    <row r="208" spans="1:36" x14ac:dyDescent="0.45">
      <c r="A208" t="s">
        <v>1101</v>
      </c>
      <c r="B208" t="str">
        <f t="shared" si="6"/>
        <v>Yes</v>
      </c>
      <c r="C208">
        <f t="shared" si="7"/>
        <v>1</v>
      </c>
      <c r="D208" s="2"/>
      <c r="E208">
        <f>COUNTIFS(Planets!$C:$C,I208,Planets!$E:$E,1)</f>
        <v>1</v>
      </c>
      <c r="F208" s="3">
        <v>27.300267284024571</v>
      </c>
      <c r="G208" t="s">
        <v>1102</v>
      </c>
      <c r="H208" s="2"/>
      <c r="I208" t="s">
        <v>1103</v>
      </c>
      <c r="J208" t="s">
        <v>1104</v>
      </c>
      <c r="K208" t="s">
        <v>73</v>
      </c>
      <c r="L208">
        <v>0</v>
      </c>
      <c r="M208" s="3">
        <v>8.3703000000000003</v>
      </c>
      <c r="N208" t="s">
        <v>304</v>
      </c>
      <c r="O208" s="3">
        <v>1.6966802323464621E-3</v>
      </c>
      <c r="P208" s="3">
        <v>11.39</v>
      </c>
      <c r="Q208" t="s">
        <v>1105</v>
      </c>
      <c r="T208" t="s">
        <v>1106</v>
      </c>
      <c r="V208" t="s">
        <v>1101</v>
      </c>
      <c r="W208" s="3">
        <v>191.985975</v>
      </c>
      <c r="X208" s="3">
        <v>9.7513970000000008</v>
      </c>
      <c r="Y208" s="3">
        <v>-26.319775981332491</v>
      </c>
      <c r="Z208" s="3">
        <v>-5.5876882320968067</v>
      </c>
      <c r="AA208" s="3">
        <v>4.6240363831862483</v>
      </c>
      <c r="AB208" t="s">
        <v>41</v>
      </c>
      <c r="AC208" t="s">
        <v>1103</v>
      </c>
      <c r="AD208">
        <v>1</v>
      </c>
      <c r="AE208">
        <v>0</v>
      </c>
      <c r="AF208" s="3">
        <v>-8.06968</v>
      </c>
      <c r="AG208" s="3">
        <v>-1.713193</v>
      </c>
      <c r="AH208" s="3">
        <v>1.4177360000000001</v>
      </c>
      <c r="AI208" s="2" t="s">
        <v>1107</v>
      </c>
      <c r="AJ208" s="2"/>
    </row>
    <row r="209" spans="1:36" x14ac:dyDescent="0.45">
      <c r="A209" t="s">
        <v>1108</v>
      </c>
      <c r="B209" t="str">
        <f t="shared" si="6"/>
        <v>Unknown</v>
      </c>
      <c r="C209">
        <f t="shared" si="7"/>
        <v>0</v>
      </c>
      <c r="D209" s="2"/>
      <c r="E209">
        <f>COUNTIFS(Planets!$C:$C,I209,Planets!$E:$E,1)</f>
        <v>0</v>
      </c>
      <c r="F209" s="3">
        <v>27.396483415451009</v>
      </c>
      <c r="H209" s="2"/>
      <c r="I209" t="s">
        <v>1109</v>
      </c>
      <c r="L209">
        <v>0</v>
      </c>
      <c r="M209" s="3">
        <v>8.3998000000000008</v>
      </c>
      <c r="N209" t="s">
        <v>1110</v>
      </c>
      <c r="O209" s="3">
        <v>4.450409766495373E-3</v>
      </c>
      <c r="P209" s="3">
        <v>10.35</v>
      </c>
      <c r="T209" t="s">
        <v>1108</v>
      </c>
      <c r="W209" s="3">
        <v>266.60611499999999</v>
      </c>
      <c r="X209" s="3">
        <v>27.715758999999998</v>
      </c>
      <c r="Y209" s="3">
        <v>-1.4359197607168479</v>
      </c>
      <c r="Z209" s="3">
        <v>-24.20856574837201</v>
      </c>
      <c r="AA209" s="3">
        <v>12.740630274930259</v>
      </c>
      <c r="AB209" t="s">
        <v>60</v>
      </c>
      <c r="AC209" t="s">
        <v>1087</v>
      </c>
      <c r="AD209">
        <v>0</v>
      </c>
      <c r="AE209">
        <v>0</v>
      </c>
      <c r="AF209" s="3">
        <v>-0.44025500000000001</v>
      </c>
      <c r="AG209" s="3">
        <v>-7.4223800000000004</v>
      </c>
      <c r="AH209" s="3">
        <v>3.9062950000000001</v>
      </c>
      <c r="AI209" s="2" t="s">
        <v>1093</v>
      </c>
      <c r="AJ209" s="2"/>
    </row>
    <row r="210" spans="1:36" x14ac:dyDescent="0.45">
      <c r="A210" t="s">
        <v>1111</v>
      </c>
      <c r="B210" t="str">
        <f t="shared" si="6"/>
        <v>Unknown</v>
      </c>
      <c r="C210">
        <f t="shared" si="7"/>
        <v>0</v>
      </c>
      <c r="D210" s="2"/>
      <c r="E210">
        <f>COUNTIFS(Planets!$C:$C,I210,Planets!$E:$E,1)</f>
        <v>0</v>
      </c>
      <c r="F210" s="3">
        <v>27.396483415451009</v>
      </c>
      <c r="H210" s="2"/>
      <c r="I210" t="s">
        <v>1112</v>
      </c>
      <c r="L210">
        <v>0</v>
      </c>
      <c r="M210" s="3">
        <v>8.3998000000000008</v>
      </c>
      <c r="N210" t="s">
        <v>1113</v>
      </c>
      <c r="O210" s="3">
        <v>2.9403565736725039E-3</v>
      </c>
      <c r="P210" s="3">
        <v>10.8</v>
      </c>
      <c r="T210" t="s">
        <v>1111</v>
      </c>
      <c r="W210" s="3">
        <v>266.60611499999999</v>
      </c>
      <c r="X210" s="3">
        <v>27.715758999999998</v>
      </c>
      <c r="Y210" s="3">
        <v>-1.4360404385766039</v>
      </c>
      <c r="Z210" s="3">
        <v>-24.21061727198785</v>
      </c>
      <c r="AA210" s="3">
        <v>12.741709852540501</v>
      </c>
      <c r="AB210" t="s">
        <v>416</v>
      </c>
      <c r="AC210" t="s">
        <v>1087</v>
      </c>
      <c r="AD210">
        <v>0</v>
      </c>
      <c r="AE210">
        <v>0</v>
      </c>
      <c r="AF210" s="3">
        <v>-0.44029200000000002</v>
      </c>
      <c r="AG210" s="3">
        <v>-7.4230090000000004</v>
      </c>
      <c r="AH210" s="3">
        <v>3.9066260000000002</v>
      </c>
      <c r="AI210" s="2" t="s">
        <v>1093</v>
      </c>
      <c r="AJ210" s="2"/>
    </row>
    <row r="211" spans="1:36" x14ac:dyDescent="0.45">
      <c r="A211" t="s">
        <v>1114</v>
      </c>
      <c r="B211" t="str">
        <f t="shared" si="6"/>
        <v>Unknown</v>
      </c>
      <c r="C211">
        <f t="shared" si="7"/>
        <v>0</v>
      </c>
      <c r="D211" s="2"/>
      <c r="E211">
        <f>COUNTIFS(Planets!$C:$C,I211,Planets!$E:$E,1)</f>
        <v>0</v>
      </c>
      <c r="F211" s="3">
        <v>27.408225045048809</v>
      </c>
      <c r="H211" s="2"/>
      <c r="I211" t="s">
        <v>1115</v>
      </c>
      <c r="L211">
        <v>0</v>
      </c>
      <c r="M211" s="3">
        <v>8.4033999999999995</v>
      </c>
      <c r="N211" t="s">
        <v>1116</v>
      </c>
      <c r="O211" s="3">
        <v>4.4136714346343963E-3</v>
      </c>
      <c r="P211" s="3">
        <v>10.36</v>
      </c>
      <c r="T211" t="s">
        <v>1114</v>
      </c>
      <c r="W211" s="3">
        <v>175.82438999999999</v>
      </c>
      <c r="X211" s="3">
        <v>-51.839852</v>
      </c>
      <c r="Y211" s="3">
        <v>-16.889714479321611</v>
      </c>
      <c r="Z211" s="3">
        <v>1.231364265304238</v>
      </c>
      <c r="AA211" s="3">
        <v>-21.55078918076137</v>
      </c>
      <c r="AB211" t="s">
        <v>41</v>
      </c>
      <c r="AC211" t="s">
        <v>1115</v>
      </c>
      <c r="AD211">
        <v>0</v>
      </c>
      <c r="AE211">
        <v>0</v>
      </c>
      <c r="AF211" s="3">
        <v>-5.1784100000000004</v>
      </c>
      <c r="AG211" s="3">
        <v>0.37753799999999998</v>
      </c>
      <c r="AH211" s="3">
        <v>-6.6075020000000002</v>
      </c>
      <c r="AI211" s="2" t="s">
        <v>1117</v>
      </c>
      <c r="AJ211" s="2"/>
    </row>
    <row r="212" spans="1:36" x14ac:dyDescent="0.45">
      <c r="A212" t="s">
        <v>1118</v>
      </c>
      <c r="B212" t="str">
        <f t="shared" si="6"/>
        <v>Unknown</v>
      </c>
      <c r="C212">
        <f t="shared" si="7"/>
        <v>0</v>
      </c>
      <c r="D212" s="2"/>
      <c r="E212">
        <f>COUNTIFS(Planets!$C:$C,I212,Planets!$E:$E,1)</f>
        <v>0</v>
      </c>
      <c r="F212" s="3">
        <v>27.525967497404551</v>
      </c>
      <c r="H212" s="2"/>
      <c r="I212" t="s">
        <v>1119</v>
      </c>
      <c r="L212">
        <v>0</v>
      </c>
      <c r="M212" s="3">
        <v>8.4395000000000007</v>
      </c>
      <c r="N212" t="s">
        <v>1120</v>
      </c>
      <c r="O212" s="3">
        <v>1.2496833972112189</v>
      </c>
      <c r="P212" s="3">
        <v>4.24</v>
      </c>
      <c r="Q212" t="s">
        <v>1121</v>
      </c>
      <c r="R212" t="s">
        <v>1122</v>
      </c>
      <c r="S212" t="s">
        <v>1123</v>
      </c>
      <c r="T212" t="s">
        <v>1124</v>
      </c>
      <c r="U212" t="s">
        <v>1125</v>
      </c>
      <c r="V212" t="s">
        <v>1118</v>
      </c>
      <c r="W212" s="3">
        <v>188.43616499999999</v>
      </c>
      <c r="X212" s="3">
        <v>41.357480000000002</v>
      </c>
      <c r="Y212" s="3">
        <v>-20.437653340815672</v>
      </c>
      <c r="Z212" s="3">
        <v>-3.0309483871752558</v>
      </c>
      <c r="AA212" s="3">
        <v>18.188048433662431</v>
      </c>
      <c r="AB212" t="s">
        <v>41</v>
      </c>
      <c r="AC212" t="s">
        <v>1119</v>
      </c>
      <c r="AD212">
        <v>0</v>
      </c>
      <c r="AE212">
        <v>0</v>
      </c>
      <c r="AF212" s="3">
        <v>-6.2662129999999996</v>
      </c>
      <c r="AG212" s="3">
        <v>-0.92929300000000004</v>
      </c>
      <c r="AH212" s="3">
        <v>5.5764810000000002</v>
      </c>
      <c r="AI212" s="2" t="s">
        <v>1126</v>
      </c>
      <c r="AJ212" s="2"/>
    </row>
    <row r="213" spans="1:36" x14ac:dyDescent="0.45">
      <c r="A213" t="s">
        <v>1127</v>
      </c>
      <c r="B213" t="str">
        <f t="shared" si="6"/>
        <v>Unknown</v>
      </c>
      <c r="C213">
        <f t="shared" si="7"/>
        <v>0</v>
      </c>
      <c r="D213" s="2"/>
      <c r="E213">
        <f>COUNTIFS(Planets!$C:$C,I213,Planets!$E:$E,1)</f>
        <v>0</v>
      </c>
      <c r="F213" s="3">
        <v>27.593481867591919</v>
      </c>
      <c r="H213" s="2"/>
      <c r="I213" t="s">
        <v>1128</v>
      </c>
      <c r="L213">
        <v>0</v>
      </c>
      <c r="M213" s="3">
        <v>8.4602000000000004</v>
      </c>
      <c r="N213" t="s">
        <v>332</v>
      </c>
      <c r="O213" s="3">
        <v>3.01161880308E-5</v>
      </c>
      <c r="P213" s="3">
        <v>15.79</v>
      </c>
      <c r="T213" t="s">
        <v>1127</v>
      </c>
      <c r="W213" s="3">
        <v>34.129710000000003</v>
      </c>
      <c r="X213" s="3">
        <v>13.594943000000001</v>
      </c>
      <c r="Y213" s="3">
        <v>22.2010243200688</v>
      </c>
      <c r="Z213" s="3">
        <v>15.04813446225578</v>
      </c>
      <c r="AA213" s="3">
        <v>6.4860207432420331</v>
      </c>
      <c r="AB213" t="s">
        <v>41</v>
      </c>
      <c r="AC213" t="s">
        <v>1128</v>
      </c>
      <c r="AD213">
        <v>0</v>
      </c>
      <c r="AE213">
        <v>0</v>
      </c>
      <c r="AF213" s="3">
        <v>6.8068650000000002</v>
      </c>
      <c r="AG213" s="3">
        <v>4.6137790000000001</v>
      </c>
      <c r="AH213" s="3">
        <v>1.988623</v>
      </c>
      <c r="AI213" s="2" t="s">
        <v>1129</v>
      </c>
      <c r="AJ213" s="2"/>
    </row>
    <row r="214" spans="1:36" x14ac:dyDescent="0.45">
      <c r="A214" t="s">
        <v>1130</v>
      </c>
      <c r="B214" t="str">
        <f t="shared" si="6"/>
        <v>Unknown</v>
      </c>
      <c r="C214">
        <f t="shared" si="7"/>
        <v>0</v>
      </c>
      <c r="D214" s="2"/>
      <c r="E214">
        <f>COUNTIFS(Planets!$C:$C,I214,Planets!$E:$E,1)</f>
        <v>0</v>
      </c>
      <c r="F214" s="3">
        <v>27.593481867591919</v>
      </c>
      <c r="H214" s="2"/>
      <c r="I214" t="s">
        <v>1131</v>
      </c>
      <c r="L214">
        <v>0</v>
      </c>
      <c r="M214" s="3">
        <v>8.4602000000000004</v>
      </c>
      <c r="N214" t="s">
        <v>332</v>
      </c>
      <c r="O214" s="3">
        <v>2.008167804184E-4</v>
      </c>
      <c r="P214" s="3">
        <v>13.73</v>
      </c>
      <c r="T214" t="s">
        <v>1130</v>
      </c>
      <c r="W214" s="3">
        <v>183.568635</v>
      </c>
      <c r="X214" s="3">
        <v>0.62134599999999995</v>
      </c>
      <c r="Y214" s="3">
        <v>-27.538358178194009</v>
      </c>
      <c r="Z214" s="3">
        <v>-1.7174318534517241</v>
      </c>
      <c r="AA214" s="3">
        <v>0.29923543030000332</v>
      </c>
      <c r="AB214" t="s">
        <v>41</v>
      </c>
      <c r="AC214" t="s">
        <v>1131</v>
      </c>
      <c r="AD214">
        <v>0</v>
      </c>
      <c r="AE214">
        <v>0</v>
      </c>
      <c r="AF214" s="3">
        <v>-8.4432989999999997</v>
      </c>
      <c r="AG214" s="3">
        <v>-0.52656700000000001</v>
      </c>
      <c r="AH214" s="3">
        <v>9.1745999999999994E-2</v>
      </c>
      <c r="AI214" s="2" t="s">
        <v>1132</v>
      </c>
      <c r="AJ214" s="2"/>
    </row>
    <row r="215" spans="1:36" x14ac:dyDescent="0.45">
      <c r="A215" t="s">
        <v>1133</v>
      </c>
      <c r="B215" t="str">
        <f t="shared" si="6"/>
        <v>Yes</v>
      </c>
      <c r="C215">
        <f t="shared" si="7"/>
        <v>1</v>
      </c>
      <c r="D215" s="2"/>
      <c r="E215">
        <f>COUNTIFS(Planets!$C:$C,I215,Planets!$E:$E,1)</f>
        <v>1</v>
      </c>
      <c r="F215" s="3">
        <v>27.61696512678752</v>
      </c>
      <c r="G215" t="s">
        <v>1134</v>
      </c>
      <c r="H215" s="2"/>
      <c r="I215" t="s">
        <v>1135</v>
      </c>
      <c r="J215" t="s">
        <v>1136</v>
      </c>
      <c r="K215" t="s">
        <v>47</v>
      </c>
      <c r="L215">
        <v>0</v>
      </c>
      <c r="M215" s="3">
        <v>8.4673999999999996</v>
      </c>
      <c r="N215" t="s">
        <v>332</v>
      </c>
      <c r="O215" s="3">
        <v>1.8862532453510001E-4</v>
      </c>
      <c r="P215" s="3">
        <v>13.8</v>
      </c>
      <c r="T215" t="s">
        <v>1133</v>
      </c>
      <c r="W215" s="3">
        <v>48.342779999999998</v>
      </c>
      <c r="X215" s="3">
        <v>4.7756340000000002</v>
      </c>
      <c r="Y215" s="3">
        <v>18.292486967371101</v>
      </c>
      <c r="Z215" s="3">
        <v>20.56198741356507</v>
      </c>
      <c r="AA215" s="3">
        <v>2.2992263384590732</v>
      </c>
      <c r="AB215" t="s">
        <v>41</v>
      </c>
      <c r="AC215" t="s">
        <v>1135</v>
      </c>
      <c r="AD215">
        <v>1</v>
      </c>
      <c r="AE215">
        <v>0</v>
      </c>
      <c r="AF215" s="3">
        <v>5.6085019999999997</v>
      </c>
      <c r="AG215" s="3">
        <v>6.3043339999999999</v>
      </c>
      <c r="AH215" s="3">
        <v>0.70494599999999996</v>
      </c>
      <c r="AI215" s="2" t="s">
        <v>1137</v>
      </c>
      <c r="AJ215" s="2"/>
    </row>
    <row r="216" spans="1:36" x14ac:dyDescent="0.45">
      <c r="A216" t="s">
        <v>1138</v>
      </c>
      <c r="B216" t="str">
        <f t="shared" si="6"/>
        <v>Unknown</v>
      </c>
      <c r="C216">
        <f t="shared" si="7"/>
        <v>0</v>
      </c>
      <c r="D216" s="2"/>
      <c r="E216">
        <f>COUNTIFS(Planets!$C:$C,I216,Planets!$E:$E,1)</f>
        <v>0</v>
      </c>
      <c r="F216" s="3">
        <v>27.633272945673362</v>
      </c>
      <c r="H216" s="2"/>
      <c r="I216" t="s">
        <v>1139</v>
      </c>
      <c r="L216">
        <v>0</v>
      </c>
      <c r="M216" s="3">
        <v>8.4724000000000004</v>
      </c>
      <c r="N216" t="s">
        <v>1140</v>
      </c>
      <c r="O216" s="3">
        <v>1.3677288255960001E-4</v>
      </c>
      <c r="P216" s="3">
        <v>14.15</v>
      </c>
      <c r="T216" t="s">
        <v>1138</v>
      </c>
      <c r="W216" s="3">
        <v>245.01797999999999</v>
      </c>
      <c r="X216" s="3">
        <v>-37.530714000000003</v>
      </c>
      <c r="Y216" s="3">
        <v>-9.2558842116188131</v>
      </c>
      <c r="Z216" s="3">
        <v>-19.863252820891159</v>
      </c>
      <c r="AA216" s="3">
        <v>-16.833821060872289</v>
      </c>
      <c r="AB216" t="s">
        <v>60</v>
      </c>
      <c r="AC216" t="s">
        <v>1098</v>
      </c>
      <c r="AD216">
        <v>0</v>
      </c>
      <c r="AE216">
        <v>0</v>
      </c>
      <c r="AF216" s="3">
        <v>-2.8378670000000001</v>
      </c>
      <c r="AG216" s="3">
        <v>-6.0901009999999998</v>
      </c>
      <c r="AH216" s="3">
        <v>-5.1612730000000004</v>
      </c>
      <c r="AI216" s="2" t="s">
        <v>1100</v>
      </c>
      <c r="AJ216" s="2"/>
    </row>
    <row r="217" spans="1:36" x14ac:dyDescent="0.45">
      <c r="A217" t="s">
        <v>1141</v>
      </c>
      <c r="B217" t="str">
        <f t="shared" si="6"/>
        <v>Unknown</v>
      </c>
      <c r="C217">
        <f t="shared" si="7"/>
        <v>0</v>
      </c>
      <c r="D217" s="2"/>
      <c r="E217">
        <f>COUNTIFS(Planets!$C:$C,I217,Planets!$E:$E,1)</f>
        <v>0</v>
      </c>
      <c r="F217" s="3">
        <v>27.640448385983131</v>
      </c>
      <c r="H217" s="2"/>
      <c r="I217" t="s">
        <v>1142</v>
      </c>
      <c r="L217">
        <v>0</v>
      </c>
      <c r="M217" s="3">
        <v>8.4746000000000006</v>
      </c>
      <c r="N217" t="s">
        <v>332</v>
      </c>
      <c r="O217" s="3">
        <v>1.128236121649E-4</v>
      </c>
      <c r="P217" s="3">
        <v>14.36</v>
      </c>
      <c r="T217" t="s">
        <v>1141</v>
      </c>
      <c r="W217" s="3">
        <v>17.856584999999999</v>
      </c>
      <c r="X217" s="3">
        <v>15.439265000000001</v>
      </c>
      <c r="Y217" s="3">
        <v>25.35950637405886</v>
      </c>
      <c r="Z217" s="3">
        <v>8.1697247656740686</v>
      </c>
      <c r="AA217" s="3">
        <v>7.3583520679556802</v>
      </c>
      <c r="AB217" t="s">
        <v>41</v>
      </c>
      <c r="AC217" t="s">
        <v>1142</v>
      </c>
      <c r="AD217">
        <v>0</v>
      </c>
      <c r="AE217">
        <v>0</v>
      </c>
      <c r="AF217" s="3">
        <v>7.7752600000000003</v>
      </c>
      <c r="AG217" s="3">
        <v>2.5048490000000001</v>
      </c>
      <c r="AH217" s="3">
        <v>2.256081</v>
      </c>
      <c r="AI217" s="2" t="s">
        <v>1143</v>
      </c>
      <c r="AJ217" s="2"/>
    </row>
    <row r="218" spans="1:36" x14ac:dyDescent="0.45">
      <c r="A218" t="s">
        <v>1144</v>
      </c>
      <c r="B218" t="str">
        <f t="shared" si="6"/>
        <v>Unknown</v>
      </c>
      <c r="C218">
        <f t="shared" si="7"/>
        <v>0</v>
      </c>
      <c r="D218" s="2"/>
      <c r="E218">
        <f>COUNTIFS(Planets!$C:$C,I218,Planets!$E:$E,1)</f>
        <v>0</v>
      </c>
      <c r="F218" s="3">
        <v>27.76993246793668</v>
      </c>
      <c r="H218" s="2"/>
      <c r="I218" t="s">
        <v>1145</v>
      </c>
      <c r="L218">
        <v>0</v>
      </c>
      <c r="M218" s="3">
        <v>8.5143000000000004</v>
      </c>
      <c r="N218" t="s">
        <v>719</v>
      </c>
      <c r="O218" s="3">
        <v>3.107420310388586E-3</v>
      </c>
      <c r="P218" s="3">
        <v>10.77</v>
      </c>
      <c r="Q218" t="s">
        <v>1146</v>
      </c>
      <c r="T218" t="s">
        <v>1144</v>
      </c>
      <c r="W218" s="3">
        <v>286.77325500000001</v>
      </c>
      <c r="X218" s="3">
        <v>20.888048000000001</v>
      </c>
      <c r="Y218" s="3">
        <v>7.4875165166590643</v>
      </c>
      <c r="Z218" s="3">
        <v>-24.841866848548388</v>
      </c>
      <c r="AA218" s="3">
        <v>9.9015140228728828</v>
      </c>
      <c r="AB218" t="s">
        <v>41</v>
      </c>
      <c r="AC218" t="s">
        <v>1145</v>
      </c>
      <c r="AD218">
        <v>0</v>
      </c>
      <c r="AE218">
        <v>0</v>
      </c>
      <c r="AF218" s="3">
        <v>2.2956829999999999</v>
      </c>
      <c r="AG218" s="3">
        <v>-7.6165510000000003</v>
      </c>
      <c r="AH218" s="3">
        <v>3.0358179999999999</v>
      </c>
      <c r="AI218" s="2" t="s">
        <v>1147</v>
      </c>
      <c r="AJ218" s="2"/>
    </row>
    <row r="219" spans="1:36" x14ac:dyDescent="0.45">
      <c r="A219" t="s">
        <v>1148</v>
      </c>
      <c r="B219" t="str">
        <f t="shared" si="6"/>
        <v>Unknown</v>
      </c>
      <c r="C219">
        <f t="shared" si="7"/>
        <v>0</v>
      </c>
      <c r="D219" s="2"/>
      <c r="E219">
        <f>COUNTIFS(Planets!$C:$C,I219,Planets!$E:$E,1)</f>
        <v>0</v>
      </c>
      <c r="F219" s="3">
        <v>27.786240286822508</v>
      </c>
      <c r="H219" s="2"/>
      <c r="I219" t="s">
        <v>1149</v>
      </c>
      <c r="L219">
        <v>0</v>
      </c>
      <c r="M219" s="3">
        <v>8.5192999999999994</v>
      </c>
      <c r="O219" s="3">
        <v>3.9884118690905234E-3</v>
      </c>
      <c r="P219" s="3">
        <v>10.5</v>
      </c>
      <c r="T219" t="s">
        <v>1148</v>
      </c>
      <c r="W219" s="3">
        <v>75.616379999999992</v>
      </c>
      <c r="X219" s="3">
        <v>-21.255243</v>
      </c>
      <c r="Y219" s="3">
        <v>6.4329844546615131</v>
      </c>
      <c r="Z219" s="3">
        <v>25.08432171505169</v>
      </c>
      <c r="AA219" s="3">
        <v>-10.073160339773869</v>
      </c>
      <c r="AB219" t="s">
        <v>60</v>
      </c>
      <c r="AC219" t="s">
        <v>1150</v>
      </c>
      <c r="AD219">
        <v>0</v>
      </c>
      <c r="AE219">
        <v>0</v>
      </c>
      <c r="AF219" s="3">
        <v>1.9723619999999999</v>
      </c>
      <c r="AG219" s="3">
        <v>7.6908880000000002</v>
      </c>
      <c r="AH219" s="3">
        <v>-3.0884450000000001</v>
      </c>
      <c r="AI219" s="2" t="s">
        <v>1151</v>
      </c>
      <c r="AJ219" s="2"/>
    </row>
    <row r="220" spans="1:36" x14ac:dyDescent="0.45">
      <c r="A220" t="s">
        <v>1152</v>
      </c>
      <c r="B220" t="str">
        <f t="shared" si="6"/>
        <v>Unknown</v>
      </c>
      <c r="C220">
        <f t="shared" si="7"/>
        <v>0</v>
      </c>
      <c r="D220" s="2"/>
      <c r="E220">
        <f>COUNTIFS(Planets!$C:$C,I220,Planets!$E:$E,1)</f>
        <v>0</v>
      </c>
      <c r="F220" s="3">
        <v>27.89582882973534</v>
      </c>
      <c r="H220" s="2"/>
      <c r="I220" t="s">
        <v>1153</v>
      </c>
      <c r="L220">
        <v>0</v>
      </c>
      <c r="M220" s="3">
        <v>8.5528999999999993</v>
      </c>
      <c r="O220" s="3">
        <v>4.3691806338528767E-3</v>
      </c>
      <c r="P220" s="3">
        <v>10.41</v>
      </c>
      <c r="Q220" t="s">
        <v>1154</v>
      </c>
      <c r="W220" s="3">
        <v>60.766350000000003</v>
      </c>
      <c r="X220" s="3">
        <v>-15.152604</v>
      </c>
      <c r="Y220" s="3">
        <v>13.149897820816779</v>
      </c>
      <c r="Z220" s="3">
        <v>23.496559852688812</v>
      </c>
      <c r="AA220" s="3">
        <v>-7.2917117968605947</v>
      </c>
      <c r="AB220" t="s">
        <v>41</v>
      </c>
      <c r="AC220" t="s">
        <v>1153</v>
      </c>
      <c r="AD220">
        <v>0</v>
      </c>
      <c r="AE220">
        <v>0</v>
      </c>
      <c r="AF220" s="3">
        <v>4.0317769999999999</v>
      </c>
      <c r="AG220" s="3">
        <v>7.204078</v>
      </c>
      <c r="AH220" s="3">
        <v>-2.235649</v>
      </c>
      <c r="AI220" s="2" t="s">
        <v>1155</v>
      </c>
      <c r="AJ220" s="2"/>
    </row>
    <row r="221" spans="1:36" x14ac:dyDescent="0.45">
      <c r="A221" t="s">
        <v>1156</v>
      </c>
      <c r="B221" t="str">
        <f t="shared" si="6"/>
        <v>Yes</v>
      </c>
      <c r="C221">
        <f t="shared" si="7"/>
        <v>3</v>
      </c>
      <c r="D221" s="2"/>
      <c r="E221">
        <f>COUNTIFS(Planets!$C:$C,I221,Planets!$E:$E,1)</f>
        <v>3</v>
      </c>
      <c r="F221" s="3">
        <v>27.903004270045109</v>
      </c>
      <c r="G221" t="s">
        <v>1157</v>
      </c>
      <c r="H221" s="2"/>
      <c r="I221" t="s">
        <v>1158</v>
      </c>
      <c r="J221" t="s">
        <v>1159</v>
      </c>
      <c r="K221" t="s">
        <v>73</v>
      </c>
      <c r="L221">
        <v>0</v>
      </c>
      <c r="M221" s="3">
        <v>8.5550999999999995</v>
      </c>
      <c r="N221" t="s">
        <v>1160</v>
      </c>
      <c r="O221" s="3">
        <v>0.80984144732578833</v>
      </c>
      <c r="P221" s="3">
        <v>4.74</v>
      </c>
      <c r="Q221" t="s">
        <v>1161</v>
      </c>
      <c r="R221" t="s">
        <v>1162</v>
      </c>
      <c r="S221" t="s">
        <v>1163</v>
      </c>
      <c r="T221" t="s">
        <v>1156</v>
      </c>
      <c r="U221" t="s">
        <v>1164</v>
      </c>
      <c r="W221" s="3">
        <v>199.60144500000001</v>
      </c>
      <c r="X221" s="3">
        <v>-18.311195999999999</v>
      </c>
      <c r="Y221" s="3">
        <v>-24.9547854480777</v>
      </c>
      <c r="Z221" s="3">
        <v>-8.8866425764056878</v>
      </c>
      <c r="AA221" s="3">
        <v>-8.766431120270628</v>
      </c>
      <c r="AB221" t="s">
        <v>41</v>
      </c>
      <c r="AC221" t="s">
        <v>1158</v>
      </c>
      <c r="AD221">
        <v>3</v>
      </c>
      <c r="AE221">
        <v>0</v>
      </c>
      <c r="AF221" s="3">
        <v>-7.6511719999999999</v>
      </c>
      <c r="AG221" s="3">
        <v>-2.7246570000000001</v>
      </c>
      <c r="AH221" s="3">
        <v>-2.6878000000000002</v>
      </c>
      <c r="AI221" s="2" t="s">
        <v>1165</v>
      </c>
      <c r="AJ221" s="2"/>
    </row>
    <row r="222" spans="1:36" x14ac:dyDescent="0.45">
      <c r="A222" t="s">
        <v>1166</v>
      </c>
      <c r="B222" t="str">
        <f t="shared" si="6"/>
        <v>Unknown</v>
      </c>
      <c r="C222">
        <f t="shared" si="7"/>
        <v>0</v>
      </c>
      <c r="D222" s="2"/>
      <c r="E222">
        <f>COUNTIFS(Planets!$C:$C,I222,Planets!$E:$E,1)</f>
        <v>0</v>
      </c>
      <c r="F222" s="3">
        <v>27.9242044345967</v>
      </c>
      <c r="H222" s="2"/>
      <c r="I222" t="s">
        <v>1167</v>
      </c>
      <c r="L222">
        <v>0</v>
      </c>
      <c r="M222" s="3">
        <v>8.5616000000000003</v>
      </c>
      <c r="N222" t="s">
        <v>332</v>
      </c>
      <c r="O222" s="3">
        <v>1.9284127755999999E-6</v>
      </c>
      <c r="P222" s="3">
        <v>18.8</v>
      </c>
      <c r="T222" t="s">
        <v>1166</v>
      </c>
      <c r="W222" s="3">
        <v>133.40014500000001</v>
      </c>
      <c r="X222" s="3">
        <v>-3.4900799999999998</v>
      </c>
      <c r="Y222" s="3">
        <v>-19.150835968172039</v>
      </c>
      <c r="Z222" s="3">
        <v>20.251343033172539</v>
      </c>
      <c r="AA222" s="3">
        <v>-1.699907471277003</v>
      </c>
      <c r="AB222" t="s">
        <v>41</v>
      </c>
      <c r="AC222" t="s">
        <v>1167</v>
      </c>
      <c r="AD222">
        <v>0</v>
      </c>
      <c r="AE222">
        <v>0</v>
      </c>
      <c r="AF222" s="3">
        <v>-5.8716730000000004</v>
      </c>
      <c r="AG222" s="3">
        <v>6.2090899999999998</v>
      </c>
      <c r="AH222" s="3">
        <v>-0.52119400000000005</v>
      </c>
      <c r="AI222" s="2" t="s">
        <v>1168</v>
      </c>
      <c r="AJ222" s="2"/>
    </row>
    <row r="223" spans="1:36" x14ac:dyDescent="0.45">
      <c r="A223" t="s">
        <v>1169</v>
      </c>
      <c r="B223" t="str">
        <f t="shared" si="6"/>
        <v>Unknown</v>
      </c>
      <c r="C223">
        <f t="shared" si="7"/>
        <v>0</v>
      </c>
      <c r="D223" s="2"/>
      <c r="E223">
        <f>COUNTIFS(Planets!$C:$C,I223,Planets!$E:$E,1)</f>
        <v>0</v>
      </c>
      <c r="F223" s="3">
        <v>27.974758673142791</v>
      </c>
      <c r="H223" s="2"/>
      <c r="I223" t="s">
        <v>1150</v>
      </c>
      <c r="L223">
        <v>0</v>
      </c>
      <c r="M223" s="3">
        <v>8.5770999999999997</v>
      </c>
      <c r="N223" t="s">
        <v>257</v>
      </c>
      <c r="O223" s="3">
        <v>3.0394849687701089E-2</v>
      </c>
      <c r="P223" s="3">
        <v>8.31</v>
      </c>
      <c r="Q223" t="s">
        <v>1170</v>
      </c>
      <c r="R223" t="s">
        <v>1171</v>
      </c>
      <c r="T223" t="s">
        <v>1169</v>
      </c>
      <c r="W223" s="3">
        <v>75.618449999999996</v>
      </c>
      <c r="X223" s="3">
        <v>-21.256644999999999</v>
      </c>
      <c r="Y223" s="3">
        <v>6.4754858922417817</v>
      </c>
      <c r="Z223" s="3">
        <v>25.254066540270589</v>
      </c>
      <c r="AA223" s="3">
        <v>-10.14195650452567</v>
      </c>
      <c r="AB223" t="s">
        <v>41</v>
      </c>
      <c r="AC223" t="s">
        <v>1150</v>
      </c>
      <c r="AD223">
        <v>0</v>
      </c>
      <c r="AE223">
        <v>0</v>
      </c>
      <c r="AF223" s="3">
        <v>1.985393</v>
      </c>
      <c r="AG223" s="3">
        <v>7.7429319999999997</v>
      </c>
      <c r="AH223" s="3">
        <v>-3.1095380000000001</v>
      </c>
      <c r="AI223" s="2" t="s">
        <v>1151</v>
      </c>
      <c r="AJ223" s="2"/>
    </row>
    <row r="224" spans="1:36" x14ac:dyDescent="0.45">
      <c r="A224" t="s">
        <v>1172</v>
      </c>
      <c r="B224" t="str">
        <f t="shared" si="6"/>
        <v>Unknown</v>
      </c>
      <c r="C224">
        <f t="shared" si="7"/>
        <v>0</v>
      </c>
      <c r="D224" s="2"/>
      <c r="E224">
        <f>COUNTIFS(Planets!$C:$C,I224,Planets!$E:$E,1)</f>
        <v>0</v>
      </c>
      <c r="F224" s="3">
        <v>28.001177339737851</v>
      </c>
      <c r="H224" s="2"/>
      <c r="I224" t="s">
        <v>1173</v>
      </c>
      <c r="L224">
        <v>0</v>
      </c>
      <c r="M224" s="3">
        <v>8.5852000000000004</v>
      </c>
      <c r="N224" t="s">
        <v>205</v>
      </c>
      <c r="O224" s="3">
        <v>8.00940030533287E-3</v>
      </c>
      <c r="P224" s="3">
        <v>9.76</v>
      </c>
      <c r="Q224" t="s">
        <v>1174</v>
      </c>
      <c r="T224" t="s">
        <v>1172</v>
      </c>
      <c r="W224" s="3">
        <v>177.78072</v>
      </c>
      <c r="X224" s="3">
        <v>35.272016999999998</v>
      </c>
      <c r="Y224" s="3">
        <v>-22.84357521511723</v>
      </c>
      <c r="Z224" s="3">
        <v>0.8853188716743281</v>
      </c>
      <c r="AA224" s="3">
        <v>16.169538366376599</v>
      </c>
      <c r="AB224" t="s">
        <v>41</v>
      </c>
      <c r="AC224" t="s">
        <v>1173</v>
      </c>
      <c r="AD224">
        <v>0</v>
      </c>
      <c r="AE224">
        <v>0</v>
      </c>
      <c r="AF224" s="3">
        <v>-7.0038720000000003</v>
      </c>
      <c r="AG224" s="3">
        <v>0.27144000000000001</v>
      </c>
      <c r="AH224" s="3">
        <v>4.9576029999999998</v>
      </c>
      <c r="AI224" s="2" t="s">
        <v>1175</v>
      </c>
      <c r="AJ224" s="2"/>
    </row>
    <row r="225" spans="1:36" x14ac:dyDescent="0.45">
      <c r="A225" t="s">
        <v>1176</v>
      </c>
      <c r="B225" t="str">
        <f t="shared" si="6"/>
        <v>Unknown</v>
      </c>
      <c r="C225">
        <f t="shared" si="7"/>
        <v>0</v>
      </c>
      <c r="D225" s="2"/>
      <c r="E225">
        <f>COUNTIFS(Planets!$C:$C,I225,Planets!$E:$E,1)</f>
        <v>0</v>
      </c>
      <c r="F225" s="3">
        <v>28.005743529025889</v>
      </c>
      <c r="H225" s="2"/>
      <c r="I225" t="s">
        <v>1177</v>
      </c>
      <c r="L225">
        <v>0</v>
      </c>
      <c r="M225" s="3">
        <v>8.5866000000000007</v>
      </c>
      <c r="N225" t="s">
        <v>1178</v>
      </c>
      <c r="O225" s="3">
        <v>1.304968414130222</v>
      </c>
      <c r="P225" s="3">
        <v>4.2300000000000004</v>
      </c>
      <c r="Q225" t="s">
        <v>1179</v>
      </c>
      <c r="R225" t="s">
        <v>1180</v>
      </c>
      <c r="S225" t="s">
        <v>1181</v>
      </c>
      <c r="T225" t="s">
        <v>1176</v>
      </c>
      <c r="U225" t="s">
        <v>1182</v>
      </c>
      <c r="W225" s="3">
        <v>5.01213</v>
      </c>
      <c r="X225" s="3">
        <v>-64.874791000000002</v>
      </c>
      <c r="Y225" s="3">
        <v>11.84571914418728</v>
      </c>
      <c r="Z225" s="3">
        <v>1.040063765082037</v>
      </c>
      <c r="AA225" s="3">
        <v>-25.356137178677042</v>
      </c>
      <c r="AB225" t="s">
        <v>41</v>
      </c>
      <c r="AC225" t="s">
        <v>1177</v>
      </c>
      <c r="AD225">
        <v>0</v>
      </c>
      <c r="AE225">
        <v>0</v>
      </c>
      <c r="AF225" s="3">
        <v>3.6319140000000001</v>
      </c>
      <c r="AG225" s="3">
        <v>0.31888499999999997</v>
      </c>
      <c r="AH225" s="3">
        <v>-7.7742269999999998</v>
      </c>
      <c r="AI225" s="2" t="s">
        <v>1183</v>
      </c>
      <c r="AJ225" s="2"/>
    </row>
    <row r="226" spans="1:36" x14ac:dyDescent="0.45">
      <c r="A226" t="s">
        <v>1184</v>
      </c>
      <c r="B226" t="str">
        <f t="shared" si="6"/>
        <v>Unknown</v>
      </c>
      <c r="C226">
        <f t="shared" si="7"/>
        <v>0</v>
      </c>
      <c r="D226" s="2"/>
      <c r="E226">
        <f>COUNTIFS(Planets!$C:$C,I226,Planets!$E:$E,1)</f>
        <v>0</v>
      </c>
      <c r="F226" s="3">
        <v>28.100002722186019</v>
      </c>
      <c r="H226" s="2"/>
      <c r="I226" t="s">
        <v>1185</v>
      </c>
      <c r="L226">
        <v>0</v>
      </c>
      <c r="M226" s="3">
        <v>8.6155000000000008</v>
      </c>
      <c r="N226" t="s">
        <v>1060</v>
      </c>
      <c r="O226" s="3">
        <v>4.389347855347169E-3</v>
      </c>
      <c r="P226" s="3">
        <v>10.42</v>
      </c>
      <c r="Q226" t="s">
        <v>1186</v>
      </c>
      <c r="T226" t="s">
        <v>1184</v>
      </c>
      <c r="W226" s="3">
        <v>343.94707499999998</v>
      </c>
      <c r="X226" s="3">
        <v>-75.458670999999995</v>
      </c>
      <c r="Y226" s="3">
        <v>6.7793331737226996</v>
      </c>
      <c r="Z226" s="3">
        <v>-1.951677363927889</v>
      </c>
      <c r="AA226" s="3">
        <v>-27.197439962821811</v>
      </c>
      <c r="AB226" t="s">
        <v>41</v>
      </c>
      <c r="AC226" t="s">
        <v>1185</v>
      </c>
      <c r="AD226">
        <v>0</v>
      </c>
      <c r="AE226">
        <v>0</v>
      </c>
      <c r="AF226" s="3">
        <v>2.0785529999999999</v>
      </c>
      <c r="AG226" s="3">
        <v>-0.598387</v>
      </c>
      <c r="AH226" s="3">
        <v>-8.3387729999999998</v>
      </c>
      <c r="AI226" s="2" t="s">
        <v>1187</v>
      </c>
      <c r="AJ226" s="2"/>
    </row>
    <row r="227" spans="1:36" x14ac:dyDescent="0.45">
      <c r="A227" t="s">
        <v>1188</v>
      </c>
      <c r="B227" t="str">
        <f t="shared" si="6"/>
        <v>Unknown</v>
      </c>
      <c r="C227">
        <f t="shared" si="7"/>
        <v>0</v>
      </c>
      <c r="D227" s="2"/>
      <c r="E227">
        <f>COUNTIFS(Planets!$C:$C,I227,Planets!$E:$E,1)</f>
        <v>0</v>
      </c>
      <c r="F227" s="3">
        <v>28.10228581683004</v>
      </c>
      <c r="H227" s="2"/>
      <c r="I227" t="s">
        <v>1189</v>
      </c>
      <c r="L227">
        <v>0</v>
      </c>
      <c r="M227" s="3">
        <v>8.6161999999999992</v>
      </c>
      <c r="N227" t="s">
        <v>1190</v>
      </c>
      <c r="O227" s="3">
        <v>1.0064680664383251E-3</v>
      </c>
      <c r="P227" s="3">
        <v>12.02</v>
      </c>
      <c r="Q227" t="s">
        <v>1191</v>
      </c>
      <c r="T227" t="s">
        <v>1188</v>
      </c>
      <c r="W227" s="3">
        <v>119.552745</v>
      </c>
      <c r="X227" s="3">
        <v>41.303705999999998</v>
      </c>
      <c r="Y227" s="3">
        <v>-10.412418419183499</v>
      </c>
      <c r="Z227" s="3">
        <v>18.364296817052999</v>
      </c>
      <c r="AA227" s="3">
        <v>18.548708894577821</v>
      </c>
      <c r="AB227" t="s">
        <v>41</v>
      </c>
      <c r="AC227" t="s">
        <v>1189</v>
      </c>
      <c r="AD227">
        <v>0</v>
      </c>
      <c r="AE227">
        <v>0</v>
      </c>
      <c r="AF227" s="3">
        <v>-3.1924619999999999</v>
      </c>
      <c r="AG227" s="3">
        <v>5.6305189999999996</v>
      </c>
      <c r="AH227" s="3">
        <v>5.6870599999999998</v>
      </c>
      <c r="AI227" s="2" t="s">
        <v>1192</v>
      </c>
      <c r="AJ227" s="2"/>
    </row>
    <row r="228" spans="1:36" x14ac:dyDescent="0.45">
      <c r="A228" t="s">
        <v>1193</v>
      </c>
      <c r="B228" t="str">
        <f t="shared" si="6"/>
        <v>Unknown</v>
      </c>
      <c r="C228">
        <f t="shared" si="7"/>
        <v>0</v>
      </c>
      <c r="D228" s="2"/>
      <c r="E228">
        <f>COUNTIFS(Planets!$C:$C,I228,Planets!$E:$E,1)</f>
        <v>0</v>
      </c>
      <c r="F228" s="3">
        <v>28.187412631414109</v>
      </c>
      <c r="H228" s="2"/>
      <c r="I228" t="s">
        <v>1194</v>
      </c>
      <c r="L228">
        <v>0</v>
      </c>
      <c r="M228" s="3">
        <v>8.6423000000000005</v>
      </c>
      <c r="N228" t="s">
        <v>1195</v>
      </c>
      <c r="O228" s="3">
        <v>1.7108029875993289E-3</v>
      </c>
      <c r="P228" s="3">
        <v>11.45</v>
      </c>
      <c r="T228" t="s">
        <v>1193</v>
      </c>
      <c r="W228" s="3">
        <v>339.68862000000001</v>
      </c>
      <c r="X228" s="3">
        <v>-20.620868999999999</v>
      </c>
      <c r="Y228" s="3">
        <v>24.741149759109462</v>
      </c>
      <c r="Z228" s="3">
        <v>-9.1574078164947963</v>
      </c>
      <c r="AA228" s="3">
        <v>-9.9271172985236475</v>
      </c>
      <c r="AB228" t="s">
        <v>60</v>
      </c>
      <c r="AC228" t="s">
        <v>1196</v>
      </c>
      <c r="AD228">
        <v>0</v>
      </c>
      <c r="AE228">
        <v>0</v>
      </c>
      <c r="AF228" s="3">
        <v>7.5856709999999996</v>
      </c>
      <c r="AG228" s="3">
        <v>-2.807674</v>
      </c>
      <c r="AH228" s="3">
        <v>-3.0436679999999998</v>
      </c>
      <c r="AI228" s="2" t="s">
        <v>1197</v>
      </c>
      <c r="AJ228" s="2"/>
    </row>
    <row r="229" spans="1:36" x14ac:dyDescent="0.45">
      <c r="A229" t="s">
        <v>1198</v>
      </c>
      <c r="B229" t="str">
        <f t="shared" si="6"/>
        <v>Unknown</v>
      </c>
      <c r="C229">
        <f t="shared" si="7"/>
        <v>0</v>
      </c>
      <c r="D229" s="2"/>
      <c r="E229">
        <f>COUNTIFS(Planets!$C:$C,I229,Planets!$E:$E,1)</f>
        <v>0</v>
      </c>
      <c r="F229" s="3">
        <v>28.255905470734621</v>
      </c>
      <c r="H229" s="2"/>
      <c r="I229" t="s">
        <v>1199</v>
      </c>
      <c r="L229">
        <v>0</v>
      </c>
      <c r="M229" s="3">
        <v>8.6632999999999996</v>
      </c>
      <c r="N229" t="s">
        <v>1120</v>
      </c>
      <c r="O229" s="3">
        <v>1.1460405911366021</v>
      </c>
      <c r="P229" s="3">
        <v>4.3899999999999997</v>
      </c>
      <c r="Q229" t="s">
        <v>1200</v>
      </c>
      <c r="R229" t="s">
        <v>1201</v>
      </c>
      <c r="S229" t="s">
        <v>1202</v>
      </c>
      <c r="T229" t="s">
        <v>1198</v>
      </c>
      <c r="U229" t="s">
        <v>1203</v>
      </c>
      <c r="W229" s="3">
        <v>88.595790000000008</v>
      </c>
      <c r="X229" s="3">
        <v>20.276174000000001</v>
      </c>
      <c r="Y229" s="3">
        <v>0.64952411840400848</v>
      </c>
      <c r="Z229" s="3">
        <v>26.496650584968279</v>
      </c>
      <c r="AA229" s="3">
        <v>9.7918243714829654</v>
      </c>
      <c r="AB229" t="s">
        <v>41</v>
      </c>
      <c r="AC229" t="s">
        <v>1199</v>
      </c>
      <c r="AD229">
        <v>0</v>
      </c>
      <c r="AE229">
        <v>0</v>
      </c>
      <c r="AF229" s="3">
        <v>0.19914499999999999</v>
      </c>
      <c r="AG229" s="3">
        <v>8.1239100000000004</v>
      </c>
      <c r="AH229" s="3">
        <v>3.0021870000000002</v>
      </c>
      <c r="AI229" s="2" t="s">
        <v>1204</v>
      </c>
      <c r="AJ229" s="2"/>
    </row>
    <row r="230" spans="1:36" x14ac:dyDescent="0.45">
      <c r="A230" t="s">
        <v>1205</v>
      </c>
      <c r="B230" t="str">
        <f t="shared" si="6"/>
        <v>Unknown</v>
      </c>
      <c r="C230">
        <f t="shared" si="7"/>
        <v>0</v>
      </c>
      <c r="D230" s="2"/>
      <c r="E230">
        <f>COUNTIFS(Planets!$C:$C,I230,Planets!$E:$E,1)</f>
        <v>0</v>
      </c>
      <c r="F230" s="3">
        <v>28.314613618723641</v>
      </c>
      <c r="H230" s="2"/>
      <c r="I230" t="s">
        <v>1206</v>
      </c>
      <c r="L230">
        <v>0</v>
      </c>
      <c r="M230" s="3">
        <v>8.6813000000000002</v>
      </c>
      <c r="O230" s="3">
        <v>1.7914306484060249E-3</v>
      </c>
      <c r="P230" s="3">
        <v>11.41</v>
      </c>
      <c r="Q230" t="s">
        <v>1207</v>
      </c>
      <c r="W230" s="3">
        <v>98.447339999999997</v>
      </c>
      <c r="X230" s="3">
        <v>-75.624990999999994</v>
      </c>
      <c r="Y230" s="3">
        <v>-1.0323729976954761</v>
      </c>
      <c r="Z230" s="3">
        <v>6.9533734784361316</v>
      </c>
      <c r="AA230" s="3">
        <v>-27.42812710721708</v>
      </c>
      <c r="AB230" t="s">
        <v>41</v>
      </c>
      <c r="AC230" t="s">
        <v>1206</v>
      </c>
      <c r="AD230">
        <v>0</v>
      </c>
      <c r="AE230">
        <v>0</v>
      </c>
      <c r="AF230" s="3">
        <v>-0.316527</v>
      </c>
      <c r="AG230" s="3">
        <v>2.1319140000000001</v>
      </c>
      <c r="AH230" s="3">
        <v>-8.4095019999999998</v>
      </c>
      <c r="AI230" s="2" t="s">
        <v>1208</v>
      </c>
      <c r="AJ230" s="2"/>
    </row>
    <row r="231" spans="1:36" x14ac:dyDescent="0.45">
      <c r="A231" t="s">
        <v>1209</v>
      </c>
      <c r="B231" t="str">
        <f t="shared" si="6"/>
        <v>Unknown</v>
      </c>
      <c r="C231">
        <f t="shared" si="7"/>
        <v>0</v>
      </c>
      <c r="D231" s="2"/>
      <c r="E231">
        <f>COUNTIFS(Planets!$C:$C,I231,Planets!$E:$E,1)</f>
        <v>0</v>
      </c>
      <c r="F231" s="3">
        <v>28.358970886093118</v>
      </c>
      <c r="H231" s="2"/>
      <c r="I231" t="s">
        <v>1196</v>
      </c>
      <c r="L231">
        <v>0</v>
      </c>
      <c r="M231" s="3">
        <v>8.6949000000000005</v>
      </c>
      <c r="N231" t="s">
        <v>1210</v>
      </c>
      <c r="O231" s="3">
        <v>1.5645880180405511E-2</v>
      </c>
      <c r="P231" s="3">
        <v>9.06</v>
      </c>
      <c r="Q231" t="s">
        <v>1211</v>
      </c>
      <c r="R231" t="s">
        <v>1212</v>
      </c>
      <c r="T231" t="s">
        <v>1209</v>
      </c>
      <c r="W231" s="3">
        <v>339.68982</v>
      </c>
      <c r="X231" s="3">
        <v>-20.621134000000001</v>
      </c>
      <c r="Y231" s="3">
        <v>24.89160569615019</v>
      </c>
      <c r="Z231" s="3">
        <v>-9.2126717531351208</v>
      </c>
      <c r="AA231" s="3">
        <v>-9.9875671215696684</v>
      </c>
      <c r="AB231" t="s">
        <v>41</v>
      </c>
      <c r="AC231" t="s">
        <v>1196</v>
      </c>
      <c r="AD231">
        <v>0</v>
      </c>
      <c r="AE231">
        <v>0</v>
      </c>
      <c r="AF231" s="3">
        <v>7.6318010000000003</v>
      </c>
      <c r="AG231" s="3">
        <v>-2.8246180000000001</v>
      </c>
      <c r="AH231" s="3">
        <v>-3.0622020000000001</v>
      </c>
      <c r="AI231" s="2" t="s">
        <v>1197</v>
      </c>
      <c r="AJ231" s="2"/>
    </row>
    <row r="232" spans="1:36" x14ac:dyDescent="0.45">
      <c r="A232" t="s">
        <v>1213</v>
      </c>
      <c r="B232" t="str">
        <f t="shared" si="6"/>
        <v>Unknown</v>
      </c>
      <c r="C232">
        <f t="shared" si="7"/>
        <v>0</v>
      </c>
      <c r="D232" s="2"/>
      <c r="E232">
        <f>COUNTIFS(Planets!$C:$C,I232,Planets!$E:$E,1)</f>
        <v>0</v>
      </c>
      <c r="F232" s="3">
        <v>28.361580137114849</v>
      </c>
      <c r="H232" s="2"/>
      <c r="I232" t="s">
        <v>1214</v>
      </c>
      <c r="L232">
        <v>0</v>
      </c>
      <c r="M232" s="3">
        <v>8.6957000000000004</v>
      </c>
      <c r="N232" t="s">
        <v>332</v>
      </c>
      <c r="O232" s="3">
        <v>3.791403441833E-4</v>
      </c>
      <c r="P232" s="3">
        <v>13.1</v>
      </c>
      <c r="T232" t="s">
        <v>1213</v>
      </c>
      <c r="W232" s="3">
        <v>214.26487499999999</v>
      </c>
      <c r="X232" s="3">
        <v>31.711594999999999</v>
      </c>
      <c r="Y232" s="3">
        <v>-19.940215941340981</v>
      </c>
      <c r="Z232" s="3">
        <v>-13.58366297223361</v>
      </c>
      <c r="AA232" s="3">
        <v>14.908089436791769</v>
      </c>
      <c r="AB232" t="s">
        <v>41</v>
      </c>
      <c r="AC232" t="s">
        <v>1214</v>
      </c>
      <c r="AD232">
        <v>0</v>
      </c>
      <c r="AE232">
        <v>0</v>
      </c>
      <c r="AF232" s="3">
        <v>-6.1136980000000003</v>
      </c>
      <c r="AG232" s="3">
        <v>-4.1647699999999999</v>
      </c>
      <c r="AH232" s="3">
        <v>4.5708409999999997</v>
      </c>
      <c r="AI232" s="2" t="s">
        <v>1215</v>
      </c>
      <c r="AJ232" s="2"/>
    </row>
    <row r="233" spans="1:36" x14ac:dyDescent="0.45">
      <c r="A233" t="s">
        <v>1216</v>
      </c>
      <c r="B233" t="str">
        <f t="shared" si="6"/>
        <v>Unknown</v>
      </c>
      <c r="C233">
        <f t="shared" si="7"/>
        <v>0</v>
      </c>
      <c r="D233" s="2"/>
      <c r="E233">
        <f>COUNTIFS(Planets!$C:$C,I233,Planets!$E:$E,1)</f>
        <v>0</v>
      </c>
      <c r="F233" s="3">
        <v>28.376257174112109</v>
      </c>
      <c r="H233" s="2"/>
      <c r="I233" t="s">
        <v>1217</v>
      </c>
      <c r="L233">
        <v>0</v>
      </c>
      <c r="M233" s="3">
        <v>8.7002000000000006</v>
      </c>
      <c r="N233" t="s">
        <v>719</v>
      </c>
      <c r="O233" s="3">
        <v>6.0701580634104418E-3</v>
      </c>
      <c r="P233" s="3">
        <v>10.09</v>
      </c>
      <c r="T233" t="s">
        <v>1216</v>
      </c>
      <c r="W233" s="3">
        <v>103.07497499999999</v>
      </c>
      <c r="X233" s="3">
        <v>-5.1884269999999999</v>
      </c>
      <c r="Y233" s="3">
        <v>-6.3928704817661313</v>
      </c>
      <c r="Z233" s="3">
        <v>27.52623168407051</v>
      </c>
      <c r="AA233" s="3">
        <v>-2.5659994244849291</v>
      </c>
      <c r="AB233" t="s">
        <v>60</v>
      </c>
      <c r="AC233" t="s">
        <v>1218</v>
      </c>
      <c r="AD233">
        <v>0</v>
      </c>
      <c r="AE233">
        <v>0</v>
      </c>
      <c r="AF233" s="3">
        <v>-1.9600630000000001</v>
      </c>
      <c r="AG233" s="3">
        <v>8.4395810000000004</v>
      </c>
      <c r="AH233" s="3">
        <v>-0.78673899999999997</v>
      </c>
      <c r="AI233" s="2" t="s">
        <v>1219</v>
      </c>
      <c r="AJ233" s="2"/>
    </row>
    <row r="234" spans="1:36" x14ac:dyDescent="0.45">
      <c r="A234" t="s">
        <v>1220</v>
      </c>
      <c r="B234" t="str">
        <f t="shared" si="6"/>
        <v>Unknown</v>
      </c>
      <c r="C234">
        <f t="shared" si="7"/>
        <v>0</v>
      </c>
      <c r="D234" s="2"/>
      <c r="E234">
        <f>COUNTIFS(Planets!$C:$C,I234,Planets!$E:$E,1)</f>
        <v>0</v>
      </c>
      <c r="F234" s="3">
        <v>28.401045058818578</v>
      </c>
      <c r="H234" s="2"/>
      <c r="I234" t="s">
        <v>1221</v>
      </c>
      <c r="L234">
        <v>0</v>
      </c>
      <c r="M234" s="3">
        <v>8.7078000000000007</v>
      </c>
      <c r="N234" t="s">
        <v>812</v>
      </c>
      <c r="O234" s="3">
        <v>0.2147830474130534</v>
      </c>
      <c r="P234" s="3">
        <v>6.22</v>
      </c>
      <c r="Q234" t="s">
        <v>1222</v>
      </c>
      <c r="R234" t="s">
        <v>1223</v>
      </c>
      <c r="S234" t="s">
        <v>1224</v>
      </c>
      <c r="T234" t="s">
        <v>1220</v>
      </c>
      <c r="W234" s="3">
        <v>75.204165000000003</v>
      </c>
      <c r="X234" s="3">
        <v>-5.7536750000000003</v>
      </c>
      <c r="Y234" s="3">
        <v>7.2165523211795488</v>
      </c>
      <c r="Z234" s="3">
        <v>27.321607695818571</v>
      </c>
      <c r="AA234" s="3">
        <v>-2.847325608084506</v>
      </c>
      <c r="AB234" t="s">
        <v>41</v>
      </c>
      <c r="AC234" t="s">
        <v>1221</v>
      </c>
      <c r="AD234">
        <v>0</v>
      </c>
      <c r="AE234">
        <v>0</v>
      </c>
      <c r="AF234" s="3">
        <v>2.2126049999999999</v>
      </c>
      <c r="AG234" s="3">
        <v>8.3768429999999992</v>
      </c>
      <c r="AH234" s="3">
        <v>-0.87299400000000005</v>
      </c>
      <c r="AI234" s="2" t="s">
        <v>1225</v>
      </c>
      <c r="AJ234" s="2"/>
    </row>
    <row r="235" spans="1:36" x14ac:dyDescent="0.45">
      <c r="A235" t="s">
        <v>1226</v>
      </c>
      <c r="B235" t="str">
        <f t="shared" si="6"/>
        <v>Unknown</v>
      </c>
      <c r="C235">
        <f t="shared" si="7"/>
        <v>0</v>
      </c>
      <c r="D235" s="2"/>
      <c r="E235">
        <f>COUNTIFS(Planets!$C:$C,I235,Planets!$E:$E,1)</f>
        <v>0</v>
      </c>
      <c r="F235" s="3">
        <v>28.408220499128351</v>
      </c>
      <c r="H235" s="2"/>
      <c r="I235" t="s">
        <v>1218</v>
      </c>
      <c r="L235">
        <v>0</v>
      </c>
      <c r="M235" s="3">
        <v>8.7100000000000009</v>
      </c>
      <c r="N235" t="s">
        <v>812</v>
      </c>
      <c r="O235" s="3">
        <v>0.1541700452949559</v>
      </c>
      <c r="P235" s="3">
        <v>6.58</v>
      </c>
      <c r="Q235" t="s">
        <v>1227</v>
      </c>
      <c r="R235" t="s">
        <v>1228</v>
      </c>
      <c r="T235" t="s">
        <v>1226</v>
      </c>
      <c r="W235" s="3">
        <v>103.075215</v>
      </c>
      <c r="X235" s="3">
        <v>-5.1737130000000002</v>
      </c>
      <c r="Y235" s="3">
        <v>-6.4005416797700283</v>
      </c>
      <c r="Z235" s="3">
        <v>27.55869728990843</v>
      </c>
      <c r="AA235" s="3">
        <v>-2.5617039449904002</v>
      </c>
      <c r="AB235" t="s">
        <v>41</v>
      </c>
      <c r="AC235" t="s">
        <v>1218</v>
      </c>
      <c r="AD235">
        <v>0</v>
      </c>
      <c r="AE235">
        <v>0</v>
      </c>
      <c r="AF235" s="3">
        <v>-1.962415</v>
      </c>
      <c r="AG235" s="3">
        <v>8.4495349999999991</v>
      </c>
      <c r="AH235" s="3">
        <v>-0.78542199999999995</v>
      </c>
      <c r="AI235" s="2" t="s">
        <v>1219</v>
      </c>
      <c r="AJ235" s="2"/>
    </row>
    <row r="236" spans="1:36" x14ac:dyDescent="0.45">
      <c r="A236" t="s">
        <v>1229</v>
      </c>
      <c r="B236" t="str">
        <f t="shared" si="6"/>
        <v>Unknown</v>
      </c>
      <c r="C236">
        <f t="shared" si="7"/>
        <v>0</v>
      </c>
      <c r="D236" s="2"/>
      <c r="E236">
        <f>COUNTIFS(Planets!$C:$C,I236,Planets!$E:$E,1)</f>
        <v>0</v>
      </c>
      <c r="F236" s="3">
        <v>28.547489272413401</v>
      </c>
      <c r="H236" s="2"/>
      <c r="I236" t="s">
        <v>1230</v>
      </c>
      <c r="L236">
        <v>0</v>
      </c>
      <c r="M236" s="3">
        <v>8.7527000000000008</v>
      </c>
      <c r="N236" t="s">
        <v>719</v>
      </c>
      <c r="O236" s="3">
        <v>3.3143624500925899E-3</v>
      </c>
      <c r="P236" s="3">
        <v>10.76</v>
      </c>
      <c r="Q236" t="s">
        <v>1231</v>
      </c>
      <c r="R236" t="s">
        <v>1232</v>
      </c>
      <c r="T236" t="s">
        <v>1229</v>
      </c>
      <c r="W236" s="3">
        <v>286.80509999999998</v>
      </c>
      <c r="X236" s="3">
        <v>20.877015</v>
      </c>
      <c r="Y236" s="3">
        <v>7.7119088429644078</v>
      </c>
      <c r="Z236" s="3">
        <v>-25.535001336216901</v>
      </c>
      <c r="AA236" s="3">
        <v>10.173603457855521</v>
      </c>
      <c r="AB236" t="s">
        <v>60</v>
      </c>
      <c r="AC236" t="s">
        <v>1145</v>
      </c>
      <c r="AD236">
        <v>0</v>
      </c>
      <c r="AE236">
        <v>0</v>
      </c>
      <c r="AF236" s="3">
        <v>2.3644820000000002</v>
      </c>
      <c r="AG236" s="3">
        <v>-7.8290670000000002</v>
      </c>
      <c r="AH236" s="3">
        <v>3.1192410000000002</v>
      </c>
      <c r="AI236" s="2" t="s">
        <v>1147</v>
      </c>
      <c r="AJ236" s="2"/>
    </row>
    <row r="237" spans="1:36" x14ac:dyDescent="0.45">
      <c r="A237" t="s">
        <v>1233</v>
      </c>
      <c r="B237" t="str">
        <f t="shared" si="6"/>
        <v>Unknown</v>
      </c>
      <c r="C237">
        <f t="shared" si="7"/>
        <v>0</v>
      </c>
      <c r="D237" s="2"/>
      <c r="E237">
        <f>COUNTIFS(Planets!$C:$C,I237,Planets!$E:$E,1)</f>
        <v>0</v>
      </c>
      <c r="F237" s="3">
        <v>28.560209371144349</v>
      </c>
      <c r="H237" s="2"/>
      <c r="I237" t="s">
        <v>1234</v>
      </c>
      <c r="L237">
        <v>0</v>
      </c>
      <c r="M237" s="3">
        <v>8.7566000000000006</v>
      </c>
      <c r="N237" t="s">
        <v>119</v>
      </c>
      <c r="O237" s="3">
        <v>4.0253161897419999E-4</v>
      </c>
      <c r="P237" s="3">
        <v>13.05</v>
      </c>
      <c r="T237" t="s">
        <v>1233</v>
      </c>
      <c r="W237" s="3">
        <v>307.44964499999998</v>
      </c>
      <c r="X237" s="3">
        <v>9.6885709999999996</v>
      </c>
      <c r="Y237" s="3">
        <v>17.117286830309691</v>
      </c>
      <c r="Z237" s="3">
        <v>-22.34822195489614</v>
      </c>
      <c r="AA237" s="3">
        <v>4.806054472898631</v>
      </c>
      <c r="AB237" t="s">
        <v>41</v>
      </c>
      <c r="AC237" t="s">
        <v>1234</v>
      </c>
      <c r="AD237">
        <v>0</v>
      </c>
      <c r="AE237">
        <v>0</v>
      </c>
      <c r="AF237" s="3">
        <v>5.2481840000000002</v>
      </c>
      <c r="AG237" s="3">
        <v>-6.8519959999999998</v>
      </c>
      <c r="AH237" s="3">
        <v>1.473543</v>
      </c>
      <c r="AI237" s="2" t="s">
        <v>1235</v>
      </c>
      <c r="AJ237" s="2"/>
    </row>
    <row r="238" spans="1:36" x14ac:dyDescent="0.45">
      <c r="A238" t="s">
        <v>1236</v>
      </c>
      <c r="B238" t="str">
        <f t="shared" si="6"/>
        <v>Unknown</v>
      </c>
      <c r="C238">
        <f t="shared" si="7"/>
        <v>0</v>
      </c>
      <c r="D238" s="2"/>
      <c r="E238">
        <f>COUNTIFS(Planets!$C:$C,I238,Planets!$E:$E,1)</f>
        <v>0</v>
      </c>
      <c r="F238" s="3">
        <v>28.61011129693501</v>
      </c>
      <c r="H238" s="2"/>
      <c r="I238" t="s">
        <v>1237</v>
      </c>
      <c r="L238">
        <v>0</v>
      </c>
      <c r="M238" s="3">
        <v>8.7719000000000005</v>
      </c>
      <c r="O238" s="3">
        <v>3.1477483141009998E-4</v>
      </c>
      <c r="P238" s="3">
        <v>13.32</v>
      </c>
      <c r="T238" t="s">
        <v>1236</v>
      </c>
      <c r="W238" s="3">
        <v>127.90719</v>
      </c>
      <c r="X238" s="3">
        <v>19.400082999999999</v>
      </c>
      <c r="Y238" s="3">
        <v>-16.579500625347659</v>
      </c>
      <c r="Z238" s="3">
        <v>21.291961264096699</v>
      </c>
      <c r="AA238" s="3">
        <v>9.5032085928414194</v>
      </c>
      <c r="AB238" t="s">
        <v>60</v>
      </c>
      <c r="AC238" t="s">
        <v>1238</v>
      </c>
      <c r="AD238">
        <v>0</v>
      </c>
      <c r="AE238">
        <v>0</v>
      </c>
      <c r="AF238" s="3">
        <v>-5.0832980000000001</v>
      </c>
      <c r="AG238" s="3">
        <v>6.5281450000000003</v>
      </c>
      <c r="AH238" s="3">
        <v>2.913697</v>
      </c>
      <c r="AI238" s="2" t="s">
        <v>1239</v>
      </c>
      <c r="AJ238" s="2"/>
    </row>
    <row r="239" spans="1:36" x14ac:dyDescent="0.45">
      <c r="A239" t="s">
        <v>1240</v>
      </c>
      <c r="B239" t="str">
        <f t="shared" si="6"/>
        <v>Unknown</v>
      </c>
      <c r="C239">
        <f t="shared" si="7"/>
        <v>0</v>
      </c>
      <c r="D239" s="2"/>
      <c r="E239">
        <f>COUNTIFS(Planets!$C:$C,I239,Planets!$E:$E,1)</f>
        <v>0</v>
      </c>
      <c r="F239" s="3">
        <v>28.61011129693501</v>
      </c>
      <c r="H239" s="2"/>
      <c r="I239" t="s">
        <v>1241</v>
      </c>
      <c r="L239">
        <v>0</v>
      </c>
      <c r="M239" s="3">
        <v>8.7719000000000005</v>
      </c>
      <c r="N239" t="s">
        <v>1242</v>
      </c>
      <c r="O239" s="3">
        <v>2.0417379446700001E-4</v>
      </c>
      <c r="P239" s="3">
        <v>13.79</v>
      </c>
      <c r="T239" t="s">
        <v>1240</v>
      </c>
      <c r="W239" s="3">
        <v>172.31846999999999</v>
      </c>
      <c r="X239" s="3">
        <v>18.285492000000001</v>
      </c>
      <c r="Y239" s="3">
        <v>-26.921635606696981</v>
      </c>
      <c r="Z239" s="3">
        <v>3.6313729244777848</v>
      </c>
      <c r="AA239" s="3">
        <v>8.976482350647764</v>
      </c>
      <c r="AB239" t="s">
        <v>41</v>
      </c>
      <c r="AC239" t="s">
        <v>1241</v>
      </c>
      <c r="AD239">
        <v>0</v>
      </c>
      <c r="AE239">
        <v>0</v>
      </c>
      <c r="AF239" s="3">
        <v>-8.2542109999999997</v>
      </c>
      <c r="AG239" s="3">
        <v>1.1133839999999999</v>
      </c>
      <c r="AH239" s="3">
        <v>2.752202</v>
      </c>
      <c r="AI239" s="2" t="s">
        <v>1243</v>
      </c>
      <c r="AJ239" s="2"/>
    </row>
    <row r="240" spans="1:36" x14ac:dyDescent="0.45">
      <c r="A240" t="s">
        <v>1244</v>
      </c>
      <c r="B240" t="str">
        <f t="shared" si="6"/>
        <v>Unknown</v>
      </c>
      <c r="C240">
        <f t="shared" si="7"/>
        <v>0</v>
      </c>
      <c r="D240" s="2"/>
      <c r="E240">
        <f>COUNTIFS(Planets!$C:$C,I240,Planets!$E:$E,1)</f>
        <v>0</v>
      </c>
      <c r="F240" s="3">
        <v>28.65805628445937</v>
      </c>
      <c r="H240" s="2"/>
      <c r="I240" t="s">
        <v>1245</v>
      </c>
      <c r="L240">
        <v>0</v>
      </c>
      <c r="M240" s="3">
        <v>8.7866</v>
      </c>
      <c r="N240" t="s">
        <v>1246</v>
      </c>
      <c r="O240" s="3">
        <v>2.2469841036401549E-2</v>
      </c>
      <c r="P240" s="3">
        <v>8.69</v>
      </c>
      <c r="T240" t="s">
        <v>1244</v>
      </c>
      <c r="W240" s="3">
        <v>259.75572</v>
      </c>
      <c r="X240" s="3">
        <v>-46.636603000000001</v>
      </c>
      <c r="Y240" s="3">
        <v>-3.4978053646752252</v>
      </c>
      <c r="Z240" s="3">
        <v>-19.36682976775117</v>
      </c>
      <c r="AA240" s="3">
        <v>-20.837837431582791</v>
      </c>
      <c r="AB240" t="s">
        <v>60</v>
      </c>
      <c r="AC240" t="s">
        <v>1247</v>
      </c>
      <c r="AD240">
        <v>0</v>
      </c>
      <c r="AE240">
        <v>0</v>
      </c>
      <c r="AF240" s="3">
        <v>-1.0724320000000001</v>
      </c>
      <c r="AG240" s="3">
        <v>-5.9378970000000004</v>
      </c>
      <c r="AH240" s="3">
        <v>-6.3889100000000001</v>
      </c>
      <c r="AI240" s="2" t="s">
        <v>1248</v>
      </c>
      <c r="AJ240" s="2"/>
    </row>
    <row r="241" spans="1:36" x14ac:dyDescent="0.45">
      <c r="A241" t="s">
        <v>1249</v>
      </c>
      <c r="B241" t="str">
        <f t="shared" si="6"/>
        <v>Unknown</v>
      </c>
      <c r="C241">
        <f t="shared" si="7"/>
        <v>0</v>
      </c>
      <c r="D241" s="2"/>
      <c r="E241">
        <f>COUNTIFS(Planets!$C:$C,I241,Planets!$E:$E,1)</f>
        <v>0</v>
      </c>
      <c r="F241" s="3">
        <v>28.660339379103391</v>
      </c>
      <c r="H241" s="2"/>
      <c r="I241" t="s">
        <v>1250</v>
      </c>
      <c r="L241">
        <v>0</v>
      </c>
      <c r="M241" s="3">
        <v>8.7873000000000001</v>
      </c>
      <c r="N241" t="s">
        <v>332</v>
      </c>
      <c r="O241" s="3">
        <v>2.6767018556260003E-4</v>
      </c>
      <c r="P241" s="3">
        <v>13.5</v>
      </c>
      <c r="T241" t="s">
        <v>1249</v>
      </c>
      <c r="W241" s="3">
        <v>117.977625</v>
      </c>
      <c r="X241" s="3">
        <v>-2.777E-3</v>
      </c>
      <c r="Y241" s="3">
        <v>-13.449400699346519</v>
      </c>
      <c r="Z241" s="3">
        <v>25.318492209560979</v>
      </c>
      <c r="AA241" s="3">
        <v>-1.386164605296159E-3</v>
      </c>
      <c r="AB241" t="s">
        <v>41</v>
      </c>
      <c r="AC241" t="s">
        <v>1250</v>
      </c>
      <c r="AD241">
        <v>0</v>
      </c>
      <c r="AE241">
        <v>0</v>
      </c>
      <c r="AF241" s="3">
        <v>-4.1236050000000004</v>
      </c>
      <c r="AG241" s="3">
        <v>7.7626850000000003</v>
      </c>
      <c r="AH241" s="3">
        <v>-4.2499999999999998E-4</v>
      </c>
      <c r="AI241" s="2" t="s">
        <v>1251</v>
      </c>
      <c r="AJ241" s="2"/>
    </row>
    <row r="242" spans="1:36" x14ac:dyDescent="0.45">
      <c r="A242" t="s">
        <v>1252</v>
      </c>
      <c r="B242" t="str">
        <f t="shared" si="6"/>
        <v>Unknown</v>
      </c>
      <c r="C242">
        <f t="shared" si="7"/>
        <v>0</v>
      </c>
      <c r="D242" s="2"/>
      <c r="E242">
        <f>COUNTIFS(Planets!$C:$C,I242,Planets!$E:$E,1)</f>
        <v>0</v>
      </c>
      <c r="F242" s="3">
        <v>28.660339379103391</v>
      </c>
      <c r="H242" s="2"/>
      <c r="I242" t="s">
        <v>1253</v>
      </c>
      <c r="L242">
        <v>0</v>
      </c>
      <c r="M242" s="3">
        <v>8.7873000000000001</v>
      </c>
      <c r="N242" t="s">
        <v>332</v>
      </c>
      <c r="O242" s="3">
        <v>6.7235710723400003E-5</v>
      </c>
      <c r="P242" s="3">
        <v>15</v>
      </c>
      <c r="T242" t="s">
        <v>1252</v>
      </c>
      <c r="W242" s="3">
        <v>117.98181</v>
      </c>
      <c r="X242" s="3">
        <v>-1.1280000000000001E-3</v>
      </c>
      <c r="Y242" s="3">
        <v>-13.447176312850489</v>
      </c>
      <c r="Z242" s="3">
        <v>25.309849065551479</v>
      </c>
      <c r="AA242" s="3">
        <v>-5.6425053344996592E-4</v>
      </c>
      <c r="AB242" t="s">
        <v>60</v>
      </c>
      <c r="AC242" t="s">
        <v>1250</v>
      </c>
      <c r="AD242">
        <v>0</v>
      </c>
      <c r="AE242">
        <v>0</v>
      </c>
      <c r="AF242" s="3">
        <v>-4.1229230000000001</v>
      </c>
      <c r="AG242" s="3">
        <v>7.7600350000000002</v>
      </c>
      <c r="AH242" s="3">
        <v>-1.73E-4</v>
      </c>
      <c r="AI242" s="2" t="s">
        <v>1251</v>
      </c>
      <c r="AJ242" s="2"/>
    </row>
    <row r="243" spans="1:36" x14ac:dyDescent="0.45">
      <c r="A243" t="s">
        <v>1254</v>
      </c>
      <c r="B243" t="str">
        <f t="shared" si="6"/>
        <v>Unknown</v>
      </c>
      <c r="C243">
        <f t="shared" si="7"/>
        <v>0</v>
      </c>
      <c r="D243" s="2"/>
      <c r="E243">
        <f>COUNTIFS(Planets!$C:$C,I243,Planets!$E:$E,1)</f>
        <v>0</v>
      </c>
      <c r="F243" s="3">
        <v>28.708284366627751</v>
      </c>
      <c r="H243" s="2"/>
      <c r="I243" t="s">
        <v>1247</v>
      </c>
      <c r="L243">
        <v>0</v>
      </c>
      <c r="M243" s="3">
        <v>8.8019999999999996</v>
      </c>
      <c r="N243" t="s">
        <v>257</v>
      </c>
      <c r="O243" s="3">
        <v>0.43772363793476549</v>
      </c>
      <c r="P243" s="3">
        <v>5.47</v>
      </c>
      <c r="Q243" t="s">
        <v>1255</v>
      </c>
      <c r="R243" t="s">
        <v>1256</v>
      </c>
      <c r="S243" t="s">
        <v>1257</v>
      </c>
      <c r="T243" t="s">
        <v>1254</v>
      </c>
      <c r="W243" s="3">
        <v>259.76482499999997</v>
      </c>
      <c r="X243" s="3">
        <v>-46.636234999999999</v>
      </c>
      <c r="Y243" s="3">
        <v>-3.5022802301774991</v>
      </c>
      <c r="Z243" s="3">
        <v>-19.398750692438309</v>
      </c>
      <c r="AA243" s="3">
        <v>-20.871672894207119</v>
      </c>
      <c r="AB243" t="s">
        <v>41</v>
      </c>
      <c r="AC243" t="s">
        <v>1247</v>
      </c>
      <c r="AD243">
        <v>0</v>
      </c>
      <c r="AE243">
        <v>0</v>
      </c>
      <c r="AF243" s="3">
        <v>-1.073804</v>
      </c>
      <c r="AG243" s="3">
        <v>-5.9476839999999997</v>
      </c>
      <c r="AH243" s="3">
        <v>-6.3992839999999998</v>
      </c>
      <c r="AI243" s="2" t="s">
        <v>1248</v>
      </c>
      <c r="AJ243" s="2"/>
    </row>
    <row r="244" spans="1:36" x14ac:dyDescent="0.45">
      <c r="A244" t="s">
        <v>1258</v>
      </c>
      <c r="B244" t="str">
        <f t="shared" si="6"/>
        <v>Unknown</v>
      </c>
      <c r="C244">
        <f t="shared" si="7"/>
        <v>0</v>
      </c>
      <c r="D244" s="2"/>
      <c r="E244">
        <f>COUNTIFS(Planets!$C:$C,I244,Planets!$E:$E,1)</f>
        <v>0</v>
      </c>
      <c r="F244" s="3">
        <v>28.73633381511139</v>
      </c>
      <c r="H244" s="2"/>
      <c r="I244" t="s">
        <v>1259</v>
      </c>
      <c r="L244">
        <v>0</v>
      </c>
      <c r="M244" s="3">
        <v>8.8106000000000009</v>
      </c>
      <c r="N244" t="s">
        <v>249</v>
      </c>
      <c r="O244" s="3">
        <v>6.886522963443E-4</v>
      </c>
      <c r="P244" s="3">
        <v>12.48</v>
      </c>
      <c r="Q244" t="s">
        <v>1260</v>
      </c>
      <c r="T244" t="s">
        <v>1258</v>
      </c>
      <c r="W244" s="3">
        <v>82.000635000000003</v>
      </c>
      <c r="X244" s="3">
        <v>9.6439280000000007</v>
      </c>
      <c r="Y244" s="3">
        <v>3.942496754745564</v>
      </c>
      <c r="Z244" s="3">
        <v>28.054562615642521</v>
      </c>
      <c r="AA244" s="3">
        <v>4.8140453041526916</v>
      </c>
      <c r="AB244" t="s">
        <v>41</v>
      </c>
      <c r="AC244" t="s">
        <v>1259</v>
      </c>
      <c r="AD244">
        <v>0</v>
      </c>
      <c r="AE244">
        <v>0</v>
      </c>
      <c r="AF244" s="3">
        <v>1.2087749999999999</v>
      </c>
      <c r="AG244" s="3">
        <v>8.6015680000000003</v>
      </c>
      <c r="AH244" s="3">
        <v>1.4759930000000001</v>
      </c>
      <c r="AI244" s="2" t="s">
        <v>1261</v>
      </c>
      <c r="AJ244" s="2"/>
    </row>
    <row r="245" spans="1:36" x14ac:dyDescent="0.45">
      <c r="A245" t="s">
        <v>1262</v>
      </c>
      <c r="B245" t="str">
        <f t="shared" si="6"/>
        <v>Unknown</v>
      </c>
      <c r="C245">
        <f t="shared" si="7"/>
        <v>0</v>
      </c>
      <c r="D245" s="2"/>
      <c r="E245">
        <f>COUNTIFS(Planets!$C:$C,I245,Planets!$E:$E,1)</f>
        <v>0</v>
      </c>
      <c r="F245" s="3">
        <v>28.868427148086671</v>
      </c>
      <c r="H245" s="2"/>
      <c r="I245" t="s">
        <v>1263</v>
      </c>
      <c r="L245">
        <v>0</v>
      </c>
      <c r="M245" s="3">
        <v>8.8511000000000006</v>
      </c>
      <c r="N245" t="s">
        <v>304</v>
      </c>
      <c r="O245" s="3">
        <v>2.0989398836235222E-3</v>
      </c>
      <c r="P245" s="3">
        <v>11.28</v>
      </c>
      <c r="Q245" t="s">
        <v>1264</v>
      </c>
      <c r="T245" t="s">
        <v>1262</v>
      </c>
      <c r="W245" s="3">
        <v>186.218625</v>
      </c>
      <c r="X245" s="3">
        <v>-18.242287999999999</v>
      </c>
      <c r="Y245" s="3">
        <v>-27.257798462082071</v>
      </c>
      <c r="Z245" s="3">
        <v>-2.970175669315295</v>
      </c>
      <c r="AA245" s="3">
        <v>-9.0373855310588116</v>
      </c>
      <c r="AB245" t="s">
        <v>41</v>
      </c>
      <c r="AC245" t="s">
        <v>1263</v>
      </c>
      <c r="AD245">
        <v>0</v>
      </c>
      <c r="AE245">
        <v>0</v>
      </c>
      <c r="AF245" s="3">
        <v>-8.3572790000000001</v>
      </c>
      <c r="AG245" s="3">
        <v>-0.91066000000000003</v>
      </c>
      <c r="AH245" s="3">
        <v>-2.7708750000000002</v>
      </c>
      <c r="AI245" s="2" t="s">
        <v>1265</v>
      </c>
      <c r="AJ245" s="2"/>
    </row>
    <row r="246" spans="1:36" x14ac:dyDescent="0.45">
      <c r="A246" t="s">
        <v>1266</v>
      </c>
      <c r="B246" t="str">
        <f t="shared" si="6"/>
        <v>Yes</v>
      </c>
      <c r="C246">
        <f t="shared" si="7"/>
        <v>3</v>
      </c>
      <c r="D246" s="2"/>
      <c r="E246">
        <f>COUNTIFS(Planets!$C:$C,I246,Planets!$E:$E,1)</f>
        <v>3</v>
      </c>
      <c r="F246" s="3">
        <v>28.97116640706744</v>
      </c>
      <c r="G246" t="s">
        <v>1267</v>
      </c>
      <c r="H246" s="2"/>
      <c r="I246" t="s">
        <v>1268</v>
      </c>
      <c r="J246" t="s">
        <v>1269</v>
      </c>
      <c r="K246" t="s">
        <v>73</v>
      </c>
      <c r="L246">
        <v>0</v>
      </c>
      <c r="M246" s="3">
        <v>8.8826000000000001</v>
      </c>
      <c r="N246" t="s">
        <v>88</v>
      </c>
      <c r="O246" s="3">
        <v>8.1884179190051167E-3</v>
      </c>
      <c r="P246" s="3">
        <v>9.81</v>
      </c>
      <c r="Q246" t="s">
        <v>1270</v>
      </c>
      <c r="T246" t="s">
        <v>1266</v>
      </c>
      <c r="W246" s="3">
        <v>173.862315</v>
      </c>
      <c r="X246" s="3">
        <v>-32.539971999999999</v>
      </c>
      <c r="Y246" s="3">
        <v>-24.283852425040369</v>
      </c>
      <c r="Z246" s="3">
        <v>2.6113645150615512</v>
      </c>
      <c r="AA246" s="3">
        <v>-15.5836799729029</v>
      </c>
      <c r="AB246" t="s">
        <v>41</v>
      </c>
      <c r="AC246" t="s">
        <v>1268</v>
      </c>
      <c r="AD246">
        <v>3</v>
      </c>
      <c r="AE246">
        <v>0</v>
      </c>
      <c r="AF246" s="3">
        <v>-7.4454630000000002</v>
      </c>
      <c r="AG246" s="3">
        <v>0.80064800000000003</v>
      </c>
      <c r="AH246" s="3">
        <v>-4.7779780000000001</v>
      </c>
      <c r="AI246" s="2" t="s">
        <v>1271</v>
      </c>
      <c r="AJ246" s="2"/>
    </row>
    <row r="247" spans="1:36" x14ac:dyDescent="0.45">
      <c r="A247" t="s">
        <v>1272</v>
      </c>
      <c r="B247" t="str">
        <f t="shared" si="6"/>
        <v>Unknown</v>
      </c>
      <c r="C247">
        <f t="shared" si="7"/>
        <v>0</v>
      </c>
      <c r="D247" s="2"/>
      <c r="E247">
        <f>COUNTIFS(Planets!$C:$C,I247,Planets!$E:$E,1)</f>
        <v>0</v>
      </c>
      <c r="F247" s="3">
        <v>29.035419213477638</v>
      </c>
      <c r="H247" s="2"/>
      <c r="I247" t="s">
        <v>1273</v>
      </c>
      <c r="L247">
        <v>0</v>
      </c>
      <c r="M247" s="3">
        <v>8.9023000000000003</v>
      </c>
      <c r="O247" s="3">
        <v>1.1045871839886279E-3</v>
      </c>
      <c r="P247" s="3">
        <v>11.99</v>
      </c>
      <c r="Q247" t="s">
        <v>1274</v>
      </c>
      <c r="T247" t="s">
        <v>1272</v>
      </c>
      <c r="W247" s="3">
        <v>330.30455999999998</v>
      </c>
      <c r="X247" s="3">
        <v>28.306906000000001</v>
      </c>
      <c r="Y247" s="3">
        <v>22.20618411396428</v>
      </c>
      <c r="Z247" s="3">
        <v>-12.66377804764886</v>
      </c>
      <c r="AA247" s="3">
        <v>13.768430560210151</v>
      </c>
      <c r="AB247" t="s">
        <v>41</v>
      </c>
      <c r="AC247" t="s">
        <v>1273</v>
      </c>
      <c r="AD247">
        <v>0</v>
      </c>
      <c r="AE247">
        <v>0</v>
      </c>
      <c r="AF247" s="3">
        <v>6.8084470000000001</v>
      </c>
      <c r="AG247" s="3">
        <v>-3.8827319999999999</v>
      </c>
      <c r="AH247" s="3">
        <v>4.2214200000000002</v>
      </c>
      <c r="AI247" s="2" t="s">
        <v>1275</v>
      </c>
      <c r="AJ247" s="2"/>
    </row>
    <row r="248" spans="1:36" x14ac:dyDescent="0.45">
      <c r="A248" t="s">
        <v>1276</v>
      </c>
      <c r="B248" t="str">
        <f t="shared" si="6"/>
        <v>Unknown</v>
      </c>
      <c r="C248">
        <f t="shared" si="7"/>
        <v>0</v>
      </c>
      <c r="D248" s="2"/>
      <c r="E248">
        <f>COUNTIFS(Planets!$C:$C,I248,Planets!$E:$E,1)</f>
        <v>0</v>
      </c>
      <c r="F248" s="3">
        <v>29.043246966542839</v>
      </c>
      <c r="H248" s="2"/>
      <c r="I248" t="s">
        <v>1277</v>
      </c>
      <c r="L248">
        <v>0</v>
      </c>
      <c r="M248" s="3">
        <v>8.9047000000000001</v>
      </c>
      <c r="N248" t="s">
        <v>1278</v>
      </c>
      <c r="O248" s="3">
        <v>1.222362449278731E-3</v>
      </c>
      <c r="P248" s="3">
        <v>11.88</v>
      </c>
      <c r="T248" t="s">
        <v>1276</v>
      </c>
      <c r="W248" s="3">
        <v>130.38814500000001</v>
      </c>
      <c r="X248" s="3">
        <v>-32.941623999999997</v>
      </c>
      <c r="Y248" s="3">
        <v>-15.79767769545041</v>
      </c>
      <c r="Z248" s="3">
        <v>18.571817073939059</v>
      </c>
      <c r="AA248" s="3">
        <v>-15.798522440468689</v>
      </c>
      <c r="AB248" t="s">
        <v>41</v>
      </c>
      <c r="AC248" t="s">
        <v>1277</v>
      </c>
      <c r="AD248">
        <v>0</v>
      </c>
      <c r="AE248">
        <v>0</v>
      </c>
      <c r="AF248" s="3">
        <v>-4.8435899999999998</v>
      </c>
      <c r="AG248" s="3">
        <v>5.6941449999999998</v>
      </c>
      <c r="AH248" s="3">
        <v>-4.8438489999999996</v>
      </c>
      <c r="AI248" s="2" t="s">
        <v>1279</v>
      </c>
      <c r="AJ248" s="2"/>
    </row>
    <row r="249" spans="1:36" x14ac:dyDescent="0.45">
      <c r="A249" t="s">
        <v>1280</v>
      </c>
      <c r="B249" t="str">
        <f t="shared" si="6"/>
        <v>Yes</v>
      </c>
      <c r="C249">
        <f t="shared" si="7"/>
        <v>2</v>
      </c>
      <c r="D249" s="2"/>
      <c r="E249">
        <f>COUNTIFS(Planets!$C:$C,I249,Planets!$E:$E,1)</f>
        <v>2</v>
      </c>
      <c r="F249" s="3">
        <v>29.064120974716712</v>
      </c>
      <c r="G249" t="s">
        <v>1281</v>
      </c>
      <c r="H249" s="2"/>
      <c r="I249" t="s">
        <v>1282</v>
      </c>
      <c r="J249" t="s">
        <v>1283</v>
      </c>
      <c r="K249" t="s">
        <v>73</v>
      </c>
      <c r="L249">
        <v>0</v>
      </c>
      <c r="M249" s="3">
        <v>8.9110999999999994</v>
      </c>
      <c r="N249" t="s">
        <v>812</v>
      </c>
      <c r="O249" s="3">
        <v>0.35318316979195669</v>
      </c>
      <c r="P249" s="3">
        <v>5.73</v>
      </c>
      <c r="Q249" t="s">
        <v>1284</v>
      </c>
      <c r="R249" t="s">
        <v>1285</v>
      </c>
      <c r="S249" t="s">
        <v>1286</v>
      </c>
      <c r="T249" t="s">
        <v>1280</v>
      </c>
      <c r="W249" s="3">
        <v>303.82209</v>
      </c>
      <c r="X249" s="3">
        <v>-27.032976999999999</v>
      </c>
      <c r="Y249" s="3">
        <v>14.40942895090064</v>
      </c>
      <c r="Z249" s="3">
        <v>-21.506304712404582</v>
      </c>
      <c r="AA249" s="3">
        <v>-13.20901692584172</v>
      </c>
      <c r="AB249" t="s">
        <v>41</v>
      </c>
      <c r="AC249" t="s">
        <v>1282</v>
      </c>
      <c r="AD249">
        <v>2</v>
      </c>
      <c r="AE249">
        <v>0</v>
      </c>
      <c r="AF249" s="3">
        <v>4.4179510000000004</v>
      </c>
      <c r="AG249" s="3">
        <v>-6.5938629999999998</v>
      </c>
      <c r="AH249" s="3">
        <v>-4.0499029999999996</v>
      </c>
      <c r="AI249" s="2" t="s">
        <v>1287</v>
      </c>
      <c r="AJ249" s="2"/>
    </row>
    <row r="250" spans="1:36" x14ac:dyDescent="0.45">
      <c r="A250" t="s">
        <v>1288</v>
      </c>
      <c r="B250" t="str">
        <f t="shared" si="6"/>
        <v>Unknown</v>
      </c>
      <c r="C250">
        <f t="shared" si="7"/>
        <v>0</v>
      </c>
      <c r="D250" s="2"/>
      <c r="E250">
        <f>COUNTIFS(Planets!$C:$C,I250,Planets!$E:$E,1)</f>
        <v>0</v>
      </c>
      <c r="F250" s="3">
        <v>29.087278077534609</v>
      </c>
      <c r="H250" s="2"/>
      <c r="I250" t="s">
        <v>1289</v>
      </c>
      <c r="L250">
        <v>0</v>
      </c>
      <c r="M250" s="3">
        <v>8.9182000000000006</v>
      </c>
      <c r="N250" t="s">
        <v>1290</v>
      </c>
      <c r="O250" s="3">
        <v>1.3073744701631329E-2</v>
      </c>
      <c r="P250" s="3">
        <v>9.31</v>
      </c>
      <c r="Q250" t="s">
        <v>1291</v>
      </c>
      <c r="T250" t="s">
        <v>1288</v>
      </c>
      <c r="W250" s="3">
        <v>170.03046000000001</v>
      </c>
      <c r="X250" s="3">
        <v>65.846486999999996</v>
      </c>
      <c r="Y250" s="3">
        <v>-11.722627727236979</v>
      </c>
      <c r="Z250" s="3">
        <v>2.0627727493057662</v>
      </c>
      <c r="AA250" s="3">
        <v>26.542358139741509</v>
      </c>
      <c r="AB250" t="s">
        <v>41</v>
      </c>
      <c r="AC250" t="s">
        <v>1289</v>
      </c>
      <c r="AD250">
        <v>0</v>
      </c>
      <c r="AE250">
        <v>0</v>
      </c>
      <c r="AF250" s="3">
        <v>-3.5941740000000002</v>
      </c>
      <c r="AG250" s="3">
        <v>0.63244900000000004</v>
      </c>
      <c r="AH250" s="3">
        <v>8.1379239999999999</v>
      </c>
      <c r="AI250" s="2" t="s">
        <v>1292</v>
      </c>
      <c r="AJ250" s="2"/>
    </row>
    <row r="251" spans="1:36" x14ac:dyDescent="0.45">
      <c r="A251" t="s">
        <v>1293</v>
      </c>
      <c r="B251" t="str">
        <f t="shared" si="6"/>
        <v>Unknown</v>
      </c>
      <c r="C251">
        <f t="shared" si="7"/>
        <v>0</v>
      </c>
      <c r="D251" s="2"/>
      <c r="E251">
        <f>COUNTIFS(Planets!$C:$C,I251,Planets!$E:$E,1)</f>
        <v>0</v>
      </c>
      <c r="F251" s="3">
        <v>29.08988732855634</v>
      </c>
      <c r="H251" s="2"/>
      <c r="I251" t="s">
        <v>1294</v>
      </c>
      <c r="L251">
        <v>0</v>
      </c>
      <c r="M251" s="3">
        <v>8.9190000000000005</v>
      </c>
      <c r="O251" s="3">
        <v>5.3554997084011326E-3</v>
      </c>
      <c r="P251" s="3">
        <v>10.28</v>
      </c>
      <c r="Q251" t="s">
        <v>1295</v>
      </c>
      <c r="W251" s="3">
        <v>287.71796999999998</v>
      </c>
      <c r="X251" s="3">
        <v>-48.078712000000003</v>
      </c>
      <c r="Y251" s="3">
        <v>5.9145523691531947</v>
      </c>
      <c r="Z251" s="3">
        <v>-18.513392681998649</v>
      </c>
      <c r="AA251" s="3">
        <v>-21.644718955980011</v>
      </c>
      <c r="AB251" t="s">
        <v>41</v>
      </c>
      <c r="AC251" t="s">
        <v>1294</v>
      </c>
      <c r="AD251">
        <v>0</v>
      </c>
      <c r="AE251">
        <v>0</v>
      </c>
      <c r="AF251" s="3">
        <v>1.81341</v>
      </c>
      <c r="AG251" s="3">
        <v>-5.6762319999999997</v>
      </c>
      <c r="AH251" s="3">
        <v>-6.6363009999999996</v>
      </c>
      <c r="AI251" s="2" t="s">
        <v>1296</v>
      </c>
      <c r="AJ251" s="2"/>
    </row>
    <row r="252" spans="1:36" x14ac:dyDescent="0.45">
      <c r="A252" t="s">
        <v>1297</v>
      </c>
      <c r="B252" t="str">
        <f t="shared" si="6"/>
        <v>Unknown</v>
      </c>
      <c r="C252">
        <f t="shared" si="7"/>
        <v>0</v>
      </c>
      <c r="D252" s="2"/>
      <c r="E252">
        <f>COUNTIFS(Planets!$C:$C,I252,Planets!$E:$E,1)</f>
        <v>0</v>
      </c>
      <c r="F252" s="3">
        <v>29.115979838773679</v>
      </c>
      <c r="H252" s="2"/>
      <c r="I252" t="s">
        <v>1298</v>
      </c>
      <c r="L252">
        <v>0</v>
      </c>
      <c r="M252" s="3">
        <v>8.9269999999999996</v>
      </c>
      <c r="N252" t="s">
        <v>1299</v>
      </c>
      <c r="O252" s="3">
        <v>2.5444856151466348</v>
      </c>
      <c r="P252" s="3">
        <v>3.59</v>
      </c>
      <c r="Q252" t="s">
        <v>1300</v>
      </c>
      <c r="R252" t="s">
        <v>1301</v>
      </c>
      <c r="S252" t="s">
        <v>1302</v>
      </c>
      <c r="T252" t="s">
        <v>1297</v>
      </c>
      <c r="U252" t="s">
        <v>1303</v>
      </c>
      <c r="W252" s="3">
        <v>86.115854999999996</v>
      </c>
      <c r="X252" s="3">
        <v>-22.448381999999999</v>
      </c>
      <c r="Y252" s="3">
        <v>1.82285211785733</v>
      </c>
      <c r="Z252" s="3">
        <v>26.84761115521038</v>
      </c>
      <c r="AA252" s="3">
        <v>-11.11785552541949</v>
      </c>
      <c r="AB252" t="s">
        <v>41</v>
      </c>
      <c r="AC252" t="s">
        <v>1298</v>
      </c>
      <c r="AD252">
        <v>0</v>
      </c>
      <c r="AE252">
        <v>0</v>
      </c>
      <c r="AF252" s="3">
        <v>0.55888899999999997</v>
      </c>
      <c r="AG252" s="3">
        <v>8.2315149999999999</v>
      </c>
      <c r="AH252" s="3">
        <v>-3.4087499999999999</v>
      </c>
      <c r="AI252" s="2" t="s">
        <v>1304</v>
      </c>
      <c r="AJ252" s="2"/>
    </row>
    <row r="253" spans="1:36" x14ac:dyDescent="0.45">
      <c r="A253" t="s">
        <v>1305</v>
      </c>
      <c r="B253" t="str">
        <f t="shared" si="6"/>
        <v>Unknown</v>
      </c>
      <c r="C253">
        <f t="shared" si="7"/>
        <v>0</v>
      </c>
      <c r="D253" s="2"/>
      <c r="E253">
        <f>COUNTIFS(Planets!$C:$C,I253,Planets!$E:$E,1)</f>
        <v>0</v>
      </c>
      <c r="F253" s="3">
        <v>29.121198340817141</v>
      </c>
      <c r="H253" s="2"/>
      <c r="I253" t="s">
        <v>1306</v>
      </c>
      <c r="L253">
        <v>0</v>
      </c>
      <c r="M253" s="3">
        <v>8.9285999999999994</v>
      </c>
      <c r="N253" t="s">
        <v>332</v>
      </c>
      <c r="O253" s="3">
        <v>3.9591321672799997E-5</v>
      </c>
      <c r="P253" s="3">
        <v>15.61</v>
      </c>
      <c r="T253" t="s">
        <v>1305</v>
      </c>
      <c r="W253" s="3">
        <v>30.560054999999998</v>
      </c>
      <c r="X253" s="3">
        <v>10.337364000000001</v>
      </c>
      <c r="Y253" s="3">
        <v>24.669173569674928</v>
      </c>
      <c r="Z253" s="3">
        <v>14.56602315097</v>
      </c>
      <c r="AA253" s="3">
        <v>5.2256187756296724</v>
      </c>
      <c r="AB253" t="s">
        <v>41</v>
      </c>
      <c r="AC253" t="s">
        <v>1306</v>
      </c>
      <c r="AD253">
        <v>0</v>
      </c>
      <c r="AE253">
        <v>0</v>
      </c>
      <c r="AF253" s="3">
        <v>7.5636029999999996</v>
      </c>
      <c r="AG253" s="3">
        <v>4.4659630000000003</v>
      </c>
      <c r="AH253" s="3">
        <v>1.602182</v>
      </c>
      <c r="AI253" s="2" t="s">
        <v>1307</v>
      </c>
      <c r="AJ253" s="2"/>
    </row>
    <row r="254" spans="1:36" x14ac:dyDescent="0.45">
      <c r="A254" t="s">
        <v>1308</v>
      </c>
      <c r="B254" t="str">
        <f t="shared" si="6"/>
        <v>Unknown</v>
      </c>
      <c r="C254">
        <f t="shared" si="7"/>
        <v>0</v>
      </c>
      <c r="D254" s="2"/>
      <c r="E254">
        <f>COUNTIFS(Planets!$C:$C,I254,Planets!$E:$E,1)</f>
        <v>0</v>
      </c>
      <c r="F254" s="3">
        <v>29.121198340817141</v>
      </c>
      <c r="H254" s="2"/>
      <c r="I254" t="s">
        <v>1309</v>
      </c>
      <c r="L254">
        <v>0</v>
      </c>
      <c r="M254" s="3">
        <v>8.9285999999999994</v>
      </c>
      <c r="N254" t="s">
        <v>1310</v>
      </c>
      <c r="O254" s="3">
        <v>4.3812698202249999E-4</v>
      </c>
      <c r="P254" s="3">
        <v>13</v>
      </c>
      <c r="T254" t="s">
        <v>1308</v>
      </c>
      <c r="W254" s="3">
        <v>115.08522000000001</v>
      </c>
      <c r="X254" s="3">
        <v>-17.413250999999999</v>
      </c>
      <c r="Y254" s="3">
        <v>-11.78164246222105</v>
      </c>
      <c r="Z254" s="3">
        <v>25.167158911864181</v>
      </c>
      <c r="AA254" s="3">
        <v>-8.7154006934130646</v>
      </c>
      <c r="AB254" t="s">
        <v>41</v>
      </c>
      <c r="AC254" t="s">
        <v>1309</v>
      </c>
      <c r="AD254">
        <v>0</v>
      </c>
      <c r="AE254">
        <v>0</v>
      </c>
      <c r="AF254" s="3">
        <v>-3.6122679999999998</v>
      </c>
      <c r="AG254" s="3">
        <v>7.7162860000000002</v>
      </c>
      <c r="AH254" s="3">
        <v>-2.6721539999999999</v>
      </c>
      <c r="AI254" s="2" t="s">
        <v>1311</v>
      </c>
      <c r="AJ254" s="2"/>
    </row>
    <row r="255" spans="1:36" x14ac:dyDescent="0.45">
      <c r="A255" t="s">
        <v>1312</v>
      </c>
      <c r="B255" t="str">
        <f t="shared" si="6"/>
        <v>Unknown</v>
      </c>
      <c r="C255">
        <f t="shared" si="7"/>
        <v>0</v>
      </c>
      <c r="D255" s="2"/>
      <c r="E255">
        <f>COUNTIFS(Planets!$C:$C,I255,Planets!$E:$E,1)</f>
        <v>0</v>
      </c>
      <c r="F255" s="3">
        <v>29.121198340817141</v>
      </c>
      <c r="H255" s="2"/>
      <c r="I255" t="s">
        <v>1313</v>
      </c>
      <c r="L255">
        <v>0</v>
      </c>
      <c r="M255" s="3">
        <v>8.9285999999999994</v>
      </c>
      <c r="N255" t="s">
        <v>332</v>
      </c>
      <c r="O255" s="3">
        <v>1.8775866989199999E-5</v>
      </c>
      <c r="P255" s="3">
        <v>16.420000000000002</v>
      </c>
      <c r="T255" t="s">
        <v>1312</v>
      </c>
      <c r="W255" s="3">
        <v>115.08522000000001</v>
      </c>
      <c r="X255" s="3">
        <v>-17.413250999999999</v>
      </c>
      <c r="Y255" s="3">
        <v>-11.78090208724363</v>
      </c>
      <c r="Z255" s="3">
        <v>25.165573791868479</v>
      </c>
      <c r="AA255" s="3">
        <v>-8.7148527506985012</v>
      </c>
      <c r="AB255" t="s">
        <v>60</v>
      </c>
      <c r="AC255" t="s">
        <v>1309</v>
      </c>
      <c r="AD255">
        <v>0</v>
      </c>
      <c r="AE255">
        <v>0</v>
      </c>
      <c r="AF255" s="3">
        <v>-3.6120410000000001</v>
      </c>
      <c r="AG255" s="3">
        <v>7.7157999999999998</v>
      </c>
      <c r="AH255" s="3">
        <v>-2.671986</v>
      </c>
      <c r="AI255" s="2" t="s">
        <v>1311</v>
      </c>
      <c r="AJ255" s="2"/>
    </row>
    <row r="256" spans="1:36" x14ac:dyDescent="0.45">
      <c r="A256" t="s">
        <v>1314</v>
      </c>
      <c r="B256" t="str">
        <f t="shared" si="6"/>
        <v>Unknown</v>
      </c>
      <c r="C256">
        <f t="shared" si="7"/>
        <v>0</v>
      </c>
      <c r="D256" s="2"/>
      <c r="E256">
        <f>COUNTIFS(Planets!$C:$C,I256,Planets!$E:$E,1)</f>
        <v>0</v>
      </c>
      <c r="F256" s="3">
        <v>29.121198340817141</v>
      </c>
      <c r="H256" s="2"/>
      <c r="I256" t="s">
        <v>1315</v>
      </c>
      <c r="L256">
        <v>0</v>
      </c>
      <c r="M256" s="3">
        <v>8.9285999999999994</v>
      </c>
      <c r="N256" t="s">
        <v>332</v>
      </c>
      <c r="O256" s="3">
        <v>1.041357861528434E-3</v>
      </c>
      <c r="P256" s="3">
        <v>12.06</v>
      </c>
      <c r="T256" t="s">
        <v>1314</v>
      </c>
      <c r="W256" s="3">
        <v>182.52108000000001</v>
      </c>
      <c r="X256" s="3">
        <v>-15.071534</v>
      </c>
      <c r="Y256" s="3">
        <v>-28.092269554470359</v>
      </c>
      <c r="Z256" s="3">
        <v>-1.236882831215206</v>
      </c>
      <c r="AA256" s="3">
        <v>-7.5722323742072124</v>
      </c>
      <c r="AB256" t="s">
        <v>41</v>
      </c>
      <c r="AC256" t="s">
        <v>1315</v>
      </c>
      <c r="AD256">
        <v>0</v>
      </c>
      <c r="AE256">
        <v>0</v>
      </c>
      <c r="AF256" s="3">
        <v>-8.6131290000000007</v>
      </c>
      <c r="AG256" s="3">
        <v>-0.37923000000000001</v>
      </c>
      <c r="AH256" s="3">
        <v>-2.3216570000000001</v>
      </c>
      <c r="AI256" s="2" t="s">
        <v>1316</v>
      </c>
      <c r="AJ256" s="2"/>
    </row>
    <row r="257" spans="1:36" x14ac:dyDescent="0.45">
      <c r="A257" t="s">
        <v>1317</v>
      </c>
      <c r="B257" t="str">
        <f t="shared" si="6"/>
        <v>Unknown</v>
      </c>
      <c r="C257">
        <f t="shared" si="7"/>
        <v>0</v>
      </c>
      <c r="D257" s="2"/>
      <c r="E257">
        <f>COUNTIFS(Planets!$C:$C,I257,Planets!$E:$E,1)</f>
        <v>0</v>
      </c>
      <c r="F257" s="3">
        <v>29.121198340817141</v>
      </c>
      <c r="H257" s="2"/>
      <c r="I257" t="s">
        <v>1318</v>
      </c>
      <c r="L257">
        <v>0</v>
      </c>
      <c r="M257" s="3">
        <v>8.9285999999999994</v>
      </c>
      <c r="N257" t="s">
        <v>1319</v>
      </c>
      <c r="O257" s="3">
        <v>4.3812698202249999E-4</v>
      </c>
      <c r="P257" s="3">
        <v>13</v>
      </c>
      <c r="T257" t="s">
        <v>1317</v>
      </c>
      <c r="W257" s="3">
        <v>209.79327000000001</v>
      </c>
      <c r="X257" s="3">
        <v>-19.835763</v>
      </c>
      <c r="Y257" s="3">
        <v>-23.77276864272201</v>
      </c>
      <c r="Z257" s="3">
        <v>-13.610822013806089</v>
      </c>
      <c r="AA257" s="3">
        <v>-9.8815532525566177</v>
      </c>
      <c r="AB257" t="s">
        <v>41</v>
      </c>
      <c r="AC257" t="s">
        <v>1318</v>
      </c>
      <c r="AD257">
        <v>0</v>
      </c>
      <c r="AE257">
        <v>0</v>
      </c>
      <c r="AF257" s="3">
        <v>-7.2887639999999996</v>
      </c>
      <c r="AG257" s="3">
        <v>-4.1730970000000003</v>
      </c>
      <c r="AH257" s="3">
        <v>-3.0296979999999998</v>
      </c>
      <c r="AI257" s="2" t="s">
        <v>1320</v>
      </c>
      <c r="AJ257" s="2"/>
    </row>
    <row r="258" spans="1:36" x14ac:dyDescent="0.45">
      <c r="A258" t="s">
        <v>1321</v>
      </c>
      <c r="B258" t="str">
        <f t="shared" ref="B258:B321" si="8">IF(C258&gt;0,"Yes",IF(D258="","Unknown","No"))</f>
        <v>Unknown</v>
      </c>
      <c r="C258">
        <f t="shared" si="7"/>
        <v>0</v>
      </c>
      <c r="D258" s="2"/>
      <c r="E258">
        <f>COUNTIFS(Planets!$C:$C,I258,Planets!$E:$E,1)</f>
        <v>0</v>
      </c>
      <c r="F258" s="3">
        <v>29.254270142925581</v>
      </c>
      <c r="H258" s="2"/>
      <c r="I258" t="s">
        <v>1322</v>
      </c>
      <c r="L258">
        <v>0</v>
      </c>
      <c r="M258" s="3">
        <v>8.9694000000000003</v>
      </c>
      <c r="N258" t="s">
        <v>1044</v>
      </c>
      <c r="O258" s="3">
        <v>0.24751413180743129</v>
      </c>
      <c r="P258" s="3">
        <v>6.13</v>
      </c>
      <c r="R258" t="s">
        <v>1323</v>
      </c>
      <c r="S258" t="s">
        <v>1324</v>
      </c>
      <c r="T258" t="s">
        <v>1321</v>
      </c>
      <c r="W258" s="3">
        <v>86.108850000000004</v>
      </c>
      <c r="X258" s="3">
        <v>-22.420197999999999</v>
      </c>
      <c r="Y258" s="3">
        <v>1.835246060210566</v>
      </c>
      <c r="Z258" s="3">
        <v>26.97934571617018</v>
      </c>
      <c r="AA258" s="3">
        <v>-11.15693884416129</v>
      </c>
      <c r="AB258" t="s">
        <v>60</v>
      </c>
      <c r="AC258" t="s">
        <v>1298</v>
      </c>
      <c r="AD258">
        <v>0</v>
      </c>
      <c r="AE258">
        <v>0</v>
      </c>
      <c r="AF258" s="3">
        <v>0.56268899999999999</v>
      </c>
      <c r="AG258" s="3">
        <v>8.2719050000000003</v>
      </c>
      <c r="AH258" s="3">
        <v>-3.4207329999999998</v>
      </c>
      <c r="AI258" s="2" t="s">
        <v>1304</v>
      </c>
      <c r="AJ258" s="2"/>
    </row>
    <row r="259" spans="1:36" x14ac:dyDescent="0.45">
      <c r="A259" t="s">
        <v>1325</v>
      </c>
      <c r="B259" t="str">
        <f t="shared" si="8"/>
        <v>Unknown</v>
      </c>
      <c r="C259">
        <f t="shared" ref="C259:C322" si="9">IF(D259="",E259+0,D259)</f>
        <v>0</v>
      </c>
      <c r="D259" s="2"/>
      <c r="E259">
        <f>COUNTIFS(Planets!$C:$C,I259,Planets!$E:$E,1)</f>
        <v>0</v>
      </c>
      <c r="F259" s="3">
        <v>29.383428068501409</v>
      </c>
      <c r="H259" s="2"/>
      <c r="I259" t="s">
        <v>1326</v>
      </c>
      <c r="L259">
        <v>0</v>
      </c>
      <c r="M259" s="3">
        <v>9.0090000000000003</v>
      </c>
      <c r="N259" t="s">
        <v>332</v>
      </c>
      <c r="O259" s="3">
        <v>1.1199535223850001E-4</v>
      </c>
      <c r="P259" s="3">
        <v>14.5</v>
      </c>
      <c r="T259" t="s">
        <v>1325</v>
      </c>
      <c r="W259" s="3">
        <v>356.38251000000002</v>
      </c>
      <c r="X259" s="3">
        <v>-16.171768</v>
      </c>
      <c r="Y259" s="3">
        <v>28.16451971526217</v>
      </c>
      <c r="Z259" s="3">
        <v>-1.7806996676012179</v>
      </c>
      <c r="AA259" s="3">
        <v>-8.1838114596276537</v>
      </c>
      <c r="AB259" t="s">
        <v>41</v>
      </c>
      <c r="AC259" t="s">
        <v>1326</v>
      </c>
      <c r="AD259">
        <v>0</v>
      </c>
      <c r="AE259">
        <v>0</v>
      </c>
      <c r="AF259" s="3">
        <v>8.6352810000000009</v>
      </c>
      <c r="AG259" s="3">
        <v>-0.54596500000000003</v>
      </c>
      <c r="AH259" s="3">
        <v>-2.5091679999999998</v>
      </c>
      <c r="AI259" s="2" t="s">
        <v>1327</v>
      </c>
      <c r="AJ259" s="2"/>
    </row>
    <row r="260" spans="1:36" x14ac:dyDescent="0.45">
      <c r="A260" t="s">
        <v>1328</v>
      </c>
      <c r="B260" t="str">
        <f t="shared" si="8"/>
        <v>Unknown</v>
      </c>
      <c r="C260">
        <f t="shared" si="9"/>
        <v>0</v>
      </c>
      <c r="D260" s="2"/>
      <c r="E260">
        <f>COUNTIFS(Planets!$C:$C,I260,Planets!$E:$E,1)</f>
        <v>0</v>
      </c>
      <c r="F260" s="3">
        <v>29.409846735096458</v>
      </c>
      <c r="H260" s="2"/>
      <c r="I260" t="s">
        <v>1329</v>
      </c>
      <c r="L260">
        <v>0</v>
      </c>
      <c r="M260" s="3">
        <v>9.0170999999999992</v>
      </c>
      <c r="N260" t="s">
        <v>249</v>
      </c>
      <c r="O260" s="3">
        <v>2.4322040090739999E-4</v>
      </c>
      <c r="P260" s="3">
        <v>13.66</v>
      </c>
      <c r="T260" t="s">
        <v>1328</v>
      </c>
      <c r="W260" s="3">
        <v>15.81981</v>
      </c>
      <c r="X260" s="3">
        <v>62.366819</v>
      </c>
      <c r="Y260" s="3">
        <v>13.12316278253534</v>
      </c>
      <c r="Z260" s="3">
        <v>3.7212159602836401</v>
      </c>
      <c r="AA260" s="3">
        <v>26.05521423554756</v>
      </c>
      <c r="AB260" t="s">
        <v>41</v>
      </c>
      <c r="AC260" t="s">
        <v>1329</v>
      </c>
      <c r="AD260">
        <v>0</v>
      </c>
      <c r="AE260">
        <v>0</v>
      </c>
      <c r="AF260" s="3">
        <v>4.0235799999999999</v>
      </c>
      <c r="AG260" s="3">
        <v>1.14093</v>
      </c>
      <c r="AH260" s="3">
        <v>7.9885650000000004</v>
      </c>
      <c r="AI260" s="2" t="s">
        <v>1330</v>
      </c>
      <c r="AJ260" s="2"/>
    </row>
    <row r="261" spans="1:36" x14ac:dyDescent="0.45">
      <c r="A261" t="s">
        <v>1331</v>
      </c>
      <c r="B261" t="str">
        <f t="shared" si="8"/>
        <v>Unknown</v>
      </c>
      <c r="C261">
        <f t="shared" si="9"/>
        <v>0</v>
      </c>
      <c r="D261" s="2"/>
      <c r="E261">
        <f>COUNTIFS(Planets!$C:$C,I261,Planets!$E:$E,1)</f>
        <v>0</v>
      </c>
      <c r="F261" s="3">
        <v>29.415391393517648</v>
      </c>
      <c r="H261" s="2"/>
      <c r="I261" t="s">
        <v>1332</v>
      </c>
      <c r="L261">
        <v>0</v>
      </c>
      <c r="M261" s="3">
        <v>9.0188000000000006</v>
      </c>
      <c r="O261" s="3">
        <v>5.1333396438028919E-3</v>
      </c>
      <c r="P261" s="3">
        <v>10.35</v>
      </c>
      <c r="Q261" t="s">
        <v>1333</v>
      </c>
      <c r="W261" s="3">
        <v>98.432550000000006</v>
      </c>
      <c r="X261" s="3">
        <v>-75.629990000000006</v>
      </c>
      <c r="Y261" s="3">
        <v>-1.070295199732602</v>
      </c>
      <c r="Z261" s="3">
        <v>7.22151315968462</v>
      </c>
      <c r="AA261" s="3">
        <v>-28.495079204078088</v>
      </c>
      <c r="AB261" t="s">
        <v>41</v>
      </c>
      <c r="AC261" t="s">
        <v>1332</v>
      </c>
      <c r="AD261">
        <v>0</v>
      </c>
      <c r="AE261">
        <v>0</v>
      </c>
      <c r="AF261" s="3">
        <v>-0.328154</v>
      </c>
      <c r="AG261" s="3">
        <v>2.2141259999999998</v>
      </c>
      <c r="AH261" s="3">
        <v>-8.7366309999999991</v>
      </c>
      <c r="AI261" s="2" t="s">
        <v>1334</v>
      </c>
      <c r="AJ261" s="2"/>
    </row>
    <row r="262" spans="1:36" x14ac:dyDescent="0.45">
      <c r="A262" t="s">
        <v>1335</v>
      </c>
      <c r="B262" t="str">
        <f t="shared" si="8"/>
        <v>Yes</v>
      </c>
      <c r="C262">
        <f t="shared" si="9"/>
        <v>3</v>
      </c>
      <c r="D262" s="2"/>
      <c r="E262">
        <f>COUNTIFS(Planets!$C:$C,I262,Planets!$E:$E,1)</f>
        <v>3</v>
      </c>
      <c r="F262" s="3">
        <v>29.431046899648049</v>
      </c>
      <c r="G262" t="s">
        <v>1336</v>
      </c>
      <c r="H262" s="2"/>
      <c r="I262" t="s">
        <v>1337</v>
      </c>
      <c r="J262" t="s">
        <v>1338</v>
      </c>
      <c r="K262" t="s">
        <v>73</v>
      </c>
      <c r="L262">
        <v>0</v>
      </c>
      <c r="M262" s="3">
        <v>9.0236000000000001</v>
      </c>
      <c r="N262" t="s">
        <v>1060</v>
      </c>
      <c r="O262" s="3">
        <v>3.0676089769179379E-3</v>
      </c>
      <c r="P262" s="3">
        <v>10.91</v>
      </c>
      <c r="Q262" t="s">
        <v>1339</v>
      </c>
      <c r="T262" t="s">
        <v>1335</v>
      </c>
      <c r="W262" s="3">
        <v>144.00679500000001</v>
      </c>
      <c r="X262" s="3">
        <v>-21.660796999999999</v>
      </c>
      <c r="Y262" s="3">
        <v>-22.129067700016929</v>
      </c>
      <c r="Z262" s="3">
        <v>16.073684268529419</v>
      </c>
      <c r="AA262" s="3">
        <v>-10.862478343231061</v>
      </c>
      <c r="AB262" t="s">
        <v>41</v>
      </c>
      <c r="AC262" t="s">
        <v>1337</v>
      </c>
      <c r="AD262">
        <v>3</v>
      </c>
      <c r="AE262">
        <v>0</v>
      </c>
      <c r="AF262" s="3">
        <v>-6.7848030000000001</v>
      </c>
      <c r="AG262" s="3">
        <v>4.9282139999999997</v>
      </c>
      <c r="AH262" s="3">
        <v>-3.3304510000000001</v>
      </c>
      <c r="AI262" s="2" t="s">
        <v>1340</v>
      </c>
      <c r="AJ262" s="2"/>
    </row>
    <row r="263" spans="1:36" x14ac:dyDescent="0.45">
      <c r="A263" t="s">
        <v>1341</v>
      </c>
      <c r="B263" t="str">
        <f t="shared" si="8"/>
        <v>Unknown</v>
      </c>
      <c r="C263">
        <f t="shared" si="9"/>
        <v>0</v>
      </c>
      <c r="D263" s="2"/>
      <c r="E263">
        <f>COUNTIFS(Planets!$C:$C,I263,Planets!$E:$E,1)</f>
        <v>0</v>
      </c>
      <c r="F263" s="3">
        <v>29.48714579661533</v>
      </c>
      <c r="H263" s="2"/>
      <c r="I263" t="s">
        <v>1342</v>
      </c>
      <c r="L263">
        <v>0</v>
      </c>
      <c r="M263" s="3">
        <v>9.0408000000000008</v>
      </c>
      <c r="N263" t="s">
        <v>1343</v>
      </c>
      <c r="O263" s="3">
        <v>2.7822746576751221</v>
      </c>
      <c r="P263" s="3">
        <v>3.52</v>
      </c>
      <c r="Q263" t="s">
        <v>1344</v>
      </c>
      <c r="R263" t="s">
        <v>1345</v>
      </c>
      <c r="S263" t="s">
        <v>1346</v>
      </c>
      <c r="T263" t="s">
        <v>1347</v>
      </c>
      <c r="U263" t="s">
        <v>1348</v>
      </c>
      <c r="V263" t="s">
        <v>1341</v>
      </c>
      <c r="W263" s="3">
        <v>55.812089999999998</v>
      </c>
      <c r="X263" s="3">
        <v>-9.7633949999999992</v>
      </c>
      <c r="Y263" s="3">
        <v>16.329025573516311</v>
      </c>
      <c r="Z263" s="3">
        <v>24.038341473277871</v>
      </c>
      <c r="AA263" s="3">
        <v>-5.0004045352524846</v>
      </c>
      <c r="AB263" t="s">
        <v>41</v>
      </c>
      <c r="AC263" t="s">
        <v>1342</v>
      </c>
      <c r="AD263">
        <v>0</v>
      </c>
      <c r="AE263">
        <v>0</v>
      </c>
      <c r="AF263" s="3">
        <v>5.0065020000000002</v>
      </c>
      <c r="AG263" s="3">
        <v>7.3701889999999999</v>
      </c>
      <c r="AH263" s="3">
        <v>-1.533131</v>
      </c>
      <c r="AI263" s="2" t="s">
        <v>1349</v>
      </c>
      <c r="AJ263" s="2"/>
    </row>
    <row r="264" spans="1:36" x14ac:dyDescent="0.45">
      <c r="A264" t="s">
        <v>1350</v>
      </c>
      <c r="B264" t="str">
        <f t="shared" si="8"/>
        <v>Unknown</v>
      </c>
      <c r="C264">
        <f t="shared" si="9"/>
        <v>0</v>
      </c>
      <c r="D264" s="2"/>
      <c r="E264">
        <f>COUNTIFS(Planets!$C:$C,I264,Planets!$E:$E,1)</f>
        <v>0</v>
      </c>
      <c r="F264" s="3">
        <v>29.65315939287315</v>
      </c>
      <c r="H264" s="2"/>
      <c r="I264" t="s">
        <v>1351</v>
      </c>
      <c r="L264">
        <v>0</v>
      </c>
      <c r="M264" s="3">
        <v>9.0916999999999994</v>
      </c>
      <c r="N264" t="s">
        <v>1352</v>
      </c>
      <c r="O264" s="3">
        <v>0.19462561593612401</v>
      </c>
      <c r="P264" s="3">
        <v>6.42</v>
      </c>
      <c r="Q264" t="s">
        <v>1353</v>
      </c>
      <c r="R264" t="s">
        <v>1354</v>
      </c>
      <c r="S264" t="s">
        <v>1355</v>
      </c>
      <c r="T264" t="s">
        <v>1356</v>
      </c>
      <c r="V264" t="s">
        <v>1350</v>
      </c>
      <c r="W264" s="3">
        <v>178.2423</v>
      </c>
      <c r="X264" s="3">
        <v>37.718679000000002</v>
      </c>
      <c r="Y264" s="3">
        <v>-23.443073468307041</v>
      </c>
      <c r="Z264" s="3">
        <v>0.71834963722979572</v>
      </c>
      <c r="AA264" s="3">
        <v>18.139588119061269</v>
      </c>
      <c r="AB264" t="s">
        <v>41</v>
      </c>
      <c r="AC264" t="s">
        <v>1351</v>
      </c>
      <c r="AD264">
        <v>0</v>
      </c>
      <c r="AE264">
        <v>0</v>
      </c>
      <c r="AF264" s="3">
        <v>-7.1876790000000002</v>
      </c>
      <c r="AG264" s="3">
        <v>0.220247</v>
      </c>
      <c r="AH264" s="3">
        <v>5.561623</v>
      </c>
      <c r="AI264" s="2" t="s">
        <v>1357</v>
      </c>
      <c r="AJ264" s="2"/>
    </row>
    <row r="265" spans="1:36" x14ac:dyDescent="0.45">
      <c r="A265" t="s">
        <v>1358</v>
      </c>
      <c r="B265" t="str">
        <f t="shared" si="8"/>
        <v>Yes</v>
      </c>
      <c r="C265">
        <f t="shared" si="9"/>
        <v>2</v>
      </c>
      <c r="D265" s="2"/>
      <c r="E265">
        <f>COUNTIFS(Planets!$C:$C,I265,Planets!$E:$E,1)</f>
        <v>2</v>
      </c>
      <c r="F265" s="3">
        <v>29.666857960737261</v>
      </c>
      <c r="G265" t="s">
        <v>1359</v>
      </c>
      <c r="H265" s="2"/>
      <c r="I265" t="s">
        <v>1360</v>
      </c>
      <c r="J265" t="s">
        <v>1361</v>
      </c>
      <c r="K265" t="s">
        <v>73</v>
      </c>
      <c r="L265">
        <v>0</v>
      </c>
      <c r="M265" s="3">
        <v>9.0959000000000003</v>
      </c>
      <c r="N265" t="s">
        <v>737</v>
      </c>
      <c r="O265" s="3">
        <v>4.9385561961760773E-3</v>
      </c>
      <c r="P265" s="3">
        <v>10.41</v>
      </c>
      <c r="Q265" t="s">
        <v>1362</v>
      </c>
      <c r="T265" t="s">
        <v>1358</v>
      </c>
      <c r="W265" s="3">
        <v>332.41810500000003</v>
      </c>
      <c r="X265" s="3">
        <v>-4.6407290000000003</v>
      </c>
      <c r="Y265" s="3">
        <v>26.208631672497962</v>
      </c>
      <c r="Z265" s="3">
        <v>-13.69099777457641</v>
      </c>
      <c r="AA265" s="3">
        <v>-2.400236968637949</v>
      </c>
      <c r="AB265" t="s">
        <v>41</v>
      </c>
      <c r="AC265" t="s">
        <v>1360</v>
      </c>
      <c r="AD265">
        <v>2</v>
      </c>
      <c r="AE265">
        <v>0</v>
      </c>
      <c r="AF265" s="3">
        <v>8.0356030000000001</v>
      </c>
      <c r="AG265" s="3">
        <v>-4.1976789999999999</v>
      </c>
      <c r="AH265" s="3">
        <v>-0.73591600000000001</v>
      </c>
      <c r="AI265" s="2" t="s">
        <v>1363</v>
      </c>
      <c r="AJ265" s="2"/>
    </row>
    <row r="266" spans="1:36" x14ac:dyDescent="0.45">
      <c r="A266" t="s">
        <v>1364</v>
      </c>
      <c r="B266" t="str">
        <f t="shared" si="8"/>
        <v>Unknown</v>
      </c>
      <c r="C266">
        <f t="shared" si="9"/>
        <v>0</v>
      </c>
      <c r="D266" s="2"/>
      <c r="E266">
        <f>COUNTIFS(Planets!$C:$C,I266,Planets!$E:$E,1)</f>
        <v>0</v>
      </c>
      <c r="F266" s="3">
        <v>29.753289400832191</v>
      </c>
      <c r="H266" s="2"/>
      <c r="I266" t="s">
        <v>1365</v>
      </c>
      <c r="L266">
        <v>0</v>
      </c>
      <c r="M266" s="3">
        <v>9.1224000000000007</v>
      </c>
      <c r="O266" s="3">
        <v>6.7359677622294252E-3</v>
      </c>
      <c r="P266" s="3">
        <v>10.08</v>
      </c>
      <c r="Q266" t="s">
        <v>1366</v>
      </c>
      <c r="T266" t="s">
        <v>1364</v>
      </c>
      <c r="W266" s="3">
        <v>124.03326</v>
      </c>
      <c r="X266" s="3">
        <v>1.302573</v>
      </c>
      <c r="Y266" s="3">
        <v>-16.64784017117065</v>
      </c>
      <c r="Z266" s="3">
        <v>24.650563086762411</v>
      </c>
      <c r="AA266" s="3">
        <v>0.67635700359876494</v>
      </c>
      <c r="AB266" t="s">
        <v>41</v>
      </c>
      <c r="AC266" t="s">
        <v>1365</v>
      </c>
      <c r="AD266">
        <v>0</v>
      </c>
      <c r="AE266">
        <v>0</v>
      </c>
      <c r="AF266" s="3">
        <v>-5.1042509999999996</v>
      </c>
      <c r="AG266" s="3">
        <v>7.5578969999999996</v>
      </c>
      <c r="AH266" s="3">
        <v>0.207372</v>
      </c>
      <c r="AI266" s="2" t="s">
        <v>1367</v>
      </c>
      <c r="AJ266" s="2"/>
    </row>
    <row r="267" spans="1:36" x14ac:dyDescent="0.45">
      <c r="A267" t="s">
        <v>1368</v>
      </c>
      <c r="B267" t="str">
        <f t="shared" si="8"/>
        <v>Unknown</v>
      </c>
      <c r="C267">
        <f t="shared" si="9"/>
        <v>0</v>
      </c>
      <c r="D267" s="2"/>
      <c r="E267">
        <f>COUNTIFS(Planets!$C:$C,I267,Planets!$E:$E,1)</f>
        <v>0</v>
      </c>
      <c r="F267" s="3">
        <v>29.775141878139209</v>
      </c>
      <c r="H267" s="2"/>
      <c r="I267" t="s">
        <v>1369</v>
      </c>
      <c r="L267">
        <v>0</v>
      </c>
      <c r="M267" s="3">
        <v>9.1290999999999993</v>
      </c>
      <c r="N267" t="s">
        <v>1120</v>
      </c>
      <c r="O267" s="3">
        <v>1.4750271017597589</v>
      </c>
      <c r="P267" s="3">
        <v>4.2300000000000004</v>
      </c>
      <c r="Q267" t="s">
        <v>1370</v>
      </c>
      <c r="R267" t="s">
        <v>1371</v>
      </c>
      <c r="S267" t="s">
        <v>1372</v>
      </c>
      <c r="T267" t="s">
        <v>1368</v>
      </c>
      <c r="U267" t="s">
        <v>1373</v>
      </c>
      <c r="W267" s="3">
        <v>197.96856</v>
      </c>
      <c r="X267" s="3">
        <v>27.878183</v>
      </c>
      <c r="Y267" s="3">
        <v>-25.035998386129169</v>
      </c>
      <c r="Z267" s="3">
        <v>-8.1193825287734889</v>
      </c>
      <c r="AA267" s="3">
        <v>13.92272209625283</v>
      </c>
      <c r="AB267" t="s">
        <v>41</v>
      </c>
      <c r="AC267" t="s">
        <v>1369</v>
      </c>
      <c r="AD267">
        <v>0</v>
      </c>
      <c r="AE267">
        <v>0</v>
      </c>
      <c r="AF267" s="3">
        <v>-7.6760719999999996</v>
      </c>
      <c r="AG267" s="3">
        <v>-2.489414</v>
      </c>
      <c r="AH267" s="3">
        <v>4.268726</v>
      </c>
      <c r="AI267" s="2" t="s">
        <v>1374</v>
      </c>
      <c r="AJ267" s="2"/>
    </row>
    <row r="268" spans="1:36" x14ac:dyDescent="0.45">
      <c r="A268" t="s">
        <v>1375</v>
      </c>
      <c r="B268" t="str">
        <f t="shared" si="8"/>
        <v>Unknown</v>
      </c>
      <c r="C268">
        <f t="shared" si="9"/>
        <v>0</v>
      </c>
      <c r="D268" s="2"/>
      <c r="E268">
        <f>COUNTIFS(Planets!$C:$C,I268,Planets!$E:$E,1)</f>
        <v>0</v>
      </c>
      <c r="F268" s="3">
        <v>29.810366766932631</v>
      </c>
      <c r="H268" s="2"/>
      <c r="I268" t="s">
        <v>1376</v>
      </c>
      <c r="L268">
        <v>0</v>
      </c>
      <c r="M268" s="3">
        <v>9.1399000000000008</v>
      </c>
      <c r="N268" t="s">
        <v>1377</v>
      </c>
      <c r="O268" s="3">
        <v>0.84333475776427502</v>
      </c>
      <c r="P268" s="3">
        <v>4.84</v>
      </c>
      <c r="Q268" t="s">
        <v>1378</v>
      </c>
      <c r="R268" t="s">
        <v>1379</v>
      </c>
      <c r="S268" t="s">
        <v>1380</v>
      </c>
      <c r="T268" t="s">
        <v>1375</v>
      </c>
      <c r="U268" t="s">
        <v>1381</v>
      </c>
      <c r="W268" s="3">
        <v>49.840395000000001</v>
      </c>
      <c r="X268" s="3">
        <v>3.3701979999999998</v>
      </c>
      <c r="Y268" s="3">
        <v>19.19237850600182</v>
      </c>
      <c r="Z268" s="3">
        <v>22.743621331602149</v>
      </c>
      <c r="AA268" s="3">
        <v>1.7524969256200511</v>
      </c>
      <c r="AB268" t="s">
        <v>41</v>
      </c>
      <c r="AC268" t="s">
        <v>1376</v>
      </c>
      <c r="AD268">
        <v>0</v>
      </c>
      <c r="AE268">
        <v>0</v>
      </c>
      <c r="AF268" s="3">
        <v>5.8844099999999999</v>
      </c>
      <c r="AG268" s="3">
        <v>6.9732260000000004</v>
      </c>
      <c r="AH268" s="3">
        <v>0.53731799999999996</v>
      </c>
      <c r="AI268" s="2" t="s">
        <v>1382</v>
      </c>
      <c r="AJ268" s="2"/>
    </row>
    <row r="269" spans="1:36" x14ac:dyDescent="0.45">
      <c r="A269" t="s">
        <v>1383</v>
      </c>
      <c r="B269" t="str">
        <f t="shared" si="8"/>
        <v>Unknown</v>
      </c>
      <c r="C269">
        <f t="shared" si="9"/>
        <v>0</v>
      </c>
      <c r="D269" s="2"/>
      <c r="E269">
        <f>COUNTIFS(Planets!$C:$C,I269,Planets!$E:$E,1)</f>
        <v>0</v>
      </c>
      <c r="F269" s="3">
        <v>29.818520676375542</v>
      </c>
      <c r="H269" s="2"/>
      <c r="I269" t="s">
        <v>1384</v>
      </c>
      <c r="L269">
        <v>0</v>
      </c>
      <c r="M269" s="3">
        <v>9.1424000000000003</v>
      </c>
      <c r="N269" t="s">
        <v>737</v>
      </c>
      <c r="O269" s="3">
        <v>6.1094202490557196E-3</v>
      </c>
      <c r="P269" s="3">
        <v>10.19</v>
      </c>
      <c r="Q269" t="s">
        <v>1385</v>
      </c>
      <c r="T269" t="s">
        <v>1383</v>
      </c>
      <c r="W269" s="3">
        <v>31.270035</v>
      </c>
      <c r="X269" s="3">
        <v>-17.614632</v>
      </c>
      <c r="Y269" s="3">
        <v>24.290933280000601</v>
      </c>
      <c r="Z269" s="3">
        <v>14.75181813153635</v>
      </c>
      <c r="AA269" s="3">
        <v>-9.0231748976816935</v>
      </c>
      <c r="AB269" t="s">
        <v>41</v>
      </c>
      <c r="AC269" t="s">
        <v>1384</v>
      </c>
      <c r="AD269">
        <v>0</v>
      </c>
      <c r="AE269">
        <v>0</v>
      </c>
      <c r="AF269" s="3">
        <v>7.4476339999999999</v>
      </c>
      <c r="AG269" s="3">
        <v>4.5229280000000003</v>
      </c>
      <c r="AH269" s="3">
        <v>-2.766518</v>
      </c>
      <c r="AI269" s="2" t="s">
        <v>1386</v>
      </c>
      <c r="AJ269" s="2"/>
    </row>
    <row r="270" spans="1:36" x14ac:dyDescent="0.45">
      <c r="A270" t="s">
        <v>1387</v>
      </c>
      <c r="B270" t="str">
        <f t="shared" si="8"/>
        <v>Unknown</v>
      </c>
      <c r="C270">
        <f t="shared" si="9"/>
        <v>0</v>
      </c>
      <c r="D270" s="2"/>
      <c r="E270">
        <f>COUNTIFS(Planets!$C:$C,I270,Planets!$E:$E,1)</f>
        <v>0</v>
      </c>
      <c r="F270" s="3">
        <v>29.86516103838904</v>
      </c>
      <c r="H270" s="2"/>
      <c r="I270" t="s">
        <v>1388</v>
      </c>
      <c r="L270">
        <v>0</v>
      </c>
      <c r="M270" s="3">
        <v>9.1567000000000007</v>
      </c>
      <c r="O270" s="3">
        <v>1.1577105741152689E-3</v>
      </c>
      <c r="P270" s="3">
        <v>12</v>
      </c>
      <c r="T270" t="s">
        <v>1387</v>
      </c>
      <c r="W270" s="3">
        <v>178.23022499999999</v>
      </c>
      <c r="X270" s="3">
        <v>37.719619000000002</v>
      </c>
      <c r="Y270" s="3">
        <v>-23.612720446612631</v>
      </c>
      <c r="Z270" s="3">
        <v>0.72353226207171473</v>
      </c>
      <c r="AA270" s="3">
        <v>18.271466188827262</v>
      </c>
      <c r="AB270" t="s">
        <v>60</v>
      </c>
      <c r="AC270" t="s">
        <v>1351</v>
      </c>
      <c r="AD270">
        <v>0</v>
      </c>
      <c r="AE270">
        <v>0</v>
      </c>
      <c r="AF270" s="3">
        <v>-7.2396929999999999</v>
      </c>
      <c r="AG270" s="3">
        <v>0.22183600000000001</v>
      </c>
      <c r="AH270" s="3">
        <v>5.6020570000000003</v>
      </c>
      <c r="AI270" s="2" t="s">
        <v>1357</v>
      </c>
      <c r="AJ270" s="2"/>
    </row>
    <row r="271" spans="1:36" x14ac:dyDescent="0.45">
      <c r="A271" t="s">
        <v>1389</v>
      </c>
      <c r="B271" t="str">
        <f t="shared" si="8"/>
        <v>Unknown</v>
      </c>
      <c r="C271">
        <f t="shared" si="9"/>
        <v>0</v>
      </c>
      <c r="D271" s="2"/>
      <c r="E271">
        <f>COUNTIFS(Planets!$C:$C,I271,Planets!$E:$E,1)</f>
        <v>0</v>
      </c>
      <c r="F271" s="3">
        <v>29.895167425138979</v>
      </c>
      <c r="H271" s="2"/>
      <c r="I271" t="s">
        <v>1390</v>
      </c>
      <c r="L271">
        <v>0</v>
      </c>
      <c r="M271" s="3">
        <v>9.1659000000000006</v>
      </c>
      <c r="N271" t="s">
        <v>299</v>
      </c>
      <c r="O271" s="3">
        <v>3.5026762691379998E-4</v>
      </c>
      <c r="P271" s="3">
        <v>13.3</v>
      </c>
      <c r="T271" t="s">
        <v>1389</v>
      </c>
      <c r="W271" s="3">
        <v>105.97938000000001</v>
      </c>
      <c r="X271" s="3">
        <v>52.707092000000003</v>
      </c>
      <c r="Y271" s="3">
        <v>-4.9883758880422908</v>
      </c>
      <c r="Z271" s="3">
        <v>17.4127355850644</v>
      </c>
      <c r="AA271" s="3">
        <v>23.783055614875199</v>
      </c>
      <c r="AB271" t="s">
        <v>41</v>
      </c>
      <c r="AC271" t="s">
        <v>1390</v>
      </c>
      <c r="AD271">
        <v>0</v>
      </c>
      <c r="AE271">
        <v>0</v>
      </c>
      <c r="AF271" s="3">
        <v>-1.5294430000000001</v>
      </c>
      <c r="AG271" s="3">
        <v>5.3387690000000001</v>
      </c>
      <c r="AH271" s="3">
        <v>7.2919179999999999</v>
      </c>
      <c r="AI271" s="2" t="s">
        <v>1391</v>
      </c>
      <c r="AJ271" s="2"/>
    </row>
  </sheetData>
  <conditionalFormatting sqref="B2:C271">
    <cfRule type="expression" dxfId="0" priority="1">
      <formula>$B2="Yes"</formula>
    </cfRule>
  </conditionalFormatting>
  <dataValidations count="1">
    <dataValidation type="whole" operator="greaterThanOrEqual" allowBlank="1" showErrorMessage="1" error="Enter a nonnegative integer, or leave blank to use planet rows." sqref="D2:D1048576" xr:uid="{00000000-0002-0000-0000-000000000000}">
      <formula1>0</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2"/>
  <sheetViews>
    <sheetView workbookViewId="0">
      <pane xSplit="1" ySplit="1" topLeftCell="B2" activePane="bottomRight" state="frozen"/>
      <selection pane="topRight"/>
      <selection pane="bottomLeft"/>
      <selection pane="bottomRight"/>
    </sheetView>
  </sheetViews>
  <sheetFormatPr defaultRowHeight="14.25" x14ac:dyDescent="0.45"/>
  <cols>
    <col min="1" max="4" width="16" customWidth="1"/>
    <col min="5" max="5" width="18" customWidth="1"/>
    <col min="6" max="6" width="65" customWidth="1"/>
    <col min="7" max="7" width="20" customWidth="1"/>
    <col min="8" max="8" width="21" customWidth="1"/>
    <col min="9" max="9" width="16" customWidth="1"/>
    <col min="10" max="10" width="18" customWidth="1"/>
    <col min="11" max="11" width="27" customWidth="1"/>
    <col min="12" max="12" width="16" customWidth="1"/>
    <col min="13" max="13" width="21" customWidth="1"/>
    <col min="14" max="14" width="23" customWidth="1"/>
    <col min="15" max="15" width="20" customWidth="1"/>
    <col min="16" max="16" width="22" customWidth="1"/>
    <col min="17" max="17" width="25" customWidth="1"/>
    <col min="18" max="18" width="17" customWidth="1"/>
    <col min="19" max="19" width="16" customWidth="1"/>
    <col min="20" max="20" width="18" customWidth="1"/>
    <col min="21" max="21" width="16" customWidth="1"/>
    <col min="22" max="22" width="18" customWidth="1"/>
    <col min="23" max="23" width="17" customWidth="1"/>
    <col min="24" max="24" width="29" customWidth="1"/>
    <col min="25" max="25" width="16" customWidth="1"/>
    <col min="26" max="26" width="27" customWidth="1"/>
    <col min="27" max="27" width="21" customWidth="1"/>
    <col min="28" max="28" width="16" customWidth="1"/>
    <col min="29" max="29" width="21" customWidth="1"/>
    <col min="30" max="30" width="19" customWidth="1"/>
    <col min="31" max="33" width="16" customWidth="1"/>
    <col min="34" max="34" width="19" customWidth="1"/>
    <col min="35" max="35" width="18" customWidth="1"/>
    <col min="36" max="36" width="16" customWidth="1"/>
    <col min="37" max="37" width="30" customWidth="1"/>
  </cols>
  <sheetData>
    <row r="1" spans="1:37" ht="34.049999999999997" customHeight="1" x14ac:dyDescent="0.45">
      <c r="A1" s="1" t="s">
        <v>1392</v>
      </c>
      <c r="B1" s="1" t="s">
        <v>1393</v>
      </c>
      <c r="C1" s="1" t="s">
        <v>8</v>
      </c>
      <c r="D1" s="1" t="s">
        <v>1394</v>
      </c>
      <c r="E1" s="1" t="s">
        <v>1395</v>
      </c>
      <c r="F1" s="1" t="s">
        <v>7</v>
      </c>
      <c r="G1" s="1" t="s">
        <v>1396</v>
      </c>
      <c r="H1" s="1" t="s">
        <v>1397</v>
      </c>
      <c r="I1" s="1" t="s">
        <v>1398</v>
      </c>
      <c r="J1" s="1" t="s">
        <v>1399</v>
      </c>
      <c r="K1" s="1" t="s">
        <v>1400</v>
      </c>
      <c r="L1" s="1" t="s">
        <v>1401</v>
      </c>
      <c r="M1" s="1" t="s">
        <v>1402</v>
      </c>
      <c r="N1" s="1" t="s">
        <v>1403</v>
      </c>
      <c r="O1" s="1" t="s">
        <v>1404</v>
      </c>
      <c r="P1" s="1" t="s">
        <v>1405</v>
      </c>
      <c r="Q1" s="1" t="s">
        <v>1406</v>
      </c>
      <c r="R1" s="1" t="s">
        <v>1407</v>
      </c>
      <c r="S1" s="1" t="s">
        <v>1408</v>
      </c>
      <c r="T1" s="1" t="s">
        <v>1409</v>
      </c>
      <c r="U1" s="1" t="s">
        <v>1410</v>
      </c>
      <c r="V1" s="1" t="s">
        <v>1411</v>
      </c>
      <c r="W1" s="1" t="s">
        <v>1412</v>
      </c>
      <c r="X1" s="1" t="s">
        <v>1413</v>
      </c>
      <c r="Y1" s="1" t="s">
        <v>10</v>
      </c>
      <c r="Z1" s="1" t="s">
        <v>1414</v>
      </c>
      <c r="AA1" s="1" t="s">
        <v>1415</v>
      </c>
      <c r="AB1" s="1" t="s">
        <v>1416</v>
      </c>
      <c r="AC1" s="1" t="s">
        <v>1417</v>
      </c>
      <c r="AD1" s="1" t="s">
        <v>1418</v>
      </c>
      <c r="AE1" s="1" t="s">
        <v>1419</v>
      </c>
      <c r="AF1" s="1" t="s">
        <v>1420</v>
      </c>
      <c r="AG1" s="1" t="s">
        <v>1421</v>
      </c>
      <c r="AH1" s="1" t="s">
        <v>1422</v>
      </c>
      <c r="AI1" s="1" t="s">
        <v>1423</v>
      </c>
      <c r="AJ1" s="1" t="s">
        <v>1424</v>
      </c>
      <c r="AK1" s="1" t="s">
        <v>35</v>
      </c>
    </row>
    <row r="2" spans="1:37" x14ac:dyDescent="0.45">
      <c r="A2" t="s">
        <v>1425</v>
      </c>
      <c r="B2" t="s">
        <v>1159</v>
      </c>
      <c r="C2" t="s">
        <v>1158</v>
      </c>
      <c r="D2" t="s">
        <v>1156</v>
      </c>
      <c r="E2" s="2">
        <v>1</v>
      </c>
      <c r="F2" s="2"/>
      <c r="G2" s="3">
        <v>5.0201000000000003E-2</v>
      </c>
      <c r="H2" s="3">
        <v>4.2149999999999999</v>
      </c>
      <c r="I2" s="3">
        <v>0.12</v>
      </c>
      <c r="M2" s="3">
        <v>5.0999999999999996</v>
      </c>
      <c r="N2" s="3">
        <v>5577</v>
      </c>
      <c r="O2" s="3">
        <v>0.94199999999999995</v>
      </c>
      <c r="P2" s="3">
        <v>0.96299999999999997</v>
      </c>
      <c r="Q2" s="3">
        <v>-0.01</v>
      </c>
      <c r="R2" t="s">
        <v>1426</v>
      </c>
      <c r="S2">
        <v>0</v>
      </c>
      <c r="T2" t="s">
        <v>1427</v>
      </c>
      <c r="U2" s="3">
        <v>2009</v>
      </c>
      <c r="V2" s="3">
        <v>27.73412049766338</v>
      </c>
      <c r="W2" s="3">
        <v>27.903004270045109</v>
      </c>
      <c r="X2" s="3">
        <v>0.60525300697828255</v>
      </c>
      <c r="Y2" t="s">
        <v>73</v>
      </c>
      <c r="Z2" s="3">
        <v>23.717507813007298</v>
      </c>
      <c r="AA2" t="s">
        <v>1428</v>
      </c>
      <c r="AB2">
        <v>3</v>
      </c>
      <c r="AC2" s="3">
        <v>3</v>
      </c>
      <c r="AD2" s="3">
        <v>1</v>
      </c>
      <c r="AE2" t="s">
        <v>1429</v>
      </c>
      <c r="AF2" t="s">
        <v>1430</v>
      </c>
      <c r="AG2" t="s">
        <v>1431</v>
      </c>
      <c r="AH2" t="s">
        <v>1430</v>
      </c>
      <c r="AI2" t="s">
        <v>1432</v>
      </c>
      <c r="AJ2" t="s">
        <v>1433</v>
      </c>
      <c r="AK2" s="2"/>
    </row>
    <row r="3" spans="1:37" x14ac:dyDescent="0.45">
      <c r="A3" t="s">
        <v>1434</v>
      </c>
      <c r="B3" t="s">
        <v>1159</v>
      </c>
      <c r="C3" t="s">
        <v>1158</v>
      </c>
      <c r="D3" t="s">
        <v>1156</v>
      </c>
      <c r="E3" s="2">
        <v>1</v>
      </c>
      <c r="F3" s="2"/>
      <c r="G3" s="3">
        <v>0.2175</v>
      </c>
      <c r="H3" s="3">
        <v>38.021000000000001</v>
      </c>
      <c r="I3" s="3">
        <v>0.14000000000000001</v>
      </c>
      <c r="M3" s="3">
        <v>18.2</v>
      </c>
      <c r="N3" s="3">
        <v>5577</v>
      </c>
      <c r="O3" s="3">
        <v>0.94199999999999995</v>
      </c>
      <c r="P3" s="3">
        <v>0.96299999999999997</v>
      </c>
      <c r="Q3" s="3">
        <v>-0.01</v>
      </c>
      <c r="R3" t="s">
        <v>1426</v>
      </c>
      <c r="S3">
        <v>0</v>
      </c>
      <c r="T3" t="s">
        <v>1427</v>
      </c>
      <c r="U3" s="3">
        <v>2009</v>
      </c>
      <c r="V3" s="3">
        <v>27.73412049766338</v>
      </c>
      <c r="W3" s="3">
        <v>27.903004270045109</v>
      </c>
      <c r="X3" s="3">
        <v>0.60525300697828255</v>
      </c>
      <c r="Y3" t="s">
        <v>73</v>
      </c>
      <c r="Z3" s="3">
        <v>23.717507813007298</v>
      </c>
      <c r="AA3" t="s">
        <v>1428</v>
      </c>
      <c r="AB3">
        <v>3</v>
      </c>
      <c r="AC3" s="3">
        <v>3</v>
      </c>
      <c r="AD3" s="3">
        <v>1</v>
      </c>
      <c r="AE3" t="s">
        <v>1429</v>
      </c>
      <c r="AF3" t="s">
        <v>1430</v>
      </c>
      <c r="AG3" t="s">
        <v>1431</v>
      </c>
      <c r="AH3" t="s">
        <v>1430</v>
      </c>
      <c r="AI3" t="s">
        <v>1432</v>
      </c>
      <c r="AJ3" t="s">
        <v>1433</v>
      </c>
      <c r="AK3" s="2"/>
    </row>
    <row r="4" spans="1:37" x14ac:dyDescent="0.45">
      <c r="A4" t="s">
        <v>1435</v>
      </c>
      <c r="B4" t="s">
        <v>1159</v>
      </c>
      <c r="C4" t="s">
        <v>1158</v>
      </c>
      <c r="D4" t="s">
        <v>1156</v>
      </c>
      <c r="E4" s="2">
        <v>1</v>
      </c>
      <c r="F4" s="2"/>
      <c r="G4" s="3">
        <v>0.47599999999999998</v>
      </c>
      <c r="H4" s="3">
        <v>123.01</v>
      </c>
      <c r="I4" s="3">
        <v>0.35</v>
      </c>
      <c r="M4" s="3">
        <v>22.9</v>
      </c>
      <c r="N4" s="3">
        <v>5577</v>
      </c>
      <c r="O4" s="3">
        <v>0.94199999999999995</v>
      </c>
      <c r="P4" s="3">
        <v>0.96299999999999997</v>
      </c>
      <c r="Q4" s="3">
        <v>-0.01</v>
      </c>
      <c r="R4" t="s">
        <v>1426</v>
      </c>
      <c r="S4">
        <v>0</v>
      </c>
      <c r="T4" t="s">
        <v>1427</v>
      </c>
      <c r="U4" s="3">
        <v>2009</v>
      </c>
      <c r="V4" s="3">
        <v>27.73412049766338</v>
      </c>
      <c r="W4" s="3">
        <v>27.903004270045109</v>
      </c>
      <c r="X4" s="3">
        <v>0.60525300697828255</v>
      </c>
      <c r="Y4" t="s">
        <v>73</v>
      </c>
      <c r="Z4" s="3">
        <v>23.717507813007298</v>
      </c>
      <c r="AA4" t="s">
        <v>1428</v>
      </c>
      <c r="AB4">
        <v>2</v>
      </c>
      <c r="AC4" s="3">
        <v>3</v>
      </c>
      <c r="AD4" s="3">
        <v>1</v>
      </c>
      <c r="AE4" t="s">
        <v>1429</v>
      </c>
      <c r="AF4" t="s">
        <v>1430</v>
      </c>
      <c r="AG4" t="s">
        <v>1431</v>
      </c>
      <c r="AH4" t="s">
        <v>1430</v>
      </c>
      <c r="AI4" t="s">
        <v>1432</v>
      </c>
      <c r="AJ4" t="s">
        <v>1433</v>
      </c>
      <c r="AK4" s="2"/>
    </row>
    <row r="5" spans="1:37" x14ac:dyDescent="0.45">
      <c r="A5" t="s">
        <v>1436</v>
      </c>
      <c r="B5" t="s">
        <v>72</v>
      </c>
      <c r="C5" t="s">
        <v>71</v>
      </c>
      <c r="D5" t="s">
        <v>69</v>
      </c>
      <c r="E5" s="2">
        <v>1</v>
      </c>
      <c r="F5" s="2"/>
      <c r="G5" s="3">
        <v>2.29E-2</v>
      </c>
      <c r="H5" s="3">
        <v>3.1541999999999999</v>
      </c>
      <c r="I5" s="3">
        <v>0.03</v>
      </c>
      <c r="K5" s="3">
        <v>438</v>
      </c>
      <c r="M5" s="3">
        <v>0.29899999999999999</v>
      </c>
      <c r="N5" s="3">
        <v>3195</v>
      </c>
      <c r="O5" s="3">
        <v>0.16200000000000001</v>
      </c>
      <c r="P5" s="3">
        <v>0.185</v>
      </c>
      <c r="Q5" s="3">
        <v>-0.56000000000000005</v>
      </c>
      <c r="R5" t="s">
        <v>1426</v>
      </c>
      <c r="S5">
        <v>0</v>
      </c>
      <c r="T5" t="s">
        <v>1427</v>
      </c>
      <c r="U5" s="3">
        <v>2024</v>
      </c>
      <c r="V5" s="3">
        <v>5.9574093171851752</v>
      </c>
      <c r="W5" s="3">
        <v>5.9484400167979654</v>
      </c>
      <c r="X5" s="3">
        <v>0.15078407720143699</v>
      </c>
      <c r="Y5" t="s">
        <v>73</v>
      </c>
      <c r="Z5" s="3">
        <v>161.01488558166091</v>
      </c>
      <c r="AA5" t="s">
        <v>1428</v>
      </c>
      <c r="AB5">
        <v>2</v>
      </c>
      <c r="AC5" s="3">
        <v>4</v>
      </c>
      <c r="AD5" s="3">
        <v>1</v>
      </c>
      <c r="AE5" t="s">
        <v>1429</v>
      </c>
      <c r="AF5" t="s">
        <v>1437</v>
      </c>
      <c r="AG5" t="s">
        <v>1438</v>
      </c>
      <c r="AH5" t="s">
        <v>1439</v>
      </c>
      <c r="AI5" t="s">
        <v>1432</v>
      </c>
      <c r="AJ5" t="s">
        <v>1440</v>
      </c>
      <c r="AK5" s="2"/>
    </row>
    <row r="6" spans="1:37" x14ac:dyDescent="0.45">
      <c r="A6" t="s">
        <v>1441</v>
      </c>
      <c r="B6" t="s">
        <v>72</v>
      </c>
      <c r="C6" t="s">
        <v>71</v>
      </c>
      <c r="D6" t="s">
        <v>69</v>
      </c>
      <c r="E6" s="2">
        <v>1</v>
      </c>
      <c r="F6" s="2"/>
      <c r="G6" s="3">
        <v>2.7400000000000001E-2</v>
      </c>
      <c r="H6" s="3">
        <v>4.1243999999999996</v>
      </c>
      <c r="I6" s="3">
        <v>0.08</v>
      </c>
      <c r="K6" s="3">
        <v>400</v>
      </c>
      <c r="M6" s="3">
        <v>0.33500000000000002</v>
      </c>
      <c r="N6" s="3">
        <v>3195</v>
      </c>
      <c r="O6" s="3">
        <v>0.16200000000000001</v>
      </c>
      <c r="P6" s="3">
        <v>0.185</v>
      </c>
      <c r="Q6" s="3">
        <v>-0.56000000000000005</v>
      </c>
      <c r="R6" t="s">
        <v>1426</v>
      </c>
      <c r="S6">
        <v>0</v>
      </c>
      <c r="T6" t="s">
        <v>1427</v>
      </c>
      <c r="U6" s="3">
        <v>2025</v>
      </c>
      <c r="V6" s="3">
        <v>5.9574093171851752</v>
      </c>
      <c r="W6" s="3">
        <v>5.9484400167979654</v>
      </c>
      <c r="X6" s="3">
        <v>0.15078407720143699</v>
      </c>
      <c r="Y6" t="s">
        <v>73</v>
      </c>
      <c r="Z6" s="3">
        <v>161.01488558166091</v>
      </c>
      <c r="AA6" t="s">
        <v>1428</v>
      </c>
      <c r="AB6">
        <v>1</v>
      </c>
      <c r="AC6" s="3">
        <v>4</v>
      </c>
      <c r="AD6" s="3">
        <v>1</v>
      </c>
      <c r="AE6" t="s">
        <v>1429</v>
      </c>
      <c r="AF6" t="s">
        <v>1437</v>
      </c>
      <c r="AG6" t="s">
        <v>1438</v>
      </c>
      <c r="AH6" t="s">
        <v>1439</v>
      </c>
      <c r="AI6" t="s">
        <v>1432</v>
      </c>
      <c r="AJ6" t="s">
        <v>1440</v>
      </c>
      <c r="AK6" s="2"/>
    </row>
    <row r="7" spans="1:37" x14ac:dyDescent="0.45">
      <c r="A7" t="s">
        <v>1442</v>
      </c>
      <c r="B7" t="s">
        <v>72</v>
      </c>
      <c r="C7" t="s">
        <v>71</v>
      </c>
      <c r="D7" t="s">
        <v>69</v>
      </c>
      <c r="E7" s="2">
        <v>1</v>
      </c>
      <c r="F7" s="2"/>
      <c r="G7" s="3">
        <v>1.8800000000000001E-2</v>
      </c>
      <c r="H7" s="3">
        <v>2.3401999999999998</v>
      </c>
      <c r="I7" s="3">
        <v>0.04</v>
      </c>
      <c r="K7" s="3">
        <v>483</v>
      </c>
      <c r="M7" s="3">
        <v>0.26300000000000001</v>
      </c>
      <c r="N7" s="3">
        <v>3195</v>
      </c>
      <c r="O7" s="3">
        <v>0.16200000000000001</v>
      </c>
      <c r="P7" s="3">
        <v>0.185</v>
      </c>
      <c r="Q7" s="3">
        <v>-0.56000000000000005</v>
      </c>
      <c r="R7" t="s">
        <v>1426</v>
      </c>
      <c r="S7">
        <v>0</v>
      </c>
      <c r="T7" t="s">
        <v>1427</v>
      </c>
      <c r="U7" s="3">
        <v>2025</v>
      </c>
      <c r="V7" s="3">
        <v>5.9574093171851752</v>
      </c>
      <c r="W7" s="3">
        <v>5.9484400167979654</v>
      </c>
      <c r="X7" s="3">
        <v>0.15078407720143699</v>
      </c>
      <c r="Y7" t="s">
        <v>73</v>
      </c>
      <c r="Z7" s="3">
        <v>161.01488558166091</v>
      </c>
      <c r="AA7" t="s">
        <v>1428</v>
      </c>
      <c r="AB7">
        <v>1</v>
      </c>
      <c r="AC7" s="3">
        <v>4</v>
      </c>
      <c r="AD7" s="3">
        <v>1</v>
      </c>
      <c r="AE7" t="s">
        <v>1429</v>
      </c>
      <c r="AF7" t="s">
        <v>1437</v>
      </c>
      <c r="AG7" t="s">
        <v>1438</v>
      </c>
      <c r="AH7" t="s">
        <v>1439</v>
      </c>
      <c r="AI7" t="s">
        <v>1432</v>
      </c>
      <c r="AJ7" t="s">
        <v>1440</v>
      </c>
      <c r="AK7" s="2"/>
    </row>
    <row r="8" spans="1:37" x14ac:dyDescent="0.45">
      <c r="A8" t="s">
        <v>1443</v>
      </c>
      <c r="B8" t="s">
        <v>72</v>
      </c>
      <c r="C8" t="s">
        <v>71</v>
      </c>
      <c r="D8" t="s">
        <v>69</v>
      </c>
      <c r="E8" s="2">
        <v>1</v>
      </c>
      <c r="F8" s="2"/>
      <c r="G8" s="3">
        <v>3.8100000000000002E-2</v>
      </c>
      <c r="H8" s="3">
        <v>6.7392000000000003</v>
      </c>
      <c r="I8" s="3">
        <v>0.04</v>
      </c>
      <c r="K8" s="3">
        <v>340</v>
      </c>
      <c r="M8" s="3">
        <v>0.193</v>
      </c>
      <c r="N8" s="3">
        <v>3195</v>
      </c>
      <c r="O8" s="3">
        <v>0.16200000000000001</v>
      </c>
      <c r="P8" s="3">
        <v>0.185</v>
      </c>
      <c r="Q8" s="3">
        <v>-0.56000000000000005</v>
      </c>
      <c r="R8" t="s">
        <v>1426</v>
      </c>
      <c r="S8">
        <v>0</v>
      </c>
      <c r="T8" t="s">
        <v>1427</v>
      </c>
      <c r="U8" s="3">
        <v>2025</v>
      </c>
      <c r="V8" s="3">
        <v>5.9574093171851752</v>
      </c>
      <c r="W8" s="3">
        <v>5.9484400167979654</v>
      </c>
      <c r="X8" s="3">
        <v>0.15078407720143699</v>
      </c>
      <c r="Y8" t="s">
        <v>73</v>
      </c>
      <c r="Z8" s="3">
        <v>161.01488558166091</v>
      </c>
      <c r="AA8" t="s">
        <v>1428</v>
      </c>
      <c r="AB8">
        <v>1</v>
      </c>
      <c r="AC8" s="3">
        <v>4</v>
      </c>
      <c r="AD8" s="3">
        <v>1</v>
      </c>
      <c r="AE8" t="s">
        <v>1429</v>
      </c>
      <c r="AF8" t="s">
        <v>1437</v>
      </c>
      <c r="AG8" t="s">
        <v>1438</v>
      </c>
      <c r="AH8" t="s">
        <v>1439</v>
      </c>
      <c r="AI8" t="s">
        <v>1432</v>
      </c>
      <c r="AJ8" t="s">
        <v>1440</v>
      </c>
      <c r="AK8" s="2"/>
    </row>
    <row r="9" spans="1:37" x14ac:dyDescent="0.45">
      <c r="A9" t="s">
        <v>1134</v>
      </c>
      <c r="B9" t="s">
        <v>1136</v>
      </c>
      <c r="C9" t="s">
        <v>1135</v>
      </c>
      <c r="D9" t="s">
        <v>1133</v>
      </c>
      <c r="E9" s="2">
        <v>1</v>
      </c>
      <c r="F9" s="2"/>
      <c r="G9" s="3">
        <v>1.8499999999999999E-2</v>
      </c>
      <c r="H9" s="3">
        <v>2.2907000000000002</v>
      </c>
      <c r="J9" s="3">
        <v>8.6</v>
      </c>
      <c r="K9" s="3">
        <v>464</v>
      </c>
      <c r="M9" s="3">
        <v>3.95</v>
      </c>
      <c r="N9" s="3">
        <v>3130</v>
      </c>
      <c r="O9" s="3">
        <v>0.161</v>
      </c>
      <c r="P9" s="3">
        <v>0.17499999999999999</v>
      </c>
      <c r="Q9" s="3">
        <v>0.13</v>
      </c>
      <c r="R9" t="s">
        <v>1426</v>
      </c>
      <c r="S9">
        <v>0</v>
      </c>
      <c r="T9" t="s">
        <v>1427</v>
      </c>
      <c r="U9" s="3">
        <v>2020</v>
      </c>
      <c r="V9" s="3">
        <v>28.072768664646681</v>
      </c>
      <c r="W9" s="3">
        <v>27.61696512678752</v>
      </c>
      <c r="X9" s="3">
        <v>1.6504475990268701</v>
      </c>
      <c r="Y9" t="s">
        <v>47</v>
      </c>
      <c r="Z9" s="3">
        <v>36.75495988180618</v>
      </c>
      <c r="AA9" t="s">
        <v>1428</v>
      </c>
      <c r="AB9">
        <v>1</v>
      </c>
      <c r="AC9" s="3">
        <v>1</v>
      </c>
      <c r="AD9" s="3">
        <v>1</v>
      </c>
      <c r="AE9" t="s">
        <v>1429</v>
      </c>
      <c r="AF9" t="s">
        <v>1444</v>
      </c>
      <c r="AG9" t="s">
        <v>1445</v>
      </c>
      <c r="AH9" t="s">
        <v>1444</v>
      </c>
      <c r="AI9" t="s">
        <v>1432</v>
      </c>
      <c r="AJ9" t="s">
        <v>1446</v>
      </c>
      <c r="AK9" s="2"/>
    </row>
    <row r="10" spans="1:37" x14ac:dyDescent="0.45">
      <c r="A10" t="s">
        <v>1447</v>
      </c>
      <c r="B10" t="s">
        <v>361</v>
      </c>
      <c r="C10" t="s">
        <v>363</v>
      </c>
      <c r="D10" t="s">
        <v>361</v>
      </c>
      <c r="E10" s="2">
        <v>1</v>
      </c>
      <c r="F10" s="2"/>
      <c r="G10" s="3">
        <v>4.5699999999999998E-2</v>
      </c>
      <c r="H10" s="3">
        <v>10.346500000000001</v>
      </c>
      <c r="J10" s="3">
        <v>0.67</v>
      </c>
      <c r="K10" s="3">
        <v>230.9</v>
      </c>
      <c r="M10" s="3">
        <v>1.08</v>
      </c>
      <c r="N10" s="3">
        <v>3024</v>
      </c>
      <c r="O10" s="3">
        <v>0.12</v>
      </c>
      <c r="P10" s="3">
        <v>0.13700000000000001</v>
      </c>
      <c r="Q10" s="3">
        <v>-0.25</v>
      </c>
      <c r="R10" t="s">
        <v>1426</v>
      </c>
      <c r="S10">
        <v>0</v>
      </c>
      <c r="T10" t="s">
        <v>1427</v>
      </c>
      <c r="U10" s="3">
        <v>2022</v>
      </c>
      <c r="V10" s="3">
        <v>15.814246439438421</v>
      </c>
      <c r="W10" s="3">
        <v>15.326740501665199</v>
      </c>
      <c r="X10" s="3">
        <v>3.1807541709227101</v>
      </c>
      <c r="Y10" t="s">
        <v>73</v>
      </c>
      <c r="Z10" s="3">
        <v>32.501942698826262</v>
      </c>
      <c r="AA10" t="s">
        <v>1428</v>
      </c>
      <c r="AB10">
        <v>1</v>
      </c>
      <c r="AC10" s="3">
        <v>2</v>
      </c>
      <c r="AD10" s="3">
        <v>1</v>
      </c>
      <c r="AE10" t="s">
        <v>1429</v>
      </c>
      <c r="AF10" t="s">
        <v>1448</v>
      </c>
      <c r="AG10" t="s">
        <v>1449</v>
      </c>
      <c r="AH10" t="s">
        <v>1448</v>
      </c>
      <c r="AI10" t="s">
        <v>1432</v>
      </c>
      <c r="AJ10" t="s">
        <v>1450</v>
      </c>
      <c r="AK10" s="2"/>
    </row>
    <row r="11" spans="1:37" x14ac:dyDescent="0.45">
      <c r="A11" t="s">
        <v>1451</v>
      </c>
      <c r="B11" t="s">
        <v>361</v>
      </c>
      <c r="C11" t="s">
        <v>363</v>
      </c>
      <c r="D11" t="s">
        <v>361</v>
      </c>
      <c r="E11" s="2">
        <v>1</v>
      </c>
      <c r="F11" s="2"/>
      <c r="G11" s="3">
        <v>7.3800000000000004E-2</v>
      </c>
      <c r="H11" s="3">
        <v>21.202000000000002</v>
      </c>
      <c r="J11" s="3">
        <v>0.25700000000000001</v>
      </c>
      <c r="K11" s="3">
        <v>181.7</v>
      </c>
      <c r="M11" s="3">
        <v>1.36</v>
      </c>
      <c r="N11" s="3">
        <v>3024</v>
      </c>
      <c r="O11" s="3">
        <v>0.12</v>
      </c>
      <c r="P11" s="3">
        <v>0.13700000000000001</v>
      </c>
      <c r="Q11" s="3">
        <v>-0.25</v>
      </c>
      <c r="R11" t="s">
        <v>1426</v>
      </c>
      <c r="S11">
        <v>0</v>
      </c>
      <c r="T11" t="s">
        <v>1427</v>
      </c>
      <c r="U11" s="3">
        <v>2022</v>
      </c>
      <c r="V11" s="3">
        <v>15.814246439438421</v>
      </c>
      <c r="W11" s="3">
        <v>15.326740501665199</v>
      </c>
      <c r="X11" s="3">
        <v>3.1807541709227101</v>
      </c>
      <c r="Y11" t="s">
        <v>73</v>
      </c>
      <c r="Z11" s="3">
        <v>32.501942698826262</v>
      </c>
      <c r="AA11" t="s">
        <v>1428</v>
      </c>
      <c r="AB11">
        <v>1</v>
      </c>
      <c r="AC11" s="3">
        <v>2</v>
      </c>
      <c r="AD11" s="3">
        <v>1</v>
      </c>
      <c r="AE11" t="s">
        <v>1429</v>
      </c>
      <c r="AF11" t="s">
        <v>1448</v>
      </c>
      <c r="AG11" t="s">
        <v>1449</v>
      </c>
      <c r="AH11" t="s">
        <v>1448</v>
      </c>
      <c r="AI11" t="s">
        <v>1432</v>
      </c>
      <c r="AJ11" t="s">
        <v>1450</v>
      </c>
      <c r="AK11" s="2"/>
    </row>
    <row r="12" spans="1:37" x14ac:dyDescent="0.45">
      <c r="A12" t="s">
        <v>1452</v>
      </c>
      <c r="B12" t="s">
        <v>296</v>
      </c>
      <c r="C12" t="s">
        <v>298</v>
      </c>
      <c r="D12" t="s">
        <v>296</v>
      </c>
      <c r="E12" s="2">
        <v>1</v>
      </c>
      <c r="F12" s="2"/>
      <c r="G12" s="3">
        <v>2.1000000000000001E-2</v>
      </c>
      <c r="H12" s="3">
        <v>3.2073</v>
      </c>
      <c r="I12" s="3">
        <v>0.05</v>
      </c>
      <c r="M12" s="3">
        <v>1.1100000000000001</v>
      </c>
      <c r="N12" s="3">
        <v>2953</v>
      </c>
      <c r="O12" s="3">
        <v>0.12</v>
      </c>
      <c r="P12" s="3">
        <v>0.156</v>
      </c>
      <c r="Q12" s="3">
        <v>-0.08</v>
      </c>
      <c r="R12" t="s">
        <v>1453</v>
      </c>
      <c r="S12">
        <v>0</v>
      </c>
      <c r="T12" t="s">
        <v>1427</v>
      </c>
      <c r="U12" s="3">
        <v>2020</v>
      </c>
      <c r="V12" s="3">
        <v>11.979006209505011</v>
      </c>
      <c r="W12" s="3">
        <v>13.997979418847191</v>
      </c>
      <c r="X12" s="3">
        <v>14.42331888718021</v>
      </c>
      <c r="Y12" t="s">
        <v>73</v>
      </c>
      <c r="Z12" s="3">
        <v>21.565205754278239</v>
      </c>
      <c r="AA12" t="s">
        <v>1428</v>
      </c>
      <c r="AB12">
        <v>2</v>
      </c>
      <c r="AC12" s="3">
        <v>3</v>
      </c>
      <c r="AD12" s="3">
        <v>1</v>
      </c>
      <c r="AE12" t="s">
        <v>1429</v>
      </c>
      <c r="AF12" t="s">
        <v>1454</v>
      </c>
      <c r="AG12" t="s">
        <v>1455</v>
      </c>
      <c r="AH12" t="s">
        <v>1454</v>
      </c>
      <c r="AI12" t="s">
        <v>1432</v>
      </c>
      <c r="AJ12" t="s">
        <v>1456</v>
      </c>
      <c r="AK12" s="2"/>
    </row>
    <row r="13" spans="1:37" x14ac:dyDescent="0.45">
      <c r="A13" t="s">
        <v>1457</v>
      </c>
      <c r="B13" t="s">
        <v>296</v>
      </c>
      <c r="C13" t="s">
        <v>298</v>
      </c>
      <c r="D13" t="s">
        <v>296</v>
      </c>
      <c r="E13" s="2">
        <v>1</v>
      </c>
      <c r="F13" s="2"/>
      <c r="G13" s="3">
        <v>3.4200000000000001E-2</v>
      </c>
      <c r="H13" s="3">
        <v>6.6821000000000002</v>
      </c>
      <c r="I13" s="3">
        <v>0.02</v>
      </c>
      <c r="M13" s="3">
        <v>1.81</v>
      </c>
      <c r="N13" s="3">
        <v>2953</v>
      </c>
      <c r="O13" s="3">
        <v>0.12</v>
      </c>
      <c r="P13" s="3">
        <v>0.156</v>
      </c>
      <c r="Q13" s="3">
        <v>-0.08</v>
      </c>
      <c r="R13" t="s">
        <v>1453</v>
      </c>
      <c r="S13">
        <v>0</v>
      </c>
      <c r="T13" t="s">
        <v>1427</v>
      </c>
      <c r="U13" s="3">
        <v>2020</v>
      </c>
      <c r="V13" s="3">
        <v>11.979006209505011</v>
      </c>
      <c r="W13" s="3">
        <v>13.997979418847191</v>
      </c>
      <c r="X13" s="3">
        <v>14.42331888718021</v>
      </c>
      <c r="Y13" t="s">
        <v>73</v>
      </c>
      <c r="Z13" s="3">
        <v>21.565205754278239</v>
      </c>
      <c r="AA13" t="s">
        <v>1428</v>
      </c>
      <c r="AB13">
        <v>2</v>
      </c>
      <c r="AC13" s="3">
        <v>3</v>
      </c>
      <c r="AD13" s="3">
        <v>1</v>
      </c>
      <c r="AE13" t="s">
        <v>1429</v>
      </c>
      <c r="AF13" t="s">
        <v>1454</v>
      </c>
      <c r="AG13" t="s">
        <v>1455</v>
      </c>
      <c r="AH13" t="s">
        <v>1454</v>
      </c>
      <c r="AI13" t="s">
        <v>1432</v>
      </c>
      <c r="AJ13" t="s">
        <v>1456</v>
      </c>
      <c r="AK13" s="2"/>
    </row>
    <row r="14" spans="1:37" x14ac:dyDescent="0.45">
      <c r="A14" t="s">
        <v>1458</v>
      </c>
      <c r="B14" t="s">
        <v>296</v>
      </c>
      <c r="C14" t="s">
        <v>298</v>
      </c>
      <c r="D14" t="s">
        <v>296</v>
      </c>
      <c r="E14" s="2">
        <v>1</v>
      </c>
      <c r="F14" s="2"/>
      <c r="G14" s="3">
        <v>5.3999999999999999E-2</v>
      </c>
      <c r="H14" s="3">
        <v>13.066000000000001</v>
      </c>
      <c r="I14" s="3">
        <v>0.04</v>
      </c>
      <c r="M14" s="3">
        <v>1.67</v>
      </c>
      <c r="N14" s="3">
        <v>2953</v>
      </c>
      <c r="O14" s="3">
        <v>0.12</v>
      </c>
      <c r="P14" s="3">
        <v>0.156</v>
      </c>
      <c r="Q14" s="3">
        <v>-0.08</v>
      </c>
      <c r="R14" t="s">
        <v>1453</v>
      </c>
      <c r="S14">
        <v>0</v>
      </c>
      <c r="T14" t="s">
        <v>1427</v>
      </c>
      <c r="U14" s="3">
        <v>2020</v>
      </c>
      <c r="V14" s="3">
        <v>11.979006209505011</v>
      </c>
      <c r="W14" s="3">
        <v>13.997979418847191</v>
      </c>
      <c r="X14" s="3">
        <v>14.42331888718021</v>
      </c>
      <c r="Y14" t="s">
        <v>73</v>
      </c>
      <c r="Z14" s="3">
        <v>21.565205754278239</v>
      </c>
      <c r="AA14" t="s">
        <v>1428</v>
      </c>
      <c r="AB14">
        <v>2</v>
      </c>
      <c r="AC14" s="3">
        <v>3</v>
      </c>
      <c r="AD14" s="3">
        <v>1</v>
      </c>
      <c r="AE14" t="s">
        <v>1429</v>
      </c>
      <c r="AF14" t="s">
        <v>1454</v>
      </c>
      <c r="AG14" t="s">
        <v>1455</v>
      </c>
      <c r="AH14" t="s">
        <v>1454</v>
      </c>
      <c r="AI14" t="s">
        <v>1432</v>
      </c>
      <c r="AJ14" t="s">
        <v>1456</v>
      </c>
      <c r="AK14" s="2"/>
    </row>
    <row r="15" spans="1:37" x14ac:dyDescent="0.45">
      <c r="A15" t="s">
        <v>1064</v>
      </c>
      <c r="B15" t="s">
        <v>1063</v>
      </c>
      <c r="C15" t="s">
        <v>1065</v>
      </c>
      <c r="D15" t="s">
        <v>1063</v>
      </c>
      <c r="E15" s="2">
        <v>1</v>
      </c>
      <c r="F15" s="2"/>
      <c r="G15" s="3">
        <v>0.57140000000000002</v>
      </c>
      <c r="H15" s="3">
        <v>389.7</v>
      </c>
      <c r="M15" s="3">
        <v>10.62</v>
      </c>
      <c r="N15" s="3">
        <v>3280</v>
      </c>
      <c r="O15" s="3">
        <v>0.16389999999999999</v>
      </c>
      <c r="P15" s="3">
        <v>0.17810000000000001</v>
      </c>
      <c r="Q15" s="3">
        <v>-0.12</v>
      </c>
      <c r="R15" t="s">
        <v>1426</v>
      </c>
      <c r="S15">
        <v>0</v>
      </c>
      <c r="T15" t="s">
        <v>1427</v>
      </c>
      <c r="U15" s="3">
        <v>2023</v>
      </c>
      <c r="V15" s="3">
        <v>26.210741904261791</v>
      </c>
      <c r="W15" s="3">
        <v>26.778090923300059</v>
      </c>
      <c r="X15" s="3">
        <v>2.118705999853836</v>
      </c>
      <c r="Y15" t="s">
        <v>73</v>
      </c>
      <c r="Z15" s="3">
        <v>61.41601826681628</v>
      </c>
      <c r="AA15" t="s">
        <v>1428</v>
      </c>
      <c r="AB15">
        <v>1</v>
      </c>
      <c r="AC15" s="3">
        <v>1</v>
      </c>
      <c r="AD15" s="3">
        <v>1</v>
      </c>
      <c r="AE15" t="s">
        <v>1429</v>
      </c>
      <c r="AF15" t="s">
        <v>1459</v>
      </c>
      <c r="AG15" t="s">
        <v>1460</v>
      </c>
      <c r="AH15" t="s">
        <v>1459</v>
      </c>
      <c r="AI15" t="s">
        <v>1432</v>
      </c>
      <c r="AJ15" t="s">
        <v>1461</v>
      </c>
      <c r="AK15" s="2"/>
    </row>
    <row r="16" spans="1:37" x14ac:dyDescent="0.45">
      <c r="A16" t="s">
        <v>1038</v>
      </c>
      <c r="B16" t="s">
        <v>1037</v>
      </c>
      <c r="C16" t="s">
        <v>1039</v>
      </c>
      <c r="D16" t="s">
        <v>1037</v>
      </c>
      <c r="E16" s="2">
        <v>1</v>
      </c>
      <c r="F16" s="2"/>
      <c r="G16" s="3">
        <v>0.27</v>
      </c>
      <c r="H16" s="3">
        <v>111.74</v>
      </c>
      <c r="I16" s="3">
        <v>0</v>
      </c>
      <c r="K16" s="3">
        <v>150</v>
      </c>
      <c r="M16" s="3">
        <v>6.27</v>
      </c>
      <c r="N16" s="3">
        <v>3296</v>
      </c>
      <c r="O16" s="3">
        <v>0.21</v>
      </c>
      <c r="Q16" s="3">
        <v>0.02</v>
      </c>
      <c r="R16" t="s">
        <v>1426</v>
      </c>
      <c r="S16">
        <v>0</v>
      </c>
      <c r="T16" t="s">
        <v>1427</v>
      </c>
      <c r="U16" s="3">
        <v>2024</v>
      </c>
      <c r="V16" s="3">
        <v>27.238852038100511</v>
      </c>
      <c r="W16" s="3">
        <v>26.51683966474895</v>
      </c>
      <c r="X16" s="3">
        <v>2.7228447374571072</v>
      </c>
      <c r="Y16" t="s">
        <v>73</v>
      </c>
      <c r="Z16" s="3">
        <v>23.815825736015629</v>
      </c>
      <c r="AA16" t="s">
        <v>1428</v>
      </c>
      <c r="AB16">
        <v>1</v>
      </c>
      <c r="AC16" s="3">
        <v>1</v>
      </c>
      <c r="AD16" s="3">
        <v>1</v>
      </c>
      <c r="AE16" t="s">
        <v>1429</v>
      </c>
      <c r="AF16" t="s">
        <v>1462</v>
      </c>
      <c r="AG16" t="s">
        <v>1463</v>
      </c>
      <c r="AH16" t="s">
        <v>1462</v>
      </c>
      <c r="AI16" t="s">
        <v>1432</v>
      </c>
      <c r="AJ16" t="s">
        <v>1464</v>
      </c>
      <c r="AK16" s="2"/>
    </row>
    <row r="17" spans="1:37" x14ac:dyDescent="0.45">
      <c r="A17" t="s">
        <v>1465</v>
      </c>
      <c r="B17" t="s">
        <v>204</v>
      </c>
      <c r="C17" t="s">
        <v>194</v>
      </c>
      <c r="D17" t="s">
        <v>202</v>
      </c>
      <c r="E17" s="2">
        <v>1</v>
      </c>
      <c r="F17" s="2"/>
      <c r="G17" s="3">
        <v>7.1999999999999995E-2</v>
      </c>
      <c r="H17" s="3">
        <v>11.4407</v>
      </c>
      <c r="I17" s="3">
        <v>9.4E-2</v>
      </c>
      <c r="M17" s="3">
        <v>3.03</v>
      </c>
      <c r="N17" s="3">
        <v>3607</v>
      </c>
      <c r="O17" s="3">
        <v>0.38</v>
      </c>
      <c r="P17" s="3">
        <v>0.38</v>
      </c>
      <c r="Q17" s="3">
        <v>-0.34</v>
      </c>
      <c r="R17" t="s">
        <v>1426</v>
      </c>
      <c r="S17">
        <v>1</v>
      </c>
      <c r="T17" t="s">
        <v>1427</v>
      </c>
      <c r="U17" s="3">
        <v>2014</v>
      </c>
      <c r="V17" s="3">
        <v>11.618603412128</v>
      </c>
      <c r="W17" s="3">
        <v>11.700207737832731</v>
      </c>
      <c r="X17" s="3">
        <v>0.69746048560198592</v>
      </c>
      <c r="Y17" t="s">
        <v>73</v>
      </c>
      <c r="Z17" s="3">
        <v>52.313009655698963</v>
      </c>
      <c r="AA17" t="s">
        <v>1428</v>
      </c>
      <c r="AB17">
        <v>3</v>
      </c>
      <c r="AC17" s="3">
        <v>2</v>
      </c>
      <c r="AD17" s="3">
        <v>2</v>
      </c>
      <c r="AE17" t="s">
        <v>1429</v>
      </c>
      <c r="AF17" t="s">
        <v>1466</v>
      </c>
      <c r="AG17" t="s">
        <v>1467</v>
      </c>
      <c r="AH17" t="s">
        <v>1466</v>
      </c>
      <c r="AI17" t="s">
        <v>1432</v>
      </c>
      <c r="AJ17" t="s">
        <v>1468</v>
      </c>
      <c r="AK17" s="2"/>
    </row>
    <row r="18" spans="1:37" x14ac:dyDescent="0.45">
      <c r="A18" t="s">
        <v>1469</v>
      </c>
      <c r="B18" t="s">
        <v>204</v>
      </c>
      <c r="C18" t="s">
        <v>194</v>
      </c>
      <c r="D18" t="s">
        <v>202</v>
      </c>
      <c r="E18" s="2">
        <v>1</v>
      </c>
      <c r="F18" s="2"/>
      <c r="G18" s="3">
        <v>5.4</v>
      </c>
      <c r="H18" s="3">
        <v>7600</v>
      </c>
      <c r="I18" s="3">
        <v>0.27</v>
      </c>
      <c r="M18" s="3">
        <v>36</v>
      </c>
      <c r="N18" s="3">
        <v>3607</v>
      </c>
      <c r="O18" s="3">
        <v>0.38</v>
      </c>
      <c r="P18" s="3">
        <v>0.38</v>
      </c>
      <c r="Q18" s="3">
        <v>-0.34</v>
      </c>
      <c r="R18" t="s">
        <v>1426</v>
      </c>
      <c r="S18">
        <v>0</v>
      </c>
      <c r="T18" t="s">
        <v>1427</v>
      </c>
      <c r="U18" s="3">
        <v>2018</v>
      </c>
      <c r="V18" s="3">
        <v>11.618603412128</v>
      </c>
      <c r="W18" s="3">
        <v>11.700207737832731</v>
      </c>
      <c r="X18" s="3">
        <v>0.69746048560198592</v>
      </c>
      <c r="Y18" t="s">
        <v>73</v>
      </c>
      <c r="Z18" s="3">
        <v>52.313009655698963</v>
      </c>
      <c r="AA18" t="s">
        <v>1428</v>
      </c>
      <c r="AB18">
        <v>1</v>
      </c>
      <c r="AC18" s="3">
        <v>2</v>
      </c>
      <c r="AD18" s="3">
        <v>2</v>
      </c>
      <c r="AE18" t="s">
        <v>1429</v>
      </c>
      <c r="AF18" t="s">
        <v>1466</v>
      </c>
      <c r="AG18" t="s">
        <v>1467</v>
      </c>
      <c r="AH18" t="s">
        <v>1466</v>
      </c>
      <c r="AI18" t="s">
        <v>1432</v>
      </c>
      <c r="AJ18" t="s">
        <v>1468</v>
      </c>
      <c r="AK18" s="2"/>
    </row>
    <row r="19" spans="1:37" x14ac:dyDescent="0.45">
      <c r="A19" t="s">
        <v>1470</v>
      </c>
      <c r="B19" t="s">
        <v>514</v>
      </c>
      <c r="C19" t="s">
        <v>513</v>
      </c>
      <c r="D19" t="s">
        <v>511</v>
      </c>
      <c r="E19" s="2">
        <v>1</v>
      </c>
      <c r="F19" s="2"/>
      <c r="G19" s="3">
        <v>0.38400000000000001</v>
      </c>
      <c r="H19" s="3">
        <v>121.93268</v>
      </c>
      <c r="I19" s="3">
        <v>0.36599999999999999</v>
      </c>
      <c r="M19" s="3">
        <v>8.5813669899999994</v>
      </c>
      <c r="O19" s="3">
        <v>0.50900000000000001</v>
      </c>
      <c r="R19" t="s">
        <v>1426</v>
      </c>
      <c r="S19">
        <v>1</v>
      </c>
      <c r="T19" t="s">
        <v>1427</v>
      </c>
      <c r="U19" s="3">
        <v>2020</v>
      </c>
      <c r="V19" s="3">
        <v>18.77434387668227</v>
      </c>
      <c r="W19" s="3">
        <v>18.765081035555109</v>
      </c>
      <c r="X19" s="3">
        <v>4.9362116313831007E-2</v>
      </c>
      <c r="Y19" t="s">
        <v>73</v>
      </c>
      <c r="Z19" s="3">
        <v>11.306648990936869</v>
      </c>
      <c r="AA19" t="s">
        <v>1428</v>
      </c>
      <c r="AB19">
        <v>2</v>
      </c>
      <c r="AC19" s="3">
        <v>2</v>
      </c>
      <c r="AD19" s="3">
        <v>3</v>
      </c>
      <c r="AE19" t="s">
        <v>1429</v>
      </c>
      <c r="AF19" t="s">
        <v>1471</v>
      </c>
      <c r="AG19" t="s">
        <v>1472</v>
      </c>
      <c r="AH19" t="s">
        <v>1471</v>
      </c>
      <c r="AI19" t="s">
        <v>1432</v>
      </c>
      <c r="AJ19" t="s">
        <v>1473</v>
      </c>
      <c r="AK19" s="2"/>
    </row>
    <row r="20" spans="1:37" x14ac:dyDescent="0.45">
      <c r="A20" t="s">
        <v>1474</v>
      </c>
      <c r="B20" t="s">
        <v>514</v>
      </c>
      <c r="C20" t="s">
        <v>513</v>
      </c>
      <c r="D20" t="s">
        <v>511</v>
      </c>
      <c r="E20" s="2">
        <v>1</v>
      </c>
      <c r="F20" s="2"/>
      <c r="G20" s="3">
        <v>1.0860000000000001</v>
      </c>
      <c r="H20" s="3">
        <v>579.47495000000004</v>
      </c>
      <c r="I20" s="3">
        <v>0.40400000000000003</v>
      </c>
      <c r="M20" s="3">
        <v>14.93793513</v>
      </c>
      <c r="O20" s="3">
        <v>0.50900000000000001</v>
      </c>
      <c r="R20" t="s">
        <v>1426</v>
      </c>
      <c r="S20">
        <v>1</v>
      </c>
      <c r="T20" t="s">
        <v>1427</v>
      </c>
      <c r="U20" s="3">
        <v>2014</v>
      </c>
      <c r="V20" s="3">
        <v>18.77434387668227</v>
      </c>
      <c r="W20" s="3">
        <v>18.765081035555109</v>
      </c>
      <c r="X20" s="3">
        <v>4.9362116313831007E-2</v>
      </c>
      <c r="Y20" t="s">
        <v>73</v>
      </c>
      <c r="Z20" s="3">
        <v>11.306648990936869</v>
      </c>
      <c r="AA20" t="s">
        <v>1428</v>
      </c>
      <c r="AB20">
        <v>3</v>
      </c>
      <c r="AC20" s="3">
        <v>2</v>
      </c>
      <c r="AD20" s="3">
        <v>3</v>
      </c>
      <c r="AE20" t="s">
        <v>1429</v>
      </c>
      <c r="AF20" t="s">
        <v>1471</v>
      </c>
      <c r="AG20" t="s">
        <v>1472</v>
      </c>
      <c r="AH20" t="s">
        <v>1471</v>
      </c>
      <c r="AI20" t="s">
        <v>1432</v>
      </c>
      <c r="AJ20" t="s">
        <v>1473</v>
      </c>
      <c r="AK20" s="2"/>
    </row>
    <row r="21" spans="1:37" x14ac:dyDescent="0.45">
      <c r="A21" t="s">
        <v>1475</v>
      </c>
      <c r="B21" t="s">
        <v>530</v>
      </c>
      <c r="C21" t="s">
        <v>529</v>
      </c>
      <c r="D21" t="s">
        <v>527</v>
      </c>
      <c r="E21" s="2">
        <v>1</v>
      </c>
      <c r="F21" s="2"/>
      <c r="G21" s="3">
        <v>8.0799999999999997E-2</v>
      </c>
      <c r="H21" s="3">
        <v>14.237</v>
      </c>
      <c r="I21" s="3">
        <v>0</v>
      </c>
      <c r="J21" s="3">
        <v>2.37</v>
      </c>
      <c r="K21" s="3">
        <v>336</v>
      </c>
      <c r="M21" s="3">
        <v>3.85</v>
      </c>
      <c r="N21" s="3">
        <v>3342</v>
      </c>
      <c r="O21" s="3">
        <v>0.35</v>
      </c>
      <c r="P21" s="3">
        <v>0.36</v>
      </c>
      <c r="Q21" s="3">
        <v>7.0000000000000007E-2</v>
      </c>
      <c r="R21" t="s">
        <v>1426</v>
      </c>
      <c r="S21">
        <v>0</v>
      </c>
      <c r="T21" t="s">
        <v>1427</v>
      </c>
      <c r="U21" s="3">
        <v>2020</v>
      </c>
      <c r="V21" s="3">
        <v>18.201384967947259</v>
      </c>
      <c r="W21" s="3">
        <v>18.787911981995279</v>
      </c>
      <c r="X21" s="3">
        <v>3.1218318172349129</v>
      </c>
      <c r="Y21" t="s">
        <v>73</v>
      </c>
      <c r="Z21" s="3">
        <v>19.18910387902876</v>
      </c>
      <c r="AA21" t="s">
        <v>1428</v>
      </c>
      <c r="AB21">
        <v>2</v>
      </c>
      <c r="AC21" s="3">
        <v>2</v>
      </c>
      <c r="AD21" s="3">
        <v>1</v>
      </c>
      <c r="AE21" t="s">
        <v>1429</v>
      </c>
      <c r="AF21" t="s">
        <v>1476</v>
      </c>
      <c r="AG21" t="s">
        <v>1477</v>
      </c>
      <c r="AH21" t="s">
        <v>1476</v>
      </c>
      <c r="AI21" t="s">
        <v>1432</v>
      </c>
      <c r="AJ21" t="s">
        <v>1478</v>
      </c>
      <c r="AK21" s="2"/>
    </row>
    <row r="22" spans="1:37" x14ac:dyDescent="0.45">
      <c r="A22" t="s">
        <v>1479</v>
      </c>
      <c r="B22" t="s">
        <v>530</v>
      </c>
      <c r="C22" t="s">
        <v>529</v>
      </c>
      <c r="D22" t="s">
        <v>527</v>
      </c>
      <c r="E22" s="2">
        <v>1</v>
      </c>
      <c r="F22" s="2"/>
      <c r="G22" s="3">
        <v>0.19600000000000001</v>
      </c>
      <c r="H22" s="3">
        <v>53.646999999999998</v>
      </c>
      <c r="I22" s="3">
        <v>0</v>
      </c>
      <c r="J22" s="3">
        <v>0.40400000000000003</v>
      </c>
      <c r="K22" s="3">
        <v>216</v>
      </c>
      <c r="M22" s="3">
        <v>3.88</v>
      </c>
      <c r="N22" s="3">
        <v>3342</v>
      </c>
      <c r="O22" s="3">
        <v>0.35</v>
      </c>
      <c r="P22" s="3">
        <v>0.36</v>
      </c>
      <c r="Q22" s="3">
        <v>7.0000000000000007E-2</v>
      </c>
      <c r="R22" t="s">
        <v>1426</v>
      </c>
      <c r="S22">
        <v>0</v>
      </c>
      <c r="T22" t="s">
        <v>1427</v>
      </c>
      <c r="U22" s="3">
        <v>2025</v>
      </c>
      <c r="V22" s="3">
        <v>18.201384967947259</v>
      </c>
      <c r="W22" s="3">
        <v>18.787911981995279</v>
      </c>
      <c r="X22" s="3">
        <v>3.1218318172349129</v>
      </c>
      <c r="Y22" t="s">
        <v>73</v>
      </c>
      <c r="Z22" s="3">
        <v>19.18910387902876</v>
      </c>
      <c r="AA22" t="s">
        <v>1428</v>
      </c>
      <c r="AB22">
        <v>1</v>
      </c>
      <c r="AC22" s="3">
        <v>2</v>
      </c>
      <c r="AD22" s="3">
        <v>1</v>
      </c>
      <c r="AE22" t="s">
        <v>1429</v>
      </c>
      <c r="AF22" t="s">
        <v>1476</v>
      </c>
      <c r="AG22" t="s">
        <v>1477</v>
      </c>
      <c r="AH22" t="s">
        <v>1476</v>
      </c>
      <c r="AI22" t="s">
        <v>1432</v>
      </c>
      <c r="AJ22" t="s">
        <v>1478</v>
      </c>
      <c r="AK22" s="2"/>
    </row>
    <row r="23" spans="1:37" x14ac:dyDescent="0.45">
      <c r="A23" t="s">
        <v>1480</v>
      </c>
      <c r="B23" t="s">
        <v>248</v>
      </c>
      <c r="C23" t="s">
        <v>247</v>
      </c>
      <c r="D23" t="s">
        <v>244</v>
      </c>
      <c r="E23" s="2">
        <v>1</v>
      </c>
      <c r="F23" s="2"/>
      <c r="G23" s="3">
        <v>9.1101000000000001E-2</v>
      </c>
      <c r="H23" s="3">
        <v>18.649799999999999</v>
      </c>
      <c r="I23" s="3">
        <v>0.1</v>
      </c>
      <c r="J23" s="3">
        <v>1.06</v>
      </c>
      <c r="M23" s="3">
        <v>2.89</v>
      </c>
      <c r="N23" s="3">
        <v>3382</v>
      </c>
      <c r="O23" s="3">
        <v>0.28999999999999998</v>
      </c>
      <c r="P23" s="3">
        <v>0.29299999999999998</v>
      </c>
      <c r="Q23" s="3">
        <v>0.09</v>
      </c>
      <c r="R23" t="s">
        <v>1426</v>
      </c>
      <c r="S23">
        <v>0</v>
      </c>
      <c r="T23" t="s">
        <v>1427</v>
      </c>
      <c r="U23" s="3">
        <v>2017</v>
      </c>
      <c r="V23" s="3">
        <v>19.313464061229158</v>
      </c>
      <c r="W23" s="3">
        <v>12.402422419056879</v>
      </c>
      <c r="X23" s="3">
        <v>55.723320885709789</v>
      </c>
      <c r="Y23" t="s">
        <v>73</v>
      </c>
      <c r="Z23" s="3">
        <v>9.7789962323223678E-2</v>
      </c>
      <c r="AA23" t="s">
        <v>1428</v>
      </c>
      <c r="AB23">
        <v>1</v>
      </c>
      <c r="AC23" s="3">
        <v>2</v>
      </c>
      <c r="AD23" s="3">
        <v>1</v>
      </c>
      <c r="AE23" t="s">
        <v>1429</v>
      </c>
      <c r="AF23" t="s">
        <v>1481</v>
      </c>
      <c r="AG23" t="s">
        <v>1482</v>
      </c>
      <c r="AH23" t="s">
        <v>1481</v>
      </c>
      <c r="AI23" t="s">
        <v>1432</v>
      </c>
      <c r="AJ23" t="s">
        <v>1483</v>
      </c>
      <c r="AK23" s="2"/>
    </row>
    <row r="24" spans="1:37" x14ac:dyDescent="0.45">
      <c r="A24" t="s">
        <v>1484</v>
      </c>
      <c r="B24" t="s">
        <v>248</v>
      </c>
      <c r="C24" t="s">
        <v>247</v>
      </c>
      <c r="D24" t="s">
        <v>244</v>
      </c>
      <c r="E24" s="2">
        <v>1</v>
      </c>
      <c r="F24" s="2"/>
      <c r="G24" s="3">
        <v>3.6466999999999999E-2</v>
      </c>
      <c r="H24" s="3">
        <v>4.7233999999999998</v>
      </c>
      <c r="I24" s="3">
        <v>0.17</v>
      </c>
      <c r="J24" s="3">
        <v>6.66</v>
      </c>
      <c r="M24" s="3">
        <v>1.18</v>
      </c>
      <c r="N24" s="3">
        <v>3382</v>
      </c>
      <c r="O24" s="3">
        <v>0.28999999999999998</v>
      </c>
      <c r="P24" s="3">
        <v>0.29299999999999998</v>
      </c>
      <c r="Q24" s="3">
        <v>0.09</v>
      </c>
      <c r="R24" t="s">
        <v>1426</v>
      </c>
      <c r="S24">
        <v>0</v>
      </c>
      <c r="T24" t="s">
        <v>1427</v>
      </c>
      <c r="U24" s="3">
        <v>2017</v>
      </c>
      <c r="V24" s="3">
        <v>19.313464061229158</v>
      </c>
      <c r="W24" s="3">
        <v>12.402422419056879</v>
      </c>
      <c r="X24" s="3">
        <v>55.723320885709789</v>
      </c>
      <c r="Y24" t="s">
        <v>73</v>
      </c>
      <c r="Z24" s="3">
        <v>9.7789962323223678E-2</v>
      </c>
      <c r="AA24" t="s">
        <v>1428</v>
      </c>
      <c r="AB24">
        <v>1</v>
      </c>
      <c r="AC24" s="3">
        <v>2</v>
      </c>
      <c r="AD24" s="3">
        <v>1</v>
      </c>
      <c r="AE24" t="s">
        <v>1429</v>
      </c>
      <c r="AF24" t="s">
        <v>1481</v>
      </c>
      <c r="AG24" t="s">
        <v>1482</v>
      </c>
      <c r="AH24" t="s">
        <v>1481</v>
      </c>
      <c r="AI24" t="s">
        <v>1432</v>
      </c>
      <c r="AJ24" t="s">
        <v>1483</v>
      </c>
      <c r="AK24" s="2"/>
    </row>
    <row r="25" spans="1:37" x14ac:dyDescent="0.45">
      <c r="A25" t="s">
        <v>1485</v>
      </c>
      <c r="B25" t="s">
        <v>653</v>
      </c>
      <c r="C25" t="s">
        <v>655</v>
      </c>
      <c r="D25" t="s">
        <v>653</v>
      </c>
      <c r="E25" s="2">
        <v>1</v>
      </c>
      <c r="F25" s="2"/>
      <c r="G25" s="3">
        <v>3.2820000000000002E-2</v>
      </c>
      <c r="H25" s="3">
        <v>5.3635999999999999</v>
      </c>
      <c r="I25" s="3">
        <v>0.23</v>
      </c>
      <c r="J25" s="3">
        <v>2.58</v>
      </c>
      <c r="M25" s="3">
        <v>2.02</v>
      </c>
      <c r="N25" s="3">
        <v>3159</v>
      </c>
      <c r="O25" s="3">
        <v>0.16400000000000001</v>
      </c>
      <c r="P25" s="3">
        <v>0.11899999999999999</v>
      </c>
      <c r="Q25" s="3">
        <v>-0.27</v>
      </c>
      <c r="R25" t="s">
        <v>1426</v>
      </c>
      <c r="S25">
        <v>0</v>
      </c>
      <c r="T25" t="s">
        <v>1427</v>
      </c>
      <c r="U25" s="3">
        <v>2017</v>
      </c>
      <c r="V25" s="3">
        <v>17.530383452070609</v>
      </c>
      <c r="W25" s="3">
        <v>20.009693772922201</v>
      </c>
      <c r="X25" s="3">
        <v>12.39054604726976</v>
      </c>
      <c r="Y25" t="s">
        <v>73</v>
      </c>
      <c r="Z25" s="3">
        <v>12.50658087471124</v>
      </c>
      <c r="AA25" t="s">
        <v>1428</v>
      </c>
      <c r="AB25">
        <v>1</v>
      </c>
      <c r="AC25" s="3">
        <v>2</v>
      </c>
      <c r="AD25" s="3">
        <v>1</v>
      </c>
      <c r="AE25" t="s">
        <v>1429</v>
      </c>
      <c r="AF25" t="s">
        <v>1481</v>
      </c>
      <c r="AG25" t="s">
        <v>1482</v>
      </c>
      <c r="AH25" t="s">
        <v>1481</v>
      </c>
      <c r="AI25" t="s">
        <v>1432</v>
      </c>
      <c r="AJ25" t="s">
        <v>1483</v>
      </c>
      <c r="AK25" s="2"/>
    </row>
    <row r="26" spans="1:37" x14ac:dyDescent="0.45">
      <c r="A26" t="s">
        <v>1486</v>
      </c>
      <c r="B26" t="s">
        <v>653</v>
      </c>
      <c r="C26" t="s">
        <v>655</v>
      </c>
      <c r="D26" t="s">
        <v>653</v>
      </c>
      <c r="E26" s="2">
        <v>1</v>
      </c>
      <c r="F26" s="2"/>
      <c r="G26" s="3">
        <v>0.12640000000000001</v>
      </c>
      <c r="H26" s="3">
        <v>40.54</v>
      </c>
      <c r="I26" s="3">
        <v>0.17</v>
      </c>
      <c r="J26" s="3">
        <v>0.17</v>
      </c>
      <c r="M26" s="3">
        <v>2.31</v>
      </c>
      <c r="N26" s="3">
        <v>3159</v>
      </c>
      <c r="O26" s="3">
        <v>0.16400000000000001</v>
      </c>
      <c r="P26" s="3">
        <v>0.11899999999999999</v>
      </c>
      <c r="Q26" s="3">
        <v>-0.27</v>
      </c>
      <c r="R26" t="s">
        <v>1426</v>
      </c>
      <c r="S26">
        <v>0</v>
      </c>
      <c r="T26" t="s">
        <v>1427</v>
      </c>
      <c r="U26" s="3">
        <v>2017</v>
      </c>
      <c r="V26" s="3">
        <v>17.530383452070609</v>
      </c>
      <c r="W26" s="3">
        <v>20.009693772922201</v>
      </c>
      <c r="X26" s="3">
        <v>12.39054604726976</v>
      </c>
      <c r="Y26" t="s">
        <v>73</v>
      </c>
      <c r="Z26" s="3">
        <v>12.50658087471124</v>
      </c>
      <c r="AA26" t="s">
        <v>1428</v>
      </c>
      <c r="AB26">
        <v>1</v>
      </c>
      <c r="AC26" s="3">
        <v>2</v>
      </c>
      <c r="AD26" s="3">
        <v>1</v>
      </c>
      <c r="AE26" t="s">
        <v>1429</v>
      </c>
      <c r="AF26" t="s">
        <v>1481</v>
      </c>
      <c r="AG26" t="s">
        <v>1482</v>
      </c>
      <c r="AH26" t="s">
        <v>1481</v>
      </c>
      <c r="AI26" t="s">
        <v>1432</v>
      </c>
      <c r="AJ26" t="s">
        <v>1483</v>
      </c>
      <c r="AK26" s="2"/>
    </row>
    <row r="27" spans="1:37" x14ac:dyDescent="0.45">
      <c r="A27" t="s">
        <v>893</v>
      </c>
      <c r="B27" t="s">
        <v>892</v>
      </c>
      <c r="C27" t="s">
        <v>894</v>
      </c>
      <c r="D27" t="s">
        <v>892</v>
      </c>
      <c r="E27" s="2">
        <v>1</v>
      </c>
      <c r="F27" s="2"/>
      <c r="G27" s="3">
        <v>9.6729999999999997E-2</v>
      </c>
      <c r="H27" s="3">
        <v>21.45</v>
      </c>
      <c r="I27" s="3">
        <v>0</v>
      </c>
      <c r="J27" s="3">
        <v>0.91</v>
      </c>
      <c r="K27" s="3">
        <v>272</v>
      </c>
      <c r="M27" s="3">
        <v>2.2999999999999998</v>
      </c>
      <c r="N27" s="3">
        <v>3340</v>
      </c>
      <c r="O27" s="3">
        <v>0.26200000000000001</v>
      </c>
      <c r="P27" s="3">
        <v>0.27500000000000002</v>
      </c>
      <c r="Q27" s="3">
        <v>-0.09</v>
      </c>
      <c r="R27" t="s">
        <v>1426</v>
      </c>
      <c r="S27">
        <v>0</v>
      </c>
      <c r="T27" t="s">
        <v>1427</v>
      </c>
      <c r="U27" s="3">
        <v>2026</v>
      </c>
      <c r="V27" s="3">
        <v>25.188209044482019</v>
      </c>
      <c r="W27" s="3">
        <v>24.67144687962762</v>
      </c>
      <c r="X27" s="3">
        <v>2.0945758364951108</v>
      </c>
      <c r="Y27" t="s">
        <v>73</v>
      </c>
      <c r="Z27" s="3">
        <v>28.60391520640119</v>
      </c>
      <c r="AA27" t="s">
        <v>1428</v>
      </c>
      <c r="AB27">
        <v>2</v>
      </c>
      <c r="AC27" s="3">
        <v>1</v>
      </c>
      <c r="AD27" s="3">
        <v>1</v>
      </c>
      <c r="AE27" t="s">
        <v>1429</v>
      </c>
      <c r="AF27" t="s">
        <v>1487</v>
      </c>
      <c r="AG27" t="s">
        <v>1488</v>
      </c>
      <c r="AH27" t="s">
        <v>1487</v>
      </c>
      <c r="AI27" t="s">
        <v>1432</v>
      </c>
      <c r="AJ27" t="s">
        <v>1489</v>
      </c>
      <c r="AK27" s="2"/>
    </row>
    <row r="28" spans="1:37" x14ac:dyDescent="0.45">
      <c r="A28" t="s">
        <v>702</v>
      </c>
      <c r="B28" t="s">
        <v>704</v>
      </c>
      <c r="C28" t="s">
        <v>703</v>
      </c>
      <c r="D28" t="s">
        <v>701</v>
      </c>
      <c r="E28" s="2">
        <v>1</v>
      </c>
      <c r="F28" s="2"/>
      <c r="G28" s="3">
        <v>0.14199999999999999</v>
      </c>
      <c r="H28" s="3">
        <v>24.422000000000001</v>
      </c>
      <c r="I28" s="3">
        <v>0.109</v>
      </c>
      <c r="M28" s="3">
        <v>10.6</v>
      </c>
      <c r="N28" s="3">
        <v>4014</v>
      </c>
      <c r="O28" s="3">
        <v>0.64</v>
      </c>
      <c r="P28" s="3">
        <v>0.57999999999999996</v>
      </c>
      <c r="Q28" s="3">
        <v>-0.03</v>
      </c>
      <c r="R28" t="s">
        <v>1426</v>
      </c>
      <c r="S28">
        <v>0</v>
      </c>
      <c r="T28" t="s">
        <v>1427</v>
      </c>
      <c r="U28" s="3">
        <v>2020</v>
      </c>
      <c r="V28" s="3">
        <v>20.654048312739398</v>
      </c>
      <c r="W28" s="3">
        <v>20.8472633508988</v>
      </c>
      <c r="X28" s="3">
        <v>0.92681247848806225</v>
      </c>
      <c r="Y28" t="s">
        <v>73</v>
      </c>
      <c r="Z28" s="3">
        <v>31.579368193404878</v>
      </c>
      <c r="AA28" t="s">
        <v>1428</v>
      </c>
      <c r="AB28">
        <v>2</v>
      </c>
      <c r="AC28" s="3">
        <v>1</v>
      </c>
      <c r="AD28" s="3">
        <v>2</v>
      </c>
      <c r="AE28" t="s">
        <v>1429</v>
      </c>
      <c r="AF28" t="s">
        <v>1490</v>
      </c>
      <c r="AG28" t="s">
        <v>1491</v>
      </c>
      <c r="AH28" t="s">
        <v>1490</v>
      </c>
      <c r="AI28" t="s">
        <v>1432</v>
      </c>
      <c r="AJ28" t="s">
        <v>1492</v>
      </c>
      <c r="AK28" s="2"/>
    </row>
    <row r="29" spans="1:37" x14ac:dyDescent="0.45">
      <c r="A29" t="s">
        <v>1493</v>
      </c>
      <c r="B29" t="s">
        <v>1338</v>
      </c>
      <c r="C29" t="s">
        <v>1337</v>
      </c>
      <c r="D29" t="s">
        <v>1335</v>
      </c>
      <c r="E29" s="2">
        <v>1</v>
      </c>
      <c r="F29" s="2"/>
      <c r="G29" s="3">
        <v>3.5999999999999997E-2</v>
      </c>
      <c r="H29" s="3">
        <v>3.9306000000000001</v>
      </c>
      <c r="K29" s="3">
        <v>518</v>
      </c>
      <c r="L29" s="3">
        <v>1.2</v>
      </c>
      <c r="N29" s="3">
        <v>3505</v>
      </c>
      <c r="O29" s="3">
        <v>0.34200000000000003</v>
      </c>
      <c r="P29" s="3">
        <v>0.33700000000000002</v>
      </c>
      <c r="Q29" s="3">
        <v>-0.12</v>
      </c>
      <c r="S29">
        <v>0</v>
      </c>
      <c r="T29" t="s">
        <v>1494</v>
      </c>
      <c r="U29" s="3">
        <v>2019</v>
      </c>
      <c r="V29" s="3">
        <v>30.79506548689724</v>
      </c>
      <c r="W29" s="3">
        <v>29.431046899648049</v>
      </c>
      <c r="X29" s="3">
        <v>4.6346247617358944</v>
      </c>
      <c r="Y29" t="s">
        <v>73</v>
      </c>
      <c r="Z29" s="3">
        <v>15.521471675147099</v>
      </c>
      <c r="AA29" t="s">
        <v>1428</v>
      </c>
      <c r="AB29">
        <v>6</v>
      </c>
      <c r="AC29" s="3">
        <v>3</v>
      </c>
      <c r="AD29" s="3">
        <v>1</v>
      </c>
      <c r="AE29" t="s">
        <v>1429</v>
      </c>
      <c r="AF29" t="s">
        <v>1495</v>
      </c>
      <c r="AG29" t="s">
        <v>1496</v>
      </c>
      <c r="AH29" t="s">
        <v>1495</v>
      </c>
      <c r="AI29" t="s">
        <v>1432</v>
      </c>
      <c r="AJ29" t="s">
        <v>1497</v>
      </c>
      <c r="AK29" s="2"/>
    </row>
    <row r="30" spans="1:37" x14ac:dyDescent="0.45">
      <c r="A30" t="s">
        <v>1498</v>
      </c>
      <c r="B30" t="s">
        <v>1338</v>
      </c>
      <c r="C30" t="s">
        <v>1337</v>
      </c>
      <c r="D30" t="s">
        <v>1335</v>
      </c>
      <c r="E30" s="2">
        <v>1</v>
      </c>
      <c r="F30" s="2"/>
      <c r="G30" s="3">
        <v>6.0999999999999999E-2</v>
      </c>
      <c r="H30" s="3">
        <v>9.1247000000000007</v>
      </c>
      <c r="J30" s="3">
        <v>4.45</v>
      </c>
      <c r="K30" s="3">
        <v>401.2</v>
      </c>
      <c r="M30" s="3">
        <v>3.4</v>
      </c>
      <c r="N30" s="3">
        <v>3505</v>
      </c>
      <c r="O30" s="3">
        <v>0.34200000000000003</v>
      </c>
      <c r="P30" s="3">
        <v>0.33700000000000002</v>
      </c>
      <c r="Q30" s="3">
        <v>-0.12</v>
      </c>
      <c r="R30" t="s">
        <v>1426</v>
      </c>
      <c r="S30">
        <v>0</v>
      </c>
      <c r="T30" t="s">
        <v>1427</v>
      </c>
      <c r="U30" s="3">
        <v>2019</v>
      </c>
      <c r="V30" s="3">
        <v>30.79506548689724</v>
      </c>
      <c r="W30" s="3">
        <v>29.431046899648049</v>
      </c>
      <c r="X30" s="3">
        <v>4.6346247617358944</v>
      </c>
      <c r="Y30" t="s">
        <v>73</v>
      </c>
      <c r="Z30" s="3">
        <v>15.521471675147099</v>
      </c>
      <c r="AA30" t="s">
        <v>1428</v>
      </c>
      <c r="AB30">
        <v>1</v>
      </c>
      <c r="AC30" s="3">
        <v>3</v>
      </c>
      <c r="AD30" s="3">
        <v>1</v>
      </c>
      <c r="AE30" t="s">
        <v>1429</v>
      </c>
      <c r="AF30" t="s">
        <v>1499</v>
      </c>
      <c r="AG30" t="s">
        <v>1500</v>
      </c>
      <c r="AH30" t="s">
        <v>1499</v>
      </c>
      <c r="AI30" t="s">
        <v>1432</v>
      </c>
      <c r="AJ30" t="s">
        <v>1501</v>
      </c>
      <c r="AK30" s="2"/>
    </row>
    <row r="31" spans="1:37" x14ac:dyDescent="0.45">
      <c r="A31" t="s">
        <v>1502</v>
      </c>
      <c r="B31" t="s">
        <v>1338</v>
      </c>
      <c r="C31" t="s">
        <v>1337</v>
      </c>
      <c r="D31" t="s">
        <v>1335</v>
      </c>
      <c r="E31" s="2">
        <v>1</v>
      </c>
      <c r="F31" s="2"/>
      <c r="G31" s="3">
        <v>0.20399999999999999</v>
      </c>
      <c r="H31" s="3">
        <v>55.661000000000001</v>
      </c>
      <c r="J31" s="3">
        <v>0.38</v>
      </c>
      <c r="K31" s="3">
        <v>219.6</v>
      </c>
      <c r="M31" s="3">
        <v>6.1</v>
      </c>
      <c r="N31" s="3">
        <v>3505</v>
      </c>
      <c r="O31" s="3">
        <v>0.34200000000000003</v>
      </c>
      <c r="P31" s="3">
        <v>0.33700000000000002</v>
      </c>
      <c r="Q31" s="3">
        <v>-0.12</v>
      </c>
      <c r="R31" t="s">
        <v>1426</v>
      </c>
      <c r="S31">
        <v>0</v>
      </c>
      <c r="T31" t="s">
        <v>1427</v>
      </c>
      <c r="U31" s="3">
        <v>2019</v>
      </c>
      <c r="V31" s="3">
        <v>30.79506548689724</v>
      </c>
      <c r="W31" s="3">
        <v>29.431046899648049</v>
      </c>
      <c r="X31" s="3">
        <v>4.6346247617358944</v>
      </c>
      <c r="Y31" t="s">
        <v>73</v>
      </c>
      <c r="Z31" s="3">
        <v>15.521471675147099</v>
      </c>
      <c r="AA31" t="s">
        <v>1428</v>
      </c>
      <c r="AB31">
        <v>1</v>
      </c>
      <c r="AC31" s="3">
        <v>3</v>
      </c>
      <c r="AD31" s="3">
        <v>1</v>
      </c>
      <c r="AE31" t="s">
        <v>1429</v>
      </c>
      <c r="AF31" t="s">
        <v>1499</v>
      </c>
      <c r="AG31" t="s">
        <v>1500</v>
      </c>
      <c r="AH31" t="s">
        <v>1499</v>
      </c>
      <c r="AI31" t="s">
        <v>1432</v>
      </c>
      <c r="AJ31" t="s">
        <v>1501</v>
      </c>
      <c r="AK31" s="2"/>
    </row>
    <row r="32" spans="1:37" x14ac:dyDescent="0.45">
      <c r="A32" t="s">
        <v>805</v>
      </c>
      <c r="B32" t="s">
        <v>807</v>
      </c>
      <c r="C32" t="s">
        <v>806</v>
      </c>
      <c r="D32" t="s">
        <v>804</v>
      </c>
      <c r="E32" s="2">
        <v>1</v>
      </c>
      <c r="F32" s="2"/>
      <c r="G32" s="3">
        <v>5.4019999999999999E-2</v>
      </c>
      <c r="H32" s="3">
        <v>7.0267900000000001</v>
      </c>
      <c r="J32" s="3">
        <v>9.2100000000000009</v>
      </c>
      <c r="K32" s="3">
        <v>485</v>
      </c>
      <c r="M32" s="3">
        <v>1.71</v>
      </c>
      <c r="N32" s="3">
        <v>3579</v>
      </c>
      <c r="O32" s="3">
        <v>0.42599999999999999</v>
      </c>
      <c r="P32" s="3">
        <v>0.42599999999999999</v>
      </c>
      <c r="Q32" s="3">
        <v>-0.09</v>
      </c>
      <c r="R32" t="s">
        <v>1426</v>
      </c>
      <c r="S32">
        <v>0</v>
      </c>
      <c r="T32" t="s">
        <v>1427</v>
      </c>
      <c r="U32" s="3">
        <v>2021</v>
      </c>
      <c r="V32" s="3">
        <v>22.93365308351504</v>
      </c>
      <c r="W32" s="3">
        <v>23.04979736961997</v>
      </c>
      <c r="X32" s="3">
        <v>0.50388419578044941</v>
      </c>
      <c r="Y32" t="s">
        <v>73</v>
      </c>
      <c r="Z32" s="3">
        <v>14.713859328387541</v>
      </c>
      <c r="AA32" t="s">
        <v>1428</v>
      </c>
      <c r="AB32">
        <v>1</v>
      </c>
      <c r="AC32" s="3">
        <v>1</v>
      </c>
      <c r="AD32" s="3">
        <v>1</v>
      </c>
      <c r="AE32" t="s">
        <v>1429</v>
      </c>
      <c r="AF32" t="s">
        <v>1503</v>
      </c>
      <c r="AG32" t="s">
        <v>1504</v>
      </c>
      <c r="AH32" t="s">
        <v>1503</v>
      </c>
      <c r="AI32" t="s">
        <v>1432</v>
      </c>
      <c r="AJ32" t="s">
        <v>1505</v>
      </c>
      <c r="AK32" s="2"/>
    </row>
    <row r="33" spans="1:37" x14ac:dyDescent="0.45">
      <c r="A33" t="s">
        <v>1506</v>
      </c>
      <c r="B33" t="s">
        <v>87</v>
      </c>
      <c r="C33" t="s">
        <v>86</v>
      </c>
      <c r="D33" t="s">
        <v>83</v>
      </c>
      <c r="E33" s="2">
        <v>1</v>
      </c>
      <c r="F33" s="2"/>
      <c r="G33" s="3">
        <v>7.8789999999999999E-2</v>
      </c>
      <c r="H33" s="3">
        <v>12.939399999999999</v>
      </c>
      <c r="I33" s="3">
        <v>6.3E-2</v>
      </c>
      <c r="M33" s="3">
        <v>2.69</v>
      </c>
      <c r="N33" s="3">
        <v>3719</v>
      </c>
      <c r="O33" s="3">
        <v>0.38990000000000002</v>
      </c>
      <c r="P33" s="3">
        <v>0.36849999999999999</v>
      </c>
      <c r="Q33" s="3">
        <v>-0.36209999999999998</v>
      </c>
      <c r="R33" t="s">
        <v>1426</v>
      </c>
      <c r="S33">
        <v>0</v>
      </c>
      <c r="T33" t="s">
        <v>1427</v>
      </c>
      <c r="U33" s="3">
        <v>2019</v>
      </c>
      <c r="V33" s="3">
        <v>18.51189562422493</v>
      </c>
      <c r="W33" s="3">
        <v>8.306876784067736</v>
      </c>
      <c r="X33" s="3">
        <v>122.85024932270601</v>
      </c>
      <c r="Y33" t="s">
        <v>73</v>
      </c>
      <c r="Z33" s="3">
        <v>8.7840391381335454</v>
      </c>
      <c r="AA33" t="s">
        <v>1428</v>
      </c>
      <c r="AB33">
        <v>5</v>
      </c>
      <c r="AC33" s="3">
        <v>2</v>
      </c>
      <c r="AD33" s="3">
        <v>1</v>
      </c>
      <c r="AE33" t="s">
        <v>1429</v>
      </c>
      <c r="AF33" t="s">
        <v>1507</v>
      </c>
      <c r="AG33" t="s">
        <v>1508</v>
      </c>
      <c r="AH33" t="s">
        <v>1507</v>
      </c>
      <c r="AI33" t="s">
        <v>1432</v>
      </c>
      <c r="AJ33" t="s">
        <v>1509</v>
      </c>
      <c r="AK33" s="2"/>
    </row>
    <row r="34" spans="1:37" x14ac:dyDescent="0.45">
      <c r="A34" t="s">
        <v>1510</v>
      </c>
      <c r="B34" t="s">
        <v>847</v>
      </c>
      <c r="C34" t="s">
        <v>849</v>
      </c>
      <c r="D34" t="s">
        <v>847</v>
      </c>
      <c r="E34" s="2">
        <v>1</v>
      </c>
      <c r="F34" s="2"/>
      <c r="G34" s="3">
        <v>1.5299999999999999E-2</v>
      </c>
      <c r="H34" s="3">
        <v>1.6338999999999999</v>
      </c>
      <c r="J34" s="3">
        <v>14.7</v>
      </c>
      <c r="M34" s="3">
        <v>2.97</v>
      </c>
      <c r="N34" s="3">
        <v>3228</v>
      </c>
      <c r="O34" s="3">
        <v>0.18</v>
      </c>
      <c r="P34" s="3">
        <v>0.19</v>
      </c>
      <c r="Q34" s="3">
        <v>-0.19</v>
      </c>
      <c r="R34" t="s">
        <v>1426</v>
      </c>
      <c r="S34">
        <v>0</v>
      </c>
      <c r="T34" t="s">
        <v>1427</v>
      </c>
      <c r="U34" s="3">
        <v>2026</v>
      </c>
      <c r="V34" s="3">
        <v>23.599240403521591</v>
      </c>
      <c r="W34" s="3">
        <v>24.32180724271527</v>
      </c>
      <c r="X34" s="3">
        <v>2.9708599857853479</v>
      </c>
      <c r="Y34" t="s">
        <v>73</v>
      </c>
      <c r="Z34" s="3">
        <v>14.35632537573715</v>
      </c>
      <c r="AA34" t="s">
        <v>1428</v>
      </c>
      <c r="AB34">
        <v>1</v>
      </c>
      <c r="AC34" s="3">
        <v>2</v>
      </c>
      <c r="AD34" s="3">
        <v>1</v>
      </c>
      <c r="AE34" t="s">
        <v>1429</v>
      </c>
      <c r="AF34" t="s">
        <v>1511</v>
      </c>
      <c r="AG34" t="s">
        <v>1512</v>
      </c>
      <c r="AH34" t="s">
        <v>1511</v>
      </c>
      <c r="AI34" t="s">
        <v>1432</v>
      </c>
      <c r="AJ34" t="s">
        <v>1513</v>
      </c>
      <c r="AK34" s="2"/>
    </row>
    <row r="35" spans="1:37" x14ac:dyDescent="0.45">
      <c r="A35" t="s">
        <v>1514</v>
      </c>
      <c r="B35" t="s">
        <v>847</v>
      </c>
      <c r="C35" t="s">
        <v>849</v>
      </c>
      <c r="D35" t="s">
        <v>847</v>
      </c>
      <c r="E35" s="2">
        <v>1</v>
      </c>
      <c r="F35" s="2"/>
      <c r="G35" s="3">
        <v>0.186</v>
      </c>
      <c r="H35" s="3">
        <v>69.569999999999993</v>
      </c>
      <c r="J35" s="3">
        <v>0.1</v>
      </c>
      <c r="M35" s="3">
        <v>8.39</v>
      </c>
      <c r="N35" s="3">
        <v>3228</v>
      </c>
      <c r="O35" s="3">
        <v>0.18</v>
      </c>
      <c r="P35" s="3">
        <v>0.19</v>
      </c>
      <c r="Q35" s="3">
        <v>-0.19</v>
      </c>
      <c r="R35" t="s">
        <v>1426</v>
      </c>
      <c r="S35">
        <v>0</v>
      </c>
      <c r="T35" t="s">
        <v>1427</v>
      </c>
      <c r="U35" s="3">
        <v>2026</v>
      </c>
      <c r="V35" s="3">
        <v>23.599240403521591</v>
      </c>
      <c r="W35" s="3">
        <v>24.32180724271527</v>
      </c>
      <c r="X35" s="3">
        <v>2.9708599857853479</v>
      </c>
      <c r="Y35" t="s">
        <v>73</v>
      </c>
      <c r="Z35" s="3">
        <v>14.35632537573715</v>
      </c>
      <c r="AA35" t="s">
        <v>1428</v>
      </c>
      <c r="AB35">
        <v>1</v>
      </c>
      <c r="AC35" s="3">
        <v>2</v>
      </c>
      <c r="AD35" s="3">
        <v>1</v>
      </c>
      <c r="AE35" t="s">
        <v>1429</v>
      </c>
      <c r="AF35" t="s">
        <v>1511</v>
      </c>
      <c r="AG35" t="s">
        <v>1512</v>
      </c>
      <c r="AH35" t="s">
        <v>1511</v>
      </c>
      <c r="AI35" t="s">
        <v>1432</v>
      </c>
      <c r="AJ35" t="s">
        <v>1513</v>
      </c>
      <c r="AK35" s="2"/>
    </row>
    <row r="36" spans="1:37" x14ac:dyDescent="0.45">
      <c r="A36" t="s">
        <v>1515</v>
      </c>
      <c r="B36" t="s">
        <v>1269</v>
      </c>
      <c r="C36" t="s">
        <v>1268</v>
      </c>
      <c r="D36" t="s">
        <v>1266</v>
      </c>
      <c r="E36" s="2">
        <v>1</v>
      </c>
      <c r="F36" s="2"/>
      <c r="G36" s="3">
        <v>6.2E-2</v>
      </c>
      <c r="H36" s="3">
        <v>7.3704999999999998</v>
      </c>
      <c r="I36" s="3">
        <v>0.04</v>
      </c>
      <c r="M36" s="3">
        <v>6.0430000000000001</v>
      </c>
      <c r="O36" s="3">
        <v>0.48</v>
      </c>
      <c r="R36" t="s">
        <v>1426</v>
      </c>
      <c r="S36">
        <v>0</v>
      </c>
      <c r="T36" t="s">
        <v>1427</v>
      </c>
      <c r="U36" s="3">
        <v>2013</v>
      </c>
      <c r="V36" s="3">
        <v>29.564640551960832</v>
      </c>
      <c r="W36" s="3">
        <v>28.97116640706744</v>
      </c>
      <c r="X36" s="3">
        <v>2.048499313264136</v>
      </c>
      <c r="Y36" t="s">
        <v>73</v>
      </c>
      <c r="Z36" s="3">
        <v>13.22413003620891</v>
      </c>
      <c r="AA36" t="s">
        <v>1428</v>
      </c>
      <c r="AB36">
        <v>4</v>
      </c>
      <c r="AC36" s="3">
        <v>3</v>
      </c>
      <c r="AD36" s="3">
        <v>1</v>
      </c>
      <c r="AE36" t="s">
        <v>1429</v>
      </c>
      <c r="AF36" t="s">
        <v>1516</v>
      </c>
      <c r="AG36" t="s">
        <v>1517</v>
      </c>
      <c r="AH36" t="s">
        <v>1516</v>
      </c>
      <c r="AI36" t="s">
        <v>1432</v>
      </c>
      <c r="AJ36" t="s">
        <v>1518</v>
      </c>
      <c r="AK36" s="2"/>
    </row>
    <row r="37" spans="1:37" x14ac:dyDescent="0.45">
      <c r="A37" t="s">
        <v>1519</v>
      </c>
      <c r="B37" t="s">
        <v>1269</v>
      </c>
      <c r="C37" t="s">
        <v>1268</v>
      </c>
      <c r="D37" t="s">
        <v>1266</v>
      </c>
      <c r="E37" s="2">
        <v>1</v>
      </c>
      <c r="F37" s="2"/>
      <c r="G37" s="3">
        <v>4.819</v>
      </c>
      <c r="H37" s="3">
        <v>5094.1049999999996</v>
      </c>
      <c r="I37" s="3">
        <v>0.12</v>
      </c>
      <c r="M37" s="3">
        <v>32.421999999999997</v>
      </c>
      <c r="O37" s="3">
        <v>0.48</v>
      </c>
      <c r="R37" t="s">
        <v>1426</v>
      </c>
      <c r="S37">
        <v>0</v>
      </c>
      <c r="T37" t="s">
        <v>1427</v>
      </c>
      <c r="U37" s="3">
        <v>2014</v>
      </c>
      <c r="V37" s="3">
        <v>29.564640551960832</v>
      </c>
      <c r="W37" s="3">
        <v>28.97116640706744</v>
      </c>
      <c r="X37" s="3">
        <v>2.048499313264136</v>
      </c>
      <c r="Y37" t="s">
        <v>73</v>
      </c>
      <c r="Z37" s="3">
        <v>13.22413003620891</v>
      </c>
      <c r="AA37" t="s">
        <v>1428</v>
      </c>
      <c r="AB37">
        <v>2</v>
      </c>
      <c r="AC37" s="3">
        <v>3</v>
      </c>
      <c r="AD37" s="3">
        <v>1</v>
      </c>
      <c r="AE37" t="s">
        <v>1429</v>
      </c>
      <c r="AF37" t="s">
        <v>1516</v>
      </c>
      <c r="AG37" t="s">
        <v>1517</v>
      </c>
      <c r="AH37" t="s">
        <v>1516</v>
      </c>
      <c r="AI37" t="s">
        <v>1432</v>
      </c>
      <c r="AJ37" t="s">
        <v>1520</v>
      </c>
      <c r="AK37" s="2"/>
    </row>
    <row r="38" spans="1:37" x14ac:dyDescent="0.45">
      <c r="A38" t="s">
        <v>1521</v>
      </c>
      <c r="B38" t="s">
        <v>1269</v>
      </c>
      <c r="C38" t="s">
        <v>1268</v>
      </c>
      <c r="D38" t="s">
        <v>1266</v>
      </c>
      <c r="E38" s="2">
        <v>1</v>
      </c>
      <c r="F38" s="2"/>
      <c r="G38" s="3">
        <v>0.17799999999999999</v>
      </c>
      <c r="H38" s="3">
        <v>36.058999999999997</v>
      </c>
      <c r="I38" s="3">
        <v>7.0000000000000007E-2</v>
      </c>
      <c r="M38" s="3">
        <v>5.2229999999999999</v>
      </c>
      <c r="O38" s="3">
        <v>0.48</v>
      </c>
      <c r="R38" t="s">
        <v>1426</v>
      </c>
      <c r="S38">
        <v>0</v>
      </c>
      <c r="T38" t="s">
        <v>1427</v>
      </c>
      <c r="U38" s="3">
        <v>2020</v>
      </c>
      <c r="V38" s="3">
        <v>29.564640551960832</v>
      </c>
      <c r="W38" s="3">
        <v>28.97116640706744</v>
      </c>
      <c r="X38" s="3">
        <v>2.048499313264136</v>
      </c>
      <c r="Y38" t="s">
        <v>73</v>
      </c>
      <c r="Z38" s="3">
        <v>13.22413003620891</v>
      </c>
      <c r="AA38" t="s">
        <v>1428</v>
      </c>
      <c r="AB38">
        <v>1</v>
      </c>
      <c r="AC38" s="3">
        <v>3</v>
      </c>
      <c r="AD38" s="3">
        <v>1</v>
      </c>
      <c r="AE38" t="s">
        <v>1429</v>
      </c>
      <c r="AF38" t="s">
        <v>1516</v>
      </c>
      <c r="AG38" t="s">
        <v>1517</v>
      </c>
      <c r="AH38" t="s">
        <v>1516</v>
      </c>
      <c r="AI38" t="s">
        <v>1432</v>
      </c>
      <c r="AJ38" t="s">
        <v>1518</v>
      </c>
      <c r="AK38" s="2"/>
    </row>
    <row r="39" spans="1:37" x14ac:dyDescent="0.45">
      <c r="A39" t="s">
        <v>1102</v>
      </c>
      <c r="B39" t="s">
        <v>1104</v>
      </c>
      <c r="C39" t="s">
        <v>1103</v>
      </c>
      <c r="D39" t="s">
        <v>1101</v>
      </c>
      <c r="E39" s="2">
        <v>1</v>
      </c>
      <c r="F39" s="2"/>
      <c r="G39" s="3">
        <v>1.7139999999999999E-2</v>
      </c>
      <c r="H39" s="3">
        <v>1.46712127</v>
      </c>
      <c r="I39" s="3">
        <v>8.5999999999999998E-4</v>
      </c>
      <c r="J39" s="3">
        <v>39.200000000000003</v>
      </c>
      <c r="K39" s="3">
        <v>696.3</v>
      </c>
      <c r="L39" s="3">
        <v>1.2889999999999999</v>
      </c>
      <c r="M39" s="3">
        <v>2.77</v>
      </c>
      <c r="N39" s="3">
        <v>3317</v>
      </c>
      <c r="O39" s="3">
        <v>0.312</v>
      </c>
      <c r="P39" s="3">
        <v>0.32429999999999998</v>
      </c>
      <c r="Q39" s="3">
        <v>-0.15</v>
      </c>
      <c r="R39" t="s">
        <v>1453</v>
      </c>
      <c r="S39">
        <v>0</v>
      </c>
      <c r="T39" t="s">
        <v>1427</v>
      </c>
      <c r="U39" s="3">
        <v>2021</v>
      </c>
      <c r="V39" s="3">
        <v>26.334713943431922</v>
      </c>
      <c r="W39" s="3">
        <v>27.300267284024571</v>
      </c>
      <c r="X39" s="3">
        <v>3.5367907960288121</v>
      </c>
      <c r="Y39" t="s">
        <v>73</v>
      </c>
      <c r="Z39" s="3">
        <v>17.30201490810974</v>
      </c>
      <c r="AA39" t="s">
        <v>1428</v>
      </c>
      <c r="AB39">
        <v>4</v>
      </c>
      <c r="AC39" s="3">
        <v>1</v>
      </c>
      <c r="AD39" s="3">
        <v>1</v>
      </c>
      <c r="AE39" t="s">
        <v>1429</v>
      </c>
      <c r="AF39" t="s">
        <v>1522</v>
      </c>
      <c r="AG39" t="s">
        <v>1523</v>
      </c>
      <c r="AH39" t="s">
        <v>1522</v>
      </c>
      <c r="AI39" t="s">
        <v>1432</v>
      </c>
      <c r="AJ39" t="s">
        <v>1524</v>
      </c>
      <c r="AK39" s="2"/>
    </row>
    <row r="40" spans="1:37" x14ac:dyDescent="0.45">
      <c r="A40" t="s">
        <v>910</v>
      </c>
      <c r="B40" t="s">
        <v>912</v>
      </c>
      <c r="C40" t="s">
        <v>911</v>
      </c>
      <c r="D40" t="s">
        <v>909</v>
      </c>
      <c r="E40" s="2">
        <v>1</v>
      </c>
      <c r="F40" s="2"/>
      <c r="G40" s="3">
        <v>0.42199999999999999</v>
      </c>
      <c r="H40" s="3">
        <v>140.43</v>
      </c>
      <c r="I40" s="3">
        <v>0.45</v>
      </c>
      <c r="J40" s="3">
        <v>0.28000000000000003</v>
      </c>
      <c r="K40" s="3">
        <v>202</v>
      </c>
      <c r="M40" s="3">
        <v>5.2</v>
      </c>
      <c r="N40" s="3">
        <v>3728</v>
      </c>
      <c r="O40" s="3">
        <v>0.51</v>
      </c>
      <c r="P40" s="3">
        <v>0.5</v>
      </c>
      <c r="Q40" s="3">
        <v>-0.14000000000000001</v>
      </c>
      <c r="R40" t="s">
        <v>1426</v>
      </c>
      <c r="S40">
        <v>0</v>
      </c>
      <c r="T40" t="s">
        <v>1427</v>
      </c>
      <c r="U40" s="3">
        <v>2022</v>
      </c>
      <c r="V40" s="3">
        <v>24.845875310430529</v>
      </c>
      <c r="W40" s="3">
        <v>24.969879965238441</v>
      </c>
      <c r="X40" s="3">
        <v>0.49661694401630641</v>
      </c>
      <c r="Y40" t="s">
        <v>73</v>
      </c>
      <c r="Z40" s="3">
        <v>24.229311656610509</v>
      </c>
      <c r="AA40" t="s">
        <v>1428</v>
      </c>
      <c r="AB40">
        <v>1</v>
      </c>
      <c r="AC40" s="3">
        <v>1</v>
      </c>
      <c r="AD40" s="3">
        <v>1</v>
      </c>
      <c r="AE40" t="s">
        <v>1429</v>
      </c>
      <c r="AF40" t="s">
        <v>1525</v>
      </c>
      <c r="AG40" t="s">
        <v>1526</v>
      </c>
      <c r="AH40" t="s">
        <v>1525</v>
      </c>
      <c r="AI40" t="s">
        <v>1432</v>
      </c>
      <c r="AJ40" t="s">
        <v>1527</v>
      </c>
      <c r="AK40" s="2"/>
    </row>
    <row r="41" spans="1:37" x14ac:dyDescent="0.45">
      <c r="A41" t="s">
        <v>1528</v>
      </c>
      <c r="B41" t="s">
        <v>690</v>
      </c>
      <c r="C41" t="s">
        <v>689</v>
      </c>
      <c r="D41" t="s">
        <v>687</v>
      </c>
      <c r="E41" s="2">
        <v>1</v>
      </c>
      <c r="F41" s="2"/>
      <c r="G41" s="3">
        <v>3.9899999999999998E-2</v>
      </c>
      <c r="H41" s="3">
        <v>5.3685999999999998</v>
      </c>
      <c r="I41" s="3">
        <v>3.4200000000000001E-2</v>
      </c>
      <c r="M41" s="3">
        <v>20.5</v>
      </c>
      <c r="N41" s="3">
        <v>3500</v>
      </c>
      <c r="O41" s="3">
        <v>0.29499999999999998</v>
      </c>
      <c r="P41" s="3">
        <v>0.30199999999999999</v>
      </c>
      <c r="Q41" s="3">
        <v>-0.08</v>
      </c>
      <c r="R41" t="s">
        <v>1453</v>
      </c>
      <c r="S41">
        <v>0</v>
      </c>
      <c r="T41" t="s">
        <v>1427</v>
      </c>
      <c r="U41" s="3">
        <v>2005</v>
      </c>
      <c r="V41" s="3">
        <v>20.54165482497821</v>
      </c>
      <c r="W41" s="3">
        <v>20.269640405962441</v>
      </c>
      <c r="X41" s="3">
        <v>1.341979500217229</v>
      </c>
      <c r="Y41" t="s">
        <v>73</v>
      </c>
      <c r="Z41" s="3">
        <v>19.063266078559518</v>
      </c>
      <c r="AA41" t="s">
        <v>1428</v>
      </c>
      <c r="AB41">
        <v>7</v>
      </c>
      <c r="AC41" s="3">
        <v>3</v>
      </c>
      <c r="AD41" s="3">
        <v>1</v>
      </c>
      <c r="AE41" t="s">
        <v>1429</v>
      </c>
      <c r="AF41" t="s">
        <v>1529</v>
      </c>
      <c r="AG41" t="s">
        <v>1530</v>
      </c>
      <c r="AH41" t="s">
        <v>1529</v>
      </c>
      <c r="AI41" t="s">
        <v>1432</v>
      </c>
      <c r="AJ41" t="s">
        <v>1531</v>
      </c>
      <c r="AK41" s="2"/>
    </row>
    <row r="42" spans="1:37" x14ac:dyDescent="0.45">
      <c r="A42" t="s">
        <v>1532</v>
      </c>
      <c r="B42" t="s">
        <v>690</v>
      </c>
      <c r="C42" t="s">
        <v>689</v>
      </c>
      <c r="D42" t="s">
        <v>687</v>
      </c>
      <c r="E42" s="2">
        <v>1</v>
      </c>
      <c r="F42" s="2"/>
      <c r="G42" s="3">
        <v>7.1800000000000003E-2</v>
      </c>
      <c r="H42" s="3">
        <v>12.921099999999999</v>
      </c>
      <c r="I42" s="3">
        <v>3.2000000000000001E-2</v>
      </c>
      <c r="M42" s="3">
        <v>6.81</v>
      </c>
      <c r="N42" s="3">
        <v>3500</v>
      </c>
      <c r="O42" s="3">
        <v>0.29499999999999998</v>
      </c>
      <c r="P42" s="3">
        <v>0.30199999999999999</v>
      </c>
      <c r="Q42" s="3">
        <v>-0.08</v>
      </c>
      <c r="R42" t="s">
        <v>1453</v>
      </c>
      <c r="S42">
        <v>0</v>
      </c>
      <c r="T42" t="s">
        <v>1427</v>
      </c>
      <c r="U42" s="3">
        <v>2007</v>
      </c>
      <c r="V42" s="3">
        <v>20.54165482497821</v>
      </c>
      <c r="W42" s="3">
        <v>20.269640405962441</v>
      </c>
      <c r="X42" s="3">
        <v>1.341979500217229</v>
      </c>
      <c r="Y42" t="s">
        <v>73</v>
      </c>
      <c r="Z42" s="3">
        <v>19.063266078559518</v>
      </c>
      <c r="AA42" t="s">
        <v>1428</v>
      </c>
      <c r="AB42">
        <v>6</v>
      </c>
      <c r="AC42" s="3">
        <v>3</v>
      </c>
      <c r="AD42" s="3">
        <v>1</v>
      </c>
      <c r="AE42" t="s">
        <v>1429</v>
      </c>
      <c r="AF42" t="s">
        <v>1529</v>
      </c>
      <c r="AG42" t="s">
        <v>1530</v>
      </c>
      <c r="AH42" t="s">
        <v>1529</v>
      </c>
      <c r="AI42" t="s">
        <v>1432</v>
      </c>
      <c r="AJ42" t="s">
        <v>1531</v>
      </c>
      <c r="AK42" s="2"/>
    </row>
    <row r="43" spans="1:37" x14ac:dyDescent="0.45">
      <c r="A43" t="s">
        <v>1533</v>
      </c>
      <c r="B43" t="s">
        <v>690</v>
      </c>
      <c r="C43" t="s">
        <v>689</v>
      </c>
      <c r="D43" t="s">
        <v>687</v>
      </c>
      <c r="E43" s="2">
        <v>1</v>
      </c>
      <c r="F43" s="2"/>
      <c r="G43" s="3">
        <v>2.7990000000000001E-2</v>
      </c>
      <c r="H43" s="3">
        <v>3.1480999999999999</v>
      </c>
      <c r="I43" s="3">
        <v>1.2E-2</v>
      </c>
      <c r="M43" s="3">
        <v>2.48</v>
      </c>
      <c r="N43" s="3">
        <v>3500</v>
      </c>
      <c r="O43" s="3">
        <v>0.29499999999999998</v>
      </c>
      <c r="P43" s="3">
        <v>0.30199999999999999</v>
      </c>
      <c r="Q43" s="3">
        <v>-0.08</v>
      </c>
      <c r="R43" t="s">
        <v>1453</v>
      </c>
      <c r="S43">
        <v>0</v>
      </c>
      <c r="T43" t="s">
        <v>1427</v>
      </c>
      <c r="U43" s="3">
        <v>2009</v>
      </c>
      <c r="V43" s="3">
        <v>20.54165482497821</v>
      </c>
      <c r="W43" s="3">
        <v>20.269640405962441</v>
      </c>
      <c r="X43" s="3">
        <v>1.341979500217229</v>
      </c>
      <c r="Y43" t="s">
        <v>73</v>
      </c>
      <c r="Z43" s="3">
        <v>19.063266078559518</v>
      </c>
      <c r="AA43" t="s">
        <v>1428</v>
      </c>
      <c r="AB43">
        <v>5</v>
      </c>
      <c r="AC43" s="3">
        <v>3</v>
      </c>
      <c r="AD43" s="3">
        <v>1</v>
      </c>
      <c r="AE43" t="s">
        <v>1429</v>
      </c>
      <c r="AF43" t="s">
        <v>1529</v>
      </c>
      <c r="AG43" t="s">
        <v>1530</v>
      </c>
      <c r="AH43" t="s">
        <v>1529</v>
      </c>
      <c r="AI43" t="s">
        <v>1432</v>
      </c>
      <c r="AJ43" t="s">
        <v>1531</v>
      </c>
      <c r="AK43" s="2"/>
    </row>
    <row r="44" spans="1:37" x14ac:dyDescent="0.45">
      <c r="A44" t="s">
        <v>716</v>
      </c>
      <c r="B44" t="s">
        <v>718</v>
      </c>
      <c r="C44" t="s">
        <v>717</v>
      </c>
      <c r="D44" t="s">
        <v>715</v>
      </c>
      <c r="E44" s="2">
        <v>1</v>
      </c>
      <c r="F44" s="2"/>
      <c r="G44" s="3">
        <v>7.8361E-2</v>
      </c>
      <c r="H44" s="3">
        <v>14.628</v>
      </c>
      <c r="I44" s="3">
        <v>0.13</v>
      </c>
      <c r="M44" s="3">
        <v>2.82</v>
      </c>
      <c r="N44" s="3">
        <v>3499</v>
      </c>
      <c r="O44" s="3">
        <v>0.3</v>
      </c>
      <c r="P44" s="3">
        <v>0.31</v>
      </c>
      <c r="Q44" s="3">
        <v>-0.38</v>
      </c>
      <c r="R44" t="s">
        <v>1426</v>
      </c>
      <c r="S44">
        <v>0</v>
      </c>
      <c r="T44" t="s">
        <v>1427</v>
      </c>
      <c r="U44" s="3">
        <v>2017</v>
      </c>
      <c r="V44" s="3">
        <v>21.110438932078441</v>
      </c>
      <c r="W44" s="3">
        <v>21.253654197533859</v>
      </c>
      <c r="X44" s="3">
        <v>0.67383831563440455</v>
      </c>
      <c r="Y44" t="s">
        <v>73</v>
      </c>
      <c r="Z44" s="3">
        <v>8.7057353130744968</v>
      </c>
      <c r="AA44" t="s">
        <v>1428</v>
      </c>
      <c r="AB44">
        <v>1</v>
      </c>
      <c r="AC44" s="3">
        <v>1</v>
      </c>
      <c r="AD44" s="3">
        <v>1</v>
      </c>
      <c r="AE44" t="s">
        <v>1429</v>
      </c>
      <c r="AF44" t="s">
        <v>1534</v>
      </c>
      <c r="AG44" t="s">
        <v>1535</v>
      </c>
      <c r="AH44" t="s">
        <v>1534</v>
      </c>
      <c r="AI44" t="s">
        <v>1432</v>
      </c>
      <c r="AJ44" t="s">
        <v>1536</v>
      </c>
      <c r="AK44" s="2"/>
    </row>
    <row r="45" spans="1:37" x14ac:dyDescent="0.45">
      <c r="A45" t="s">
        <v>1537</v>
      </c>
      <c r="B45" t="s">
        <v>797</v>
      </c>
      <c r="C45" t="s">
        <v>796</v>
      </c>
      <c r="D45" t="s">
        <v>794</v>
      </c>
      <c r="E45" s="2">
        <v>1</v>
      </c>
      <c r="F45" s="2"/>
      <c r="H45" s="3">
        <v>7.2030000000000003</v>
      </c>
      <c r="I45" s="3">
        <v>0.2</v>
      </c>
      <c r="S45">
        <v>0</v>
      </c>
      <c r="T45" t="s">
        <v>1427</v>
      </c>
      <c r="U45" s="3">
        <v>2012</v>
      </c>
      <c r="V45" s="3">
        <v>23.626637539249799</v>
      </c>
      <c r="W45" s="3">
        <v>22.73668724701189</v>
      </c>
      <c r="X45" s="3">
        <v>3.9141598886832858</v>
      </c>
      <c r="Y45" t="s">
        <v>73</v>
      </c>
      <c r="Z45" s="3">
        <v>35.717221749014847</v>
      </c>
      <c r="AA45" t="s">
        <v>1428</v>
      </c>
      <c r="AB45">
        <v>5</v>
      </c>
      <c r="AC45" s="3">
        <v>5</v>
      </c>
      <c r="AD45" s="3">
        <v>3</v>
      </c>
      <c r="AE45" t="s">
        <v>1429</v>
      </c>
      <c r="AF45" t="s">
        <v>1538</v>
      </c>
      <c r="AG45" t="s">
        <v>1539</v>
      </c>
      <c r="AH45" t="s">
        <v>1538</v>
      </c>
      <c r="AI45" t="s">
        <v>1432</v>
      </c>
      <c r="AJ45" t="s">
        <v>1540</v>
      </c>
      <c r="AK45" s="2"/>
    </row>
    <row r="46" spans="1:37" x14ac:dyDescent="0.45">
      <c r="A46" t="s">
        <v>1541</v>
      </c>
      <c r="B46" t="s">
        <v>797</v>
      </c>
      <c r="C46" t="s">
        <v>796</v>
      </c>
      <c r="D46" t="s">
        <v>794</v>
      </c>
      <c r="E46" s="2">
        <v>1</v>
      </c>
      <c r="F46" s="2"/>
      <c r="G46" s="3">
        <v>0.125</v>
      </c>
      <c r="H46" s="3">
        <v>28.14</v>
      </c>
      <c r="I46" s="3">
        <v>0.02</v>
      </c>
      <c r="M46" s="3">
        <v>3.8</v>
      </c>
      <c r="N46" s="3">
        <v>3350</v>
      </c>
      <c r="O46" s="3">
        <v>0.33</v>
      </c>
      <c r="Q46" s="3">
        <v>-0.55000000000000004</v>
      </c>
      <c r="R46" t="s">
        <v>1426</v>
      </c>
      <c r="S46">
        <v>0</v>
      </c>
      <c r="T46" t="s">
        <v>1427</v>
      </c>
      <c r="U46" s="3">
        <v>2013</v>
      </c>
      <c r="V46" s="3">
        <v>23.626637539249799</v>
      </c>
      <c r="W46" s="3">
        <v>22.73668724701189</v>
      </c>
      <c r="X46" s="3">
        <v>3.9141598886832858</v>
      </c>
      <c r="Y46" t="s">
        <v>73</v>
      </c>
      <c r="Z46" s="3">
        <v>35.717221749014847</v>
      </c>
      <c r="AA46" t="s">
        <v>1428</v>
      </c>
      <c r="AB46">
        <v>4</v>
      </c>
      <c r="AC46" s="3">
        <v>5</v>
      </c>
      <c r="AD46" s="3">
        <v>3</v>
      </c>
      <c r="AE46" t="s">
        <v>1429</v>
      </c>
      <c r="AF46" t="s">
        <v>1542</v>
      </c>
      <c r="AG46" t="s">
        <v>1543</v>
      </c>
      <c r="AH46" t="s">
        <v>1542</v>
      </c>
      <c r="AI46" t="s">
        <v>1432</v>
      </c>
      <c r="AJ46" t="s">
        <v>1433</v>
      </c>
      <c r="AK46" s="2"/>
    </row>
    <row r="47" spans="1:37" x14ac:dyDescent="0.45">
      <c r="A47" t="s">
        <v>1544</v>
      </c>
      <c r="B47" t="s">
        <v>797</v>
      </c>
      <c r="C47" t="s">
        <v>796</v>
      </c>
      <c r="D47" t="s">
        <v>794</v>
      </c>
      <c r="E47" s="2">
        <v>1</v>
      </c>
      <c r="F47" s="2"/>
      <c r="G47" s="3">
        <v>0.21299999999999999</v>
      </c>
      <c r="H47" s="3">
        <v>62.24</v>
      </c>
      <c r="I47" s="3">
        <v>0.02</v>
      </c>
      <c r="M47" s="3">
        <v>2.7</v>
      </c>
      <c r="N47" s="3">
        <v>3350</v>
      </c>
      <c r="O47" s="3">
        <v>0.33</v>
      </c>
      <c r="Q47" s="3">
        <v>-0.55000000000000004</v>
      </c>
      <c r="R47" t="s">
        <v>1426</v>
      </c>
      <c r="S47">
        <v>1</v>
      </c>
      <c r="T47" t="s">
        <v>1427</v>
      </c>
      <c r="U47" s="3">
        <v>2013</v>
      </c>
      <c r="V47" s="3">
        <v>23.626637539249799</v>
      </c>
      <c r="W47" s="3">
        <v>22.73668724701189</v>
      </c>
      <c r="X47" s="3">
        <v>3.9141598886832858</v>
      </c>
      <c r="Y47" t="s">
        <v>73</v>
      </c>
      <c r="Z47" s="3">
        <v>35.717221749014847</v>
      </c>
      <c r="AA47" t="s">
        <v>1428</v>
      </c>
      <c r="AB47">
        <v>1</v>
      </c>
      <c r="AC47" s="3">
        <v>5</v>
      </c>
      <c r="AD47" s="3">
        <v>3</v>
      </c>
      <c r="AE47" t="s">
        <v>1429</v>
      </c>
      <c r="AF47" t="s">
        <v>1542</v>
      </c>
      <c r="AG47" t="s">
        <v>1543</v>
      </c>
      <c r="AH47" t="s">
        <v>1542</v>
      </c>
      <c r="AI47" t="s">
        <v>1432</v>
      </c>
      <c r="AJ47" t="s">
        <v>1433</v>
      </c>
      <c r="AK47" s="2"/>
    </row>
    <row r="48" spans="1:37" x14ac:dyDescent="0.45">
      <c r="A48" t="s">
        <v>1545</v>
      </c>
      <c r="B48" t="s">
        <v>797</v>
      </c>
      <c r="C48" t="s">
        <v>796</v>
      </c>
      <c r="D48" t="s">
        <v>794</v>
      </c>
      <c r="E48" s="2">
        <v>1</v>
      </c>
      <c r="F48" s="2"/>
      <c r="G48" s="3">
        <v>0.156</v>
      </c>
      <c r="H48" s="3">
        <v>39.026000000000003</v>
      </c>
      <c r="I48" s="3">
        <v>0.03</v>
      </c>
      <c r="M48" s="3">
        <v>2.7</v>
      </c>
      <c r="N48" s="3">
        <v>3350</v>
      </c>
      <c r="O48" s="3">
        <v>0.33</v>
      </c>
      <c r="Q48" s="3">
        <v>-0.55000000000000004</v>
      </c>
      <c r="R48" t="s">
        <v>1426</v>
      </c>
      <c r="S48">
        <v>1</v>
      </c>
      <c r="T48" t="s">
        <v>1427</v>
      </c>
      <c r="U48" s="3">
        <v>2013</v>
      </c>
      <c r="V48" s="3">
        <v>23.626637539249799</v>
      </c>
      <c r="W48" s="3">
        <v>22.73668724701189</v>
      </c>
      <c r="X48" s="3">
        <v>3.9141598886832858</v>
      </c>
      <c r="Y48" t="s">
        <v>73</v>
      </c>
      <c r="Z48" s="3">
        <v>35.717221749014847</v>
      </c>
      <c r="AA48" t="s">
        <v>1428</v>
      </c>
      <c r="AB48">
        <v>1</v>
      </c>
      <c r="AC48" s="3">
        <v>5</v>
      </c>
      <c r="AD48" s="3">
        <v>3</v>
      </c>
      <c r="AE48" t="s">
        <v>1429</v>
      </c>
      <c r="AF48" t="s">
        <v>1542</v>
      </c>
      <c r="AG48" t="s">
        <v>1543</v>
      </c>
      <c r="AH48" t="s">
        <v>1542</v>
      </c>
      <c r="AI48" t="s">
        <v>1432</v>
      </c>
      <c r="AJ48" t="s">
        <v>1433</v>
      </c>
      <c r="AK48" s="2"/>
    </row>
    <row r="49" spans="1:37" x14ac:dyDescent="0.45">
      <c r="A49" t="s">
        <v>1546</v>
      </c>
      <c r="B49" t="s">
        <v>797</v>
      </c>
      <c r="C49" t="s">
        <v>796</v>
      </c>
      <c r="D49" t="s">
        <v>794</v>
      </c>
      <c r="E49" s="2">
        <v>1</v>
      </c>
      <c r="F49" s="2"/>
      <c r="G49" s="3">
        <v>0.54900000000000004</v>
      </c>
      <c r="H49" s="3">
        <v>256.2</v>
      </c>
      <c r="I49" s="3">
        <v>0.08</v>
      </c>
      <c r="M49" s="3">
        <v>4.5999999999999996</v>
      </c>
      <c r="N49" s="3">
        <v>3350</v>
      </c>
      <c r="O49" s="3">
        <v>0.33</v>
      </c>
      <c r="Q49" s="3">
        <v>-0.55000000000000004</v>
      </c>
      <c r="R49" t="s">
        <v>1426</v>
      </c>
      <c r="S49">
        <v>1</v>
      </c>
      <c r="T49" t="s">
        <v>1427</v>
      </c>
      <c r="U49" s="3">
        <v>2013</v>
      </c>
      <c r="V49" s="3">
        <v>23.626637539249799</v>
      </c>
      <c r="W49" s="3">
        <v>22.73668724701189</v>
      </c>
      <c r="X49" s="3">
        <v>3.9141598886832858</v>
      </c>
      <c r="Y49" t="s">
        <v>73</v>
      </c>
      <c r="Z49" s="3">
        <v>35.717221749014847</v>
      </c>
      <c r="AA49" t="s">
        <v>1428</v>
      </c>
      <c r="AB49">
        <v>1</v>
      </c>
      <c r="AC49" s="3">
        <v>5</v>
      </c>
      <c r="AD49" s="3">
        <v>3</v>
      </c>
      <c r="AE49" t="s">
        <v>1429</v>
      </c>
      <c r="AF49" t="s">
        <v>1542</v>
      </c>
      <c r="AG49" t="s">
        <v>1543</v>
      </c>
      <c r="AH49" t="s">
        <v>1542</v>
      </c>
      <c r="AI49" t="s">
        <v>1432</v>
      </c>
      <c r="AJ49" t="s">
        <v>1433</v>
      </c>
      <c r="AK49" s="2"/>
    </row>
    <row r="50" spans="1:37" x14ac:dyDescent="0.45">
      <c r="A50" t="s">
        <v>345</v>
      </c>
      <c r="B50" t="s">
        <v>347</v>
      </c>
      <c r="C50" t="s">
        <v>346</v>
      </c>
      <c r="D50" t="s">
        <v>344</v>
      </c>
      <c r="E50" s="2">
        <v>1</v>
      </c>
      <c r="F50" s="2"/>
      <c r="G50" s="3">
        <v>3.9E-2</v>
      </c>
      <c r="H50" s="3">
        <v>4.6938000000000004</v>
      </c>
      <c r="I50" s="3">
        <v>0.2</v>
      </c>
      <c r="M50" s="3">
        <v>11.09</v>
      </c>
      <c r="N50" s="3">
        <v>3600</v>
      </c>
      <c r="O50" s="3">
        <v>0.35</v>
      </c>
      <c r="Q50" s="3">
        <v>-0.28000000000000003</v>
      </c>
      <c r="R50" t="s">
        <v>1426</v>
      </c>
      <c r="S50">
        <v>0</v>
      </c>
      <c r="T50" t="s">
        <v>1427</v>
      </c>
      <c r="U50" s="3">
        <v>2007</v>
      </c>
      <c r="V50" s="3">
        <v>14.83672315978357</v>
      </c>
      <c r="W50" s="3">
        <v>14.809130330228729</v>
      </c>
      <c r="X50" s="3">
        <v>0.18632309217047369</v>
      </c>
      <c r="Y50" t="s">
        <v>73</v>
      </c>
      <c r="Z50" s="3">
        <v>17.19275076678943</v>
      </c>
      <c r="AA50" t="s">
        <v>1428</v>
      </c>
      <c r="AB50">
        <v>1</v>
      </c>
      <c r="AC50" s="3">
        <v>1</v>
      </c>
      <c r="AD50" s="3">
        <v>1</v>
      </c>
      <c r="AE50" t="s">
        <v>1429</v>
      </c>
      <c r="AF50" t="s">
        <v>1547</v>
      </c>
      <c r="AG50" t="s">
        <v>1548</v>
      </c>
      <c r="AH50" t="s">
        <v>1547</v>
      </c>
      <c r="AI50" t="s">
        <v>1432</v>
      </c>
      <c r="AJ50" t="s">
        <v>1433</v>
      </c>
      <c r="AK50" s="2"/>
    </row>
    <row r="51" spans="1:37" x14ac:dyDescent="0.45">
      <c r="A51" t="s">
        <v>1549</v>
      </c>
      <c r="B51" t="s">
        <v>420</v>
      </c>
      <c r="C51" t="s">
        <v>419</v>
      </c>
      <c r="D51" t="s">
        <v>417</v>
      </c>
      <c r="E51" s="2">
        <v>1</v>
      </c>
      <c r="F51" s="2"/>
      <c r="G51" s="3">
        <v>0.08</v>
      </c>
      <c r="H51" s="3">
        <v>17.478000000000002</v>
      </c>
      <c r="I51" s="3">
        <v>0.08</v>
      </c>
      <c r="M51" s="3">
        <v>4.4000000000000004</v>
      </c>
      <c r="N51" s="3">
        <v>3028</v>
      </c>
      <c r="O51" s="3">
        <v>0.27</v>
      </c>
      <c r="R51" t="s">
        <v>1426</v>
      </c>
      <c r="S51">
        <v>0</v>
      </c>
      <c r="T51" t="s">
        <v>1427</v>
      </c>
      <c r="U51" s="3">
        <v>2014</v>
      </c>
      <c r="V51" s="3">
        <v>16.329703978781961</v>
      </c>
      <c r="W51" s="3">
        <v>16.56450395510025</v>
      </c>
      <c r="X51" s="3">
        <v>1.417488727430257</v>
      </c>
      <c r="Y51" t="s">
        <v>73</v>
      </c>
      <c r="Z51" s="3">
        <v>19.265449646717041</v>
      </c>
      <c r="AA51" t="s">
        <v>1428</v>
      </c>
      <c r="AB51">
        <v>1</v>
      </c>
      <c r="AC51" s="3">
        <v>2</v>
      </c>
      <c r="AD51" s="3">
        <v>1</v>
      </c>
      <c r="AE51" t="s">
        <v>1429</v>
      </c>
      <c r="AF51" t="s">
        <v>1550</v>
      </c>
      <c r="AG51" t="s">
        <v>1551</v>
      </c>
      <c r="AH51" t="s">
        <v>1550</v>
      </c>
      <c r="AI51" t="s">
        <v>1432</v>
      </c>
      <c r="AJ51" t="s">
        <v>1552</v>
      </c>
      <c r="AK51" s="2"/>
    </row>
    <row r="52" spans="1:37" x14ac:dyDescent="0.45">
      <c r="A52" t="s">
        <v>1553</v>
      </c>
      <c r="B52" t="s">
        <v>420</v>
      </c>
      <c r="C52" t="s">
        <v>419</v>
      </c>
      <c r="D52" t="s">
        <v>417</v>
      </c>
      <c r="E52" s="2">
        <v>1</v>
      </c>
      <c r="F52" s="2"/>
      <c r="G52" s="3">
        <v>0.17599999999999999</v>
      </c>
      <c r="H52" s="3">
        <v>57.32</v>
      </c>
      <c r="I52" s="3">
        <v>0.1</v>
      </c>
      <c r="M52" s="3">
        <v>8.6999999999999993</v>
      </c>
      <c r="N52" s="3">
        <v>3028</v>
      </c>
      <c r="O52" s="3">
        <v>0.27</v>
      </c>
      <c r="R52" t="s">
        <v>1426</v>
      </c>
      <c r="S52">
        <v>0</v>
      </c>
      <c r="T52" t="s">
        <v>1427</v>
      </c>
      <c r="U52" s="3">
        <v>2014</v>
      </c>
      <c r="V52" s="3">
        <v>16.329703978781961</v>
      </c>
      <c r="W52" s="3">
        <v>16.56450395510025</v>
      </c>
      <c r="X52" s="3">
        <v>1.417488727430257</v>
      </c>
      <c r="Y52" t="s">
        <v>73</v>
      </c>
      <c r="Z52" s="3">
        <v>19.265449646717041</v>
      </c>
      <c r="AA52" t="s">
        <v>1428</v>
      </c>
      <c r="AB52">
        <v>1</v>
      </c>
      <c r="AC52" s="3">
        <v>2</v>
      </c>
      <c r="AD52" s="3">
        <v>1</v>
      </c>
      <c r="AE52" t="s">
        <v>1429</v>
      </c>
      <c r="AF52" t="s">
        <v>1550</v>
      </c>
      <c r="AG52" t="s">
        <v>1551</v>
      </c>
      <c r="AH52" t="s">
        <v>1550</v>
      </c>
      <c r="AI52" t="s">
        <v>1432</v>
      </c>
      <c r="AJ52" t="s">
        <v>1552</v>
      </c>
      <c r="AK52" s="2"/>
    </row>
    <row r="53" spans="1:37" x14ac:dyDescent="0.45">
      <c r="A53" t="s">
        <v>1554</v>
      </c>
      <c r="B53" t="s">
        <v>340</v>
      </c>
      <c r="C53" t="s">
        <v>339</v>
      </c>
      <c r="D53" t="s">
        <v>337</v>
      </c>
      <c r="E53" s="2">
        <v>1</v>
      </c>
      <c r="F53" s="2"/>
      <c r="G53" s="3">
        <v>0.16300000000000001</v>
      </c>
      <c r="H53" s="3">
        <v>38.142000000000003</v>
      </c>
      <c r="I53" s="3">
        <v>0.17</v>
      </c>
      <c r="M53" s="3">
        <v>17.2</v>
      </c>
      <c r="O53" s="3">
        <v>0.4</v>
      </c>
      <c r="R53" t="s">
        <v>1426</v>
      </c>
      <c r="S53">
        <v>0</v>
      </c>
      <c r="T53" t="s">
        <v>1427</v>
      </c>
      <c r="U53" s="3">
        <v>2014</v>
      </c>
      <c r="V53" s="3">
        <v>14.838125632207751</v>
      </c>
      <c r="W53" s="3">
        <v>14.769013095769569</v>
      </c>
      <c r="X53" s="3">
        <v>0.46795636235148219</v>
      </c>
      <c r="Y53" t="s">
        <v>73</v>
      </c>
      <c r="Z53" s="3">
        <v>20.803076441075241</v>
      </c>
      <c r="AA53" t="s">
        <v>1428</v>
      </c>
      <c r="AB53">
        <v>4</v>
      </c>
      <c r="AC53" s="3">
        <v>2</v>
      </c>
      <c r="AD53" s="3">
        <v>1</v>
      </c>
      <c r="AE53" t="s">
        <v>1429</v>
      </c>
      <c r="AF53" t="s">
        <v>1516</v>
      </c>
      <c r="AG53" t="s">
        <v>1555</v>
      </c>
      <c r="AH53" t="s">
        <v>1516</v>
      </c>
      <c r="AI53" t="s">
        <v>1432</v>
      </c>
      <c r="AJ53" t="s">
        <v>1556</v>
      </c>
      <c r="AK53" s="2"/>
    </row>
    <row r="54" spans="1:37" x14ac:dyDescent="0.45">
      <c r="A54" t="s">
        <v>1557</v>
      </c>
      <c r="B54" t="s">
        <v>340</v>
      </c>
      <c r="C54" t="s">
        <v>339</v>
      </c>
      <c r="D54" t="s">
        <v>337</v>
      </c>
      <c r="E54" s="2">
        <v>1</v>
      </c>
      <c r="F54" s="2"/>
      <c r="G54" s="3">
        <v>1.165</v>
      </c>
      <c r="H54" s="3">
        <v>727.56200000000001</v>
      </c>
      <c r="I54" s="3">
        <v>0.4</v>
      </c>
      <c r="M54" s="3">
        <v>16</v>
      </c>
      <c r="O54" s="3">
        <v>0.4</v>
      </c>
      <c r="R54" t="s">
        <v>1426</v>
      </c>
      <c r="S54">
        <v>0</v>
      </c>
      <c r="T54" t="s">
        <v>1427</v>
      </c>
      <c r="U54" s="3">
        <v>2020</v>
      </c>
      <c r="V54" s="3">
        <v>14.838125632207751</v>
      </c>
      <c r="W54" s="3">
        <v>14.769013095769569</v>
      </c>
      <c r="X54" s="3">
        <v>0.46795636235148219</v>
      </c>
      <c r="Y54" t="s">
        <v>73</v>
      </c>
      <c r="Z54" s="3">
        <v>20.803076441075241</v>
      </c>
      <c r="AA54" t="s">
        <v>1428</v>
      </c>
      <c r="AB54">
        <v>1</v>
      </c>
      <c r="AC54" s="3">
        <v>2</v>
      </c>
      <c r="AD54" s="3">
        <v>1</v>
      </c>
      <c r="AE54" t="s">
        <v>1429</v>
      </c>
      <c r="AF54" t="s">
        <v>1516</v>
      </c>
      <c r="AG54" t="s">
        <v>1555</v>
      </c>
      <c r="AH54" t="s">
        <v>1516</v>
      </c>
      <c r="AI54" t="s">
        <v>1432</v>
      </c>
      <c r="AJ54" t="s">
        <v>1556</v>
      </c>
      <c r="AK54" s="2"/>
    </row>
    <row r="55" spans="1:37" x14ac:dyDescent="0.45">
      <c r="A55" t="s">
        <v>390</v>
      </c>
      <c r="B55" t="s">
        <v>392</v>
      </c>
      <c r="C55" t="s">
        <v>391</v>
      </c>
      <c r="D55" t="s">
        <v>389</v>
      </c>
      <c r="E55" s="2">
        <v>1</v>
      </c>
      <c r="F55" s="2"/>
      <c r="G55" s="3">
        <v>3.7</v>
      </c>
      <c r="H55" s="3">
        <v>3853</v>
      </c>
      <c r="I55" s="3">
        <v>0.05</v>
      </c>
      <c r="M55" s="3">
        <v>314.65012293000001</v>
      </c>
      <c r="O55" s="3">
        <v>0.45</v>
      </c>
      <c r="R55" t="s">
        <v>1453</v>
      </c>
      <c r="S55">
        <v>0</v>
      </c>
      <c r="T55" t="s">
        <v>1427</v>
      </c>
      <c r="U55" s="3">
        <v>2008</v>
      </c>
      <c r="V55" s="3">
        <v>16.19154413718115</v>
      </c>
      <c r="W55" s="3">
        <v>16.156808482954311</v>
      </c>
      <c r="X55" s="3">
        <v>0.21499081494638669</v>
      </c>
      <c r="Y55" t="s">
        <v>73</v>
      </c>
      <c r="Z55" s="3">
        <v>12.66675773934716</v>
      </c>
      <c r="AA55" t="s">
        <v>1428</v>
      </c>
      <c r="AB55">
        <v>6</v>
      </c>
      <c r="AC55" s="3">
        <v>1</v>
      </c>
      <c r="AD55" s="3">
        <v>1</v>
      </c>
      <c r="AE55" t="s">
        <v>1429</v>
      </c>
      <c r="AF55" t="s">
        <v>1558</v>
      </c>
      <c r="AG55" t="s">
        <v>1559</v>
      </c>
      <c r="AH55" t="s">
        <v>1558</v>
      </c>
      <c r="AI55" t="s">
        <v>1432</v>
      </c>
      <c r="AJ55" t="s">
        <v>1560</v>
      </c>
      <c r="AK55" s="2"/>
    </row>
    <row r="56" spans="1:37" x14ac:dyDescent="0.45">
      <c r="A56" t="s">
        <v>1561</v>
      </c>
      <c r="B56" t="s">
        <v>1361</v>
      </c>
      <c r="C56" t="s">
        <v>1360</v>
      </c>
      <c r="D56" t="s">
        <v>1358</v>
      </c>
      <c r="E56" s="2">
        <v>1</v>
      </c>
      <c r="F56" s="2"/>
      <c r="G56" s="3">
        <v>2.3199999999999998</v>
      </c>
      <c r="H56" s="3">
        <v>1925.31</v>
      </c>
      <c r="I56" s="3">
        <v>2.9000000000000001E-2</v>
      </c>
      <c r="M56" s="3">
        <v>283.82076745000001</v>
      </c>
      <c r="N56" s="3">
        <v>3467</v>
      </c>
      <c r="O56" s="3">
        <v>0.45</v>
      </c>
      <c r="P56" s="3">
        <v>0.45</v>
      </c>
      <c r="Q56" s="3">
        <v>0.09</v>
      </c>
      <c r="R56" t="s">
        <v>1426</v>
      </c>
      <c r="S56">
        <v>0</v>
      </c>
      <c r="T56" t="s">
        <v>1427</v>
      </c>
      <c r="U56" s="3">
        <v>2006</v>
      </c>
      <c r="V56" s="3">
        <v>28.703652946064171</v>
      </c>
      <c r="W56" s="3">
        <v>29.666857960737261</v>
      </c>
      <c r="X56" s="3">
        <v>3.2467375410899439</v>
      </c>
      <c r="Y56" t="s">
        <v>73</v>
      </c>
      <c r="Z56" s="3">
        <v>17.545875960074639</v>
      </c>
      <c r="AA56" t="s">
        <v>1428</v>
      </c>
      <c r="AB56">
        <v>7</v>
      </c>
      <c r="AC56" s="3">
        <v>2</v>
      </c>
      <c r="AD56" s="3">
        <v>1</v>
      </c>
      <c r="AE56" t="s">
        <v>1429</v>
      </c>
      <c r="AF56" t="s">
        <v>1562</v>
      </c>
      <c r="AG56" t="s">
        <v>1563</v>
      </c>
      <c r="AH56" t="s">
        <v>1562</v>
      </c>
      <c r="AI56" t="s">
        <v>1432</v>
      </c>
      <c r="AJ56" t="s">
        <v>1564</v>
      </c>
      <c r="AK56" s="2"/>
    </row>
    <row r="57" spans="1:37" x14ac:dyDescent="0.45">
      <c r="A57" t="s">
        <v>1565</v>
      </c>
      <c r="B57" t="s">
        <v>1361</v>
      </c>
      <c r="C57" t="s">
        <v>1360</v>
      </c>
      <c r="D57" t="s">
        <v>1358</v>
      </c>
      <c r="E57" s="2">
        <v>1</v>
      </c>
      <c r="F57" s="2"/>
      <c r="G57" s="3">
        <v>4.95</v>
      </c>
      <c r="H57" s="3">
        <v>5990</v>
      </c>
      <c r="I57" s="3">
        <v>9.1999999999999998E-2</v>
      </c>
      <c r="M57" s="3">
        <v>314.65012293000001</v>
      </c>
      <c r="N57" s="3">
        <v>3467</v>
      </c>
      <c r="O57" s="3">
        <v>0.45</v>
      </c>
      <c r="P57" s="3">
        <v>0.45</v>
      </c>
      <c r="Q57" s="3">
        <v>0.09</v>
      </c>
      <c r="R57" t="s">
        <v>1426</v>
      </c>
      <c r="S57">
        <v>0</v>
      </c>
      <c r="T57" t="s">
        <v>1427</v>
      </c>
      <c r="U57" s="3">
        <v>2014</v>
      </c>
      <c r="V57" s="3">
        <v>28.703652946064171</v>
      </c>
      <c r="W57" s="3">
        <v>29.666857960737261</v>
      </c>
      <c r="X57" s="3">
        <v>3.2467375410899439</v>
      </c>
      <c r="Y57" t="s">
        <v>73</v>
      </c>
      <c r="Z57" s="3">
        <v>17.545875960074639</v>
      </c>
      <c r="AA57" t="s">
        <v>1428</v>
      </c>
      <c r="AB57">
        <v>3</v>
      </c>
      <c r="AC57" s="3">
        <v>2</v>
      </c>
      <c r="AD57" s="3">
        <v>1</v>
      </c>
      <c r="AE57" t="s">
        <v>1429</v>
      </c>
      <c r="AF57" t="s">
        <v>1562</v>
      </c>
      <c r="AG57" t="s">
        <v>1563</v>
      </c>
      <c r="AH57" t="s">
        <v>1562</v>
      </c>
      <c r="AI57" t="s">
        <v>1432</v>
      </c>
      <c r="AJ57" t="s">
        <v>1566</v>
      </c>
      <c r="AK57" s="2"/>
    </row>
    <row r="58" spans="1:37" x14ac:dyDescent="0.45">
      <c r="A58" t="s">
        <v>1567</v>
      </c>
      <c r="B58" t="s">
        <v>358</v>
      </c>
      <c r="C58" t="s">
        <v>357</v>
      </c>
      <c r="D58" t="s">
        <v>355</v>
      </c>
      <c r="E58" s="2">
        <v>1</v>
      </c>
      <c r="F58" s="2"/>
      <c r="G58" s="3">
        <v>0.208317</v>
      </c>
      <c r="H58" s="3">
        <v>61.116599999999998</v>
      </c>
      <c r="I58" s="3">
        <v>3.2399999999999998E-2</v>
      </c>
      <c r="M58" s="3">
        <v>723.22349999999994</v>
      </c>
      <c r="O58" s="3">
        <v>0.32</v>
      </c>
      <c r="P58" s="3">
        <v>0.3</v>
      </c>
      <c r="R58" t="s">
        <v>1453</v>
      </c>
      <c r="S58">
        <v>0</v>
      </c>
      <c r="T58" t="s">
        <v>1427</v>
      </c>
      <c r="U58" s="3">
        <v>1998</v>
      </c>
      <c r="V58" s="3">
        <v>15.24836512409987</v>
      </c>
      <c r="W58" s="3">
        <v>15.292494082004939</v>
      </c>
      <c r="X58" s="3">
        <v>0.28856612707147528</v>
      </c>
      <c r="Y58" t="s">
        <v>73</v>
      </c>
      <c r="Z58" s="3">
        <v>18.320633559793109</v>
      </c>
      <c r="AA58" t="s">
        <v>1428</v>
      </c>
      <c r="AB58">
        <v>9</v>
      </c>
      <c r="AC58" s="3">
        <v>4</v>
      </c>
      <c r="AD58" s="3">
        <v>1</v>
      </c>
      <c r="AE58" t="s">
        <v>1429</v>
      </c>
      <c r="AF58" t="s">
        <v>1568</v>
      </c>
      <c r="AG58" t="s">
        <v>1569</v>
      </c>
      <c r="AH58" t="s">
        <v>1568</v>
      </c>
      <c r="AI58" t="s">
        <v>1432</v>
      </c>
      <c r="AJ58" t="s">
        <v>1570</v>
      </c>
      <c r="AK58" s="2"/>
    </row>
    <row r="59" spans="1:37" x14ac:dyDescent="0.45">
      <c r="A59" t="s">
        <v>1571</v>
      </c>
      <c r="B59" t="s">
        <v>358</v>
      </c>
      <c r="C59" t="s">
        <v>357</v>
      </c>
      <c r="D59" t="s">
        <v>355</v>
      </c>
      <c r="E59" s="2">
        <v>1</v>
      </c>
      <c r="F59" s="2"/>
      <c r="G59" s="3">
        <v>0.12959000000000001</v>
      </c>
      <c r="H59" s="3">
        <v>30.088100000000001</v>
      </c>
      <c r="I59" s="3">
        <v>0.25591000000000003</v>
      </c>
      <c r="M59" s="3">
        <v>226.9846</v>
      </c>
      <c r="O59" s="3">
        <v>0.32</v>
      </c>
      <c r="P59" s="3">
        <v>0.3</v>
      </c>
      <c r="R59" t="s">
        <v>1453</v>
      </c>
      <c r="S59">
        <v>0</v>
      </c>
      <c r="T59" t="s">
        <v>1427</v>
      </c>
      <c r="U59" s="3">
        <v>2000</v>
      </c>
      <c r="V59" s="3">
        <v>15.24836512409987</v>
      </c>
      <c r="W59" s="3">
        <v>15.292494082004939</v>
      </c>
      <c r="X59" s="3">
        <v>0.28856612707147528</v>
      </c>
      <c r="Y59" t="s">
        <v>73</v>
      </c>
      <c r="Z59" s="3">
        <v>18.320633559793109</v>
      </c>
      <c r="AA59" t="s">
        <v>1428</v>
      </c>
      <c r="AB59">
        <v>7</v>
      </c>
      <c r="AC59" s="3">
        <v>4</v>
      </c>
      <c r="AD59" s="3">
        <v>1</v>
      </c>
      <c r="AE59" t="s">
        <v>1429</v>
      </c>
      <c r="AF59" t="s">
        <v>1568</v>
      </c>
      <c r="AG59" t="s">
        <v>1569</v>
      </c>
      <c r="AH59" t="s">
        <v>1568</v>
      </c>
      <c r="AI59" t="s">
        <v>1432</v>
      </c>
      <c r="AJ59" t="s">
        <v>1570</v>
      </c>
      <c r="AK59" s="2"/>
    </row>
    <row r="60" spans="1:37" x14ac:dyDescent="0.45">
      <c r="A60" t="s">
        <v>1572</v>
      </c>
      <c r="B60" t="s">
        <v>358</v>
      </c>
      <c r="C60" t="s">
        <v>357</v>
      </c>
      <c r="D60" t="s">
        <v>355</v>
      </c>
      <c r="E60" s="2">
        <v>1</v>
      </c>
      <c r="F60" s="2"/>
      <c r="G60" s="3">
        <v>2.0806649999999999E-2</v>
      </c>
      <c r="H60" s="3">
        <v>1.9377800000000001</v>
      </c>
      <c r="I60" s="3">
        <v>0.20699999999999999</v>
      </c>
      <c r="M60" s="3">
        <v>6.83</v>
      </c>
      <c r="O60" s="3">
        <v>0.32</v>
      </c>
      <c r="P60" s="3">
        <v>0.3</v>
      </c>
      <c r="R60" t="s">
        <v>1453</v>
      </c>
      <c r="S60">
        <v>0</v>
      </c>
      <c r="T60" t="s">
        <v>1427</v>
      </c>
      <c r="U60" s="3">
        <v>2005</v>
      </c>
      <c r="V60" s="3">
        <v>15.24836512409987</v>
      </c>
      <c r="W60" s="3">
        <v>15.292494082004939</v>
      </c>
      <c r="X60" s="3">
        <v>0.28856612707147528</v>
      </c>
      <c r="Y60" t="s">
        <v>73</v>
      </c>
      <c r="Z60" s="3">
        <v>18.320633559793109</v>
      </c>
      <c r="AA60" t="s">
        <v>1428</v>
      </c>
      <c r="AB60">
        <v>7</v>
      </c>
      <c r="AC60" s="3">
        <v>4</v>
      </c>
      <c r="AD60" s="3">
        <v>1</v>
      </c>
      <c r="AE60" t="s">
        <v>1429</v>
      </c>
      <c r="AF60" t="s">
        <v>1568</v>
      </c>
      <c r="AG60" t="s">
        <v>1569</v>
      </c>
      <c r="AH60" t="s">
        <v>1568</v>
      </c>
      <c r="AI60" t="s">
        <v>1432</v>
      </c>
      <c r="AJ60" t="s">
        <v>1570</v>
      </c>
      <c r="AK60" s="2"/>
    </row>
    <row r="61" spans="1:37" x14ac:dyDescent="0.45">
      <c r="A61" t="s">
        <v>1573</v>
      </c>
      <c r="B61" t="s">
        <v>358</v>
      </c>
      <c r="C61" t="s">
        <v>357</v>
      </c>
      <c r="D61" t="s">
        <v>355</v>
      </c>
      <c r="E61" s="2">
        <v>1</v>
      </c>
      <c r="F61" s="2"/>
      <c r="G61" s="3">
        <v>0.33429999999999999</v>
      </c>
      <c r="H61" s="3">
        <v>124.26</v>
      </c>
      <c r="I61" s="3">
        <v>5.5E-2</v>
      </c>
      <c r="M61" s="3">
        <v>14.6</v>
      </c>
      <c r="O61" s="3">
        <v>0.32</v>
      </c>
      <c r="P61" s="3">
        <v>0.3</v>
      </c>
      <c r="R61" t="s">
        <v>1453</v>
      </c>
      <c r="S61">
        <v>0</v>
      </c>
      <c r="T61" t="s">
        <v>1427</v>
      </c>
      <c r="U61" s="3">
        <v>2010</v>
      </c>
      <c r="V61" s="3">
        <v>15.24836512409987</v>
      </c>
      <c r="W61" s="3">
        <v>15.292494082004939</v>
      </c>
      <c r="X61" s="3">
        <v>0.28856612707147528</v>
      </c>
      <c r="Y61" t="s">
        <v>73</v>
      </c>
      <c r="Z61" s="3">
        <v>18.320633559793109</v>
      </c>
      <c r="AA61" t="s">
        <v>1428</v>
      </c>
      <c r="AB61">
        <v>3</v>
      </c>
      <c r="AC61" s="3">
        <v>4</v>
      </c>
      <c r="AD61" s="3">
        <v>1</v>
      </c>
      <c r="AE61" t="s">
        <v>1429</v>
      </c>
      <c r="AF61" t="s">
        <v>1568</v>
      </c>
      <c r="AG61" t="s">
        <v>1569</v>
      </c>
      <c r="AH61" t="s">
        <v>1568</v>
      </c>
      <c r="AI61" t="s">
        <v>1432</v>
      </c>
      <c r="AJ61" t="s">
        <v>1570</v>
      </c>
      <c r="AK61" s="2"/>
    </row>
    <row r="62" spans="1:37" x14ac:dyDescent="0.45">
      <c r="A62" t="s">
        <v>1574</v>
      </c>
      <c r="B62" t="s">
        <v>136</v>
      </c>
      <c r="C62" t="s">
        <v>135</v>
      </c>
      <c r="D62" t="s">
        <v>133</v>
      </c>
      <c r="E62" s="2">
        <v>1</v>
      </c>
      <c r="F62" s="2"/>
      <c r="G62" s="3">
        <v>6.83E-2</v>
      </c>
      <c r="H62" s="3">
        <v>9.2619000000000007</v>
      </c>
      <c r="I62" s="3">
        <v>0.14000000000000001</v>
      </c>
      <c r="J62" s="3">
        <v>7.8</v>
      </c>
      <c r="K62" s="3">
        <v>426</v>
      </c>
      <c r="M62" s="3">
        <v>3.9</v>
      </c>
      <c r="N62" s="3">
        <v>3688</v>
      </c>
      <c r="O62" s="3">
        <v>0.495</v>
      </c>
      <c r="P62" s="3">
        <v>0.46800000000000003</v>
      </c>
      <c r="Q62" s="3">
        <v>-0.06</v>
      </c>
      <c r="R62" t="s">
        <v>1426</v>
      </c>
      <c r="S62">
        <v>0</v>
      </c>
      <c r="T62" t="s">
        <v>1427</v>
      </c>
      <c r="U62" s="3">
        <v>2020</v>
      </c>
      <c r="V62" s="3">
        <v>10.72007520715615</v>
      </c>
      <c r="W62" s="3">
        <v>10.684556777622801</v>
      </c>
      <c r="X62" s="3">
        <v>0.33242772978417667</v>
      </c>
      <c r="Y62" t="s">
        <v>73</v>
      </c>
      <c r="Z62" s="3">
        <v>117.92763855316301</v>
      </c>
      <c r="AA62" t="s">
        <v>1428</v>
      </c>
      <c r="AB62">
        <v>3</v>
      </c>
      <c r="AC62" s="3">
        <v>4</v>
      </c>
      <c r="AD62" s="3">
        <v>1</v>
      </c>
      <c r="AE62" t="s">
        <v>1429</v>
      </c>
      <c r="AF62" t="s">
        <v>1575</v>
      </c>
      <c r="AG62" t="s">
        <v>1576</v>
      </c>
      <c r="AH62" t="s">
        <v>1575</v>
      </c>
      <c r="AI62" t="s">
        <v>1432</v>
      </c>
      <c r="AJ62" t="s">
        <v>1577</v>
      </c>
      <c r="AK62" s="2"/>
    </row>
    <row r="63" spans="1:37" x14ac:dyDescent="0.45">
      <c r="A63" t="s">
        <v>1578</v>
      </c>
      <c r="B63" t="s">
        <v>136</v>
      </c>
      <c r="C63" t="s">
        <v>135</v>
      </c>
      <c r="D63" t="s">
        <v>133</v>
      </c>
      <c r="E63" s="2">
        <v>1</v>
      </c>
      <c r="F63" s="2"/>
      <c r="G63" s="3">
        <v>0.121</v>
      </c>
      <c r="H63" s="3">
        <v>21.783999999999999</v>
      </c>
      <c r="I63" s="3">
        <v>0.17</v>
      </c>
      <c r="J63" s="3">
        <v>2.5</v>
      </c>
      <c r="K63" s="3">
        <v>320</v>
      </c>
      <c r="M63" s="3">
        <v>6.5</v>
      </c>
      <c r="N63" s="3">
        <v>3688</v>
      </c>
      <c r="O63" s="3">
        <v>0.495</v>
      </c>
      <c r="P63" s="3">
        <v>0.46800000000000003</v>
      </c>
      <c r="Q63" s="3">
        <v>-0.06</v>
      </c>
      <c r="R63" t="s">
        <v>1426</v>
      </c>
      <c r="S63">
        <v>0</v>
      </c>
      <c r="T63" t="s">
        <v>1427</v>
      </c>
      <c r="U63" s="3">
        <v>2020</v>
      </c>
      <c r="V63" s="3">
        <v>10.72007520715615</v>
      </c>
      <c r="W63" s="3">
        <v>10.684556777622801</v>
      </c>
      <c r="X63" s="3">
        <v>0.33242772978417667</v>
      </c>
      <c r="Y63" t="s">
        <v>73</v>
      </c>
      <c r="Z63" s="3">
        <v>117.92763855316301</v>
      </c>
      <c r="AA63" t="s">
        <v>1428</v>
      </c>
      <c r="AB63">
        <v>3</v>
      </c>
      <c r="AC63" s="3">
        <v>4</v>
      </c>
      <c r="AD63" s="3">
        <v>1</v>
      </c>
      <c r="AE63" t="s">
        <v>1429</v>
      </c>
      <c r="AF63" t="s">
        <v>1575</v>
      </c>
      <c r="AG63" t="s">
        <v>1576</v>
      </c>
      <c r="AH63" t="s">
        <v>1575</v>
      </c>
      <c r="AI63" t="s">
        <v>1432</v>
      </c>
      <c r="AJ63" t="s">
        <v>1577</v>
      </c>
      <c r="AK63" s="2"/>
    </row>
    <row r="64" spans="1:37" x14ac:dyDescent="0.45">
      <c r="A64" t="s">
        <v>1579</v>
      </c>
      <c r="B64" t="s">
        <v>136</v>
      </c>
      <c r="C64" t="s">
        <v>135</v>
      </c>
      <c r="D64" t="s">
        <v>133</v>
      </c>
      <c r="E64" s="2">
        <v>1</v>
      </c>
      <c r="F64" s="2"/>
      <c r="G64" s="3">
        <v>0.21199999999999999</v>
      </c>
      <c r="H64" s="3">
        <v>50.77</v>
      </c>
      <c r="J64" s="3">
        <v>0.81</v>
      </c>
      <c r="K64" s="3">
        <v>241</v>
      </c>
      <c r="M64" s="3">
        <v>6.1</v>
      </c>
      <c r="N64" s="3">
        <v>3688</v>
      </c>
      <c r="O64" s="3">
        <v>0.495</v>
      </c>
      <c r="P64" s="3">
        <v>0.46800000000000003</v>
      </c>
      <c r="Q64" s="3">
        <v>-0.06</v>
      </c>
      <c r="R64" t="s">
        <v>1426</v>
      </c>
      <c r="S64">
        <v>0</v>
      </c>
      <c r="T64" t="s">
        <v>1427</v>
      </c>
      <c r="U64" s="3">
        <v>2026</v>
      </c>
      <c r="V64" s="3">
        <v>10.72007520715615</v>
      </c>
      <c r="W64" s="3">
        <v>10.684556777622801</v>
      </c>
      <c r="X64" s="3">
        <v>0.33242772978417667</v>
      </c>
      <c r="Y64" t="s">
        <v>73</v>
      </c>
      <c r="Z64" s="3">
        <v>117.92763855316301</v>
      </c>
      <c r="AA64" t="s">
        <v>1428</v>
      </c>
      <c r="AB64">
        <v>1</v>
      </c>
      <c r="AC64" s="3">
        <v>4</v>
      </c>
      <c r="AD64" s="3">
        <v>1</v>
      </c>
      <c r="AE64" t="s">
        <v>1429</v>
      </c>
      <c r="AF64" t="s">
        <v>1575</v>
      </c>
      <c r="AG64" t="s">
        <v>1576</v>
      </c>
      <c r="AH64" t="s">
        <v>1575</v>
      </c>
      <c r="AI64" t="s">
        <v>1432</v>
      </c>
      <c r="AJ64" t="s">
        <v>1577</v>
      </c>
      <c r="AK64" s="2"/>
    </row>
    <row r="65" spans="1:37" x14ac:dyDescent="0.45">
      <c r="A65" t="s">
        <v>1580</v>
      </c>
      <c r="B65" t="s">
        <v>136</v>
      </c>
      <c r="C65" t="s">
        <v>135</v>
      </c>
      <c r="D65" t="s">
        <v>133</v>
      </c>
      <c r="E65" s="2">
        <v>1</v>
      </c>
      <c r="F65" s="2"/>
      <c r="G65" s="3">
        <v>4.1700000000000001E-2</v>
      </c>
      <c r="H65" s="3">
        <v>4.4249000000000001</v>
      </c>
      <c r="J65" s="3">
        <v>20.9</v>
      </c>
      <c r="K65" s="3">
        <v>544</v>
      </c>
      <c r="M65" s="3">
        <v>1.46</v>
      </c>
      <c r="N65" s="3">
        <v>3688</v>
      </c>
      <c r="O65" s="3">
        <v>0.495</v>
      </c>
      <c r="P65" s="3">
        <v>0.46800000000000003</v>
      </c>
      <c r="Q65" s="3">
        <v>-0.06</v>
      </c>
      <c r="R65" t="s">
        <v>1426</v>
      </c>
      <c r="S65">
        <v>0</v>
      </c>
      <c r="T65" t="s">
        <v>1427</v>
      </c>
      <c r="U65" s="3">
        <v>2026</v>
      </c>
      <c r="V65" s="3">
        <v>10.72007520715615</v>
      </c>
      <c r="W65" s="3">
        <v>10.684556777622801</v>
      </c>
      <c r="X65" s="3">
        <v>0.33242772978417667</v>
      </c>
      <c r="Y65" t="s">
        <v>73</v>
      </c>
      <c r="Z65" s="3">
        <v>117.92763855316301</v>
      </c>
      <c r="AA65" t="s">
        <v>1428</v>
      </c>
      <c r="AB65">
        <v>1</v>
      </c>
      <c r="AC65" s="3">
        <v>4</v>
      </c>
      <c r="AD65" s="3">
        <v>1</v>
      </c>
      <c r="AE65" t="s">
        <v>1429</v>
      </c>
      <c r="AF65" t="s">
        <v>1575</v>
      </c>
      <c r="AG65" t="s">
        <v>1576</v>
      </c>
      <c r="AH65" t="s">
        <v>1575</v>
      </c>
      <c r="AI65" t="s">
        <v>1432</v>
      </c>
      <c r="AJ65" t="s">
        <v>1577</v>
      </c>
      <c r="AK65" s="2"/>
    </row>
    <row r="66" spans="1:37" x14ac:dyDescent="0.45">
      <c r="A66" t="s">
        <v>665</v>
      </c>
      <c r="B66" t="s">
        <v>667</v>
      </c>
      <c r="C66" t="s">
        <v>666</v>
      </c>
      <c r="D66" t="s">
        <v>664</v>
      </c>
      <c r="E66" s="2">
        <v>1</v>
      </c>
      <c r="F66" s="2"/>
      <c r="G66" s="3">
        <v>0.63965000000000005</v>
      </c>
      <c r="H66" s="3">
        <v>284.39</v>
      </c>
      <c r="I66" s="3">
        <v>0.35</v>
      </c>
      <c r="M66" s="3">
        <v>718.29219981999995</v>
      </c>
      <c r="O66" s="3">
        <v>0.43598999999999999</v>
      </c>
      <c r="R66" t="s">
        <v>1453</v>
      </c>
      <c r="S66">
        <v>0</v>
      </c>
      <c r="T66" t="s">
        <v>1581</v>
      </c>
      <c r="U66" s="3">
        <v>2022</v>
      </c>
      <c r="V66" s="3">
        <v>20.418106789099109</v>
      </c>
      <c r="W66" s="3">
        <v>20.162987270449069</v>
      </c>
      <c r="X66" s="3">
        <v>1.265286315108378</v>
      </c>
      <c r="Y66" t="s">
        <v>73</v>
      </c>
      <c r="Z66" s="3">
        <v>9.2296197480439588</v>
      </c>
      <c r="AA66" t="s">
        <v>1428</v>
      </c>
      <c r="AB66">
        <v>1</v>
      </c>
      <c r="AC66" s="3">
        <v>1</v>
      </c>
      <c r="AD66" s="3">
        <v>2</v>
      </c>
      <c r="AE66" t="s">
        <v>1429</v>
      </c>
      <c r="AF66" t="s">
        <v>1582</v>
      </c>
      <c r="AG66" t="s">
        <v>1583</v>
      </c>
      <c r="AH66" t="s">
        <v>1582</v>
      </c>
      <c r="AI66" t="s">
        <v>1432</v>
      </c>
      <c r="AJ66" t="s">
        <v>1584</v>
      </c>
      <c r="AK66" s="2"/>
    </row>
    <row r="67" spans="1:37" x14ac:dyDescent="0.45">
      <c r="A67" t="s">
        <v>325</v>
      </c>
      <c r="B67" t="s">
        <v>327</v>
      </c>
      <c r="C67" t="s">
        <v>326</v>
      </c>
      <c r="D67" t="s">
        <v>324</v>
      </c>
      <c r="E67" s="2">
        <v>1</v>
      </c>
      <c r="F67" s="2"/>
      <c r="G67" s="3">
        <v>0.88</v>
      </c>
      <c r="H67" s="3">
        <v>771.36</v>
      </c>
      <c r="I67" s="3">
        <v>0.46</v>
      </c>
      <c r="M67" s="3">
        <v>66.743965470000006</v>
      </c>
      <c r="N67" s="3">
        <v>3154</v>
      </c>
      <c r="O67" s="3">
        <v>0.15</v>
      </c>
      <c r="P67" s="3">
        <v>0.16400000000000001</v>
      </c>
      <c r="Q67" s="3">
        <v>-0.13</v>
      </c>
      <c r="R67" t="s">
        <v>1426</v>
      </c>
      <c r="S67">
        <v>0</v>
      </c>
      <c r="T67" t="s">
        <v>1427</v>
      </c>
      <c r="U67" s="3">
        <v>2020</v>
      </c>
      <c r="V67" s="3">
        <v>14.58245164771559</v>
      </c>
      <c r="W67" s="3">
        <v>14.57364542551724</v>
      </c>
      <c r="X67" s="3">
        <v>6.0425665241812872E-2</v>
      </c>
      <c r="Y67" t="s">
        <v>47</v>
      </c>
      <c r="Z67" s="3">
        <v>36.644817944792727</v>
      </c>
      <c r="AA67" t="s">
        <v>1428</v>
      </c>
      <c r="AB67">
        <v>2</v>
      </c>
      <c r="AC67" s="3">
        <v>1</v>
      </c>
      <c r="AD67" s="3">
        <v>1</v>
      </c>
      <c r="AE67" t="s">
        <v>1429</v>
      </c>
      <c r="AF67" t="s">
        <v>1585</v>
      </c>
      <c r="AG67" t="s">
        <v>1586</v>
      </c>
      <c r="AH67" t="s">
        <v>1585</v>
      </c>
      <c r="AI67" t="s">
        <v>1432</v>
      </c>
      <c r="AJ67" t="s">
        <v>1587</v>
      </c>
      <c r="AK67" s="2"/>
    </row>
    <row r="68" spans="1:37" x14ac:dyDescent="0.45">
      <c r="A68" t="s">
        <v>1022</v>
      </c>
      <c r="B68" t="s">
        <v>1021</v>
      </c>
      <c r="C68" t="s">
        <v>1023</v>
      </c>
      <c r="D68" t="s">
        <v>1021</v>
      </c>
      <c r="E68" s="2">
        <v>1</v>
      </c>
      <c r="F68" s="2"/>
      <c r="G68" s="3">
        <v>9.0999999999999998E-2</v>
      </c>
      <c r="H68" s="3">
        <v>15.53</v>
      </c>
      <c r="I68" s="3">
        <v>0.05</v>
      </c>
      <c r="M68" s="3">
        <v>6.6239999999999997</v>
      </c>
      <c r="N68" s="3">
        <v>3656</v>
      </c>
      <c r="O68" s="3">
        <v>0.42599999999999999</v>
      </c>
      <c r="P68" s="3">
        <v>0.42699999999999999</v>
      </c>
      <c r="Q68" s="3">
        <v>-0.23</v>
      </c>
      <c r="R68" t="s">
        <v>1426</v>
      </c>
      <c r="S68">
        <v>0</v>
      </c>
      <c r="T68" t="s">
        <v>1427</v>
      </c>
      <c r="U68" s="3">
        <v>2018</v>
      </c>
      <c r="V68" s="3">
        <v>26.605488968212359</v>
      </c>
      <c r="W68" s="3">
        <v>26.373004702175869</v>
      </c>
      <c r="X68" s="3">
        <v>0.88152362107345761</v>
      </c>
      <c r="Y68" t="s">
        <v>73</v>
      </c>
      <c r="Z68" s="3">
        <v>21.25470175609949</v>
      </c>
      <c r="AA68" t="s">
        <v>1428</v>
      </c>
      <c r="AB68">
        <v>3</v>
      </c>
      <c r="AC68" s="3">
        <v>1</v>
      </c>
      <c r="AD68" s="3">
        <v>1</v>
      </c>
      <c r="AE68" t="s">
        <v>1429</v>
      </c>
      <c r="AF68" t="s">
        <v>1588</v>
      </c>
      <c r="AG68" t="s">
        <v>1589</v>
      </c>
      <c r="AH68" t="s">
        <v>1588</v>
      </c>
      <c r="AI68" t="s">
        <v>1432</v>
      </c>
      <c r="AJ68" t="s">
        <v>1590</v>
      </c>
      <c r="AK68" s="2"/>
    </row>
    <row r="69" spans="1:37" x14ac:dyDescent="0.45">
      <c r="A69" t="s">
        <v>197</v>
      </c>
      <c r="B69" t="s">
        <v>198</v>
      </c>
      <c r="C69" t="s">
        <v>163</v>
      </c>
      <c r="D69" t="s">
        <v>196</v>
      </c>
      <c r="E69" s="2">
        <v>1</v>
      </c>
      <c r="F69" s="2"/>
      <c r="G69" s="3">
        <v>6.8000000000000005E-2</v>
      </c>
      <c r="H69" s="3">
        <v>11.2201</v>
      </c>
      <c r="I69" s="3">
        <v>0</v>
      </c>
      <c r="M69" s="3">
        <v>2.78</v>
      </c>
      <c r="N69" s="3">
        <v>3433</v>
      </c>
      <c r="O69" s="3">
        <v>0.33</v>
      </c>
      <c r="P69" s="3">
        <v>0.35099999999999998</v>
      </c>
      <c r="Q69" s="3">
        <v>-0.19</v>
      </c>
      <c r="R69" t="s">
        <v>1426</v>
      </c>
      <c r="S69">
        <v>0</v>
      </c>
      <c r="T69" t="s">
        <v>1427</v>
      </c>
      <c r="U69" s="3">
        <v>2025</v>
      </c>
      <c r="V69" s="3">
        <v>11.485270684917401</v>
      </c>
      <c r="W69" s="3">
        <v>11.640847277088289</v>
      </c>
      <c r="X69" s="3">
        <v>1.336471379339337</v>
      </c>
      <c r="Y69" t="s">
        <v>73</v>
      </c>
      <c r="Z69" s="3">
        <v>37.998398882554191</v>
      </c>
      <c r="AA69" t="s">
        <v>1428</v>
      </c>
      <c r="AB69">
        <v>1</v>
      </c>
      <c r="AC69" s="3">
        <v>2</v>
      </c>
      <c r="AD69" s="3">
        <v>2</v>
      </c>
      <c r="AE69" t="s">
        <v>1429</v>
      </c>
      <c r="AF69" t="s">
        <v>1591</v>
      </c>
      <c r="AG69" t="s">
        <v>1592</v>
      </c>
      <c r="AH69" t="s">
        <v>1591</v>
      </c>
      <c r="AI69" t="s">
        <v>1432</v>
      </c>
      <c r="AJ69" t="s">
        <v>1593</v>
      </c>
      <c r="AK69" s="2"/>
    </row>
    <row r="70" spans="1:37" x14ac:dyDescent="0.45">
      <c r="A70" t="s">
        <v>155</v>
      </c>
      <c r="B70" t="s">
        <v>158</v>
      </c>
      <c r="C70" t="s">
        <v>157</v>
      </c>
      <c r="D70" t="s">
        <v>154</v>
      </c>
      <c r="E70" s="2">
        <v>1</v>
      </c>
      <c r="F70" s="2"/>
      <c r="G70" s="3">
        <v>0.13900000000000001</v>
      </c>
      <c r="H70" s="3">
        <v>37.9</v>
      </c>
      <c r="K70" s="3">
        <v>215</v>
      </c>
      <c r="M70" s="3">
        <v>3.4</v>
      </c>
      <c r="N70" s="3">
        <v>3379</v>
      </c>
      <c r="O70" s="3">
        <v>0.25</v>
      </c>
      <c r="P70" s="3">
        <v>0.28000000000000003</v>
      </c>
      <c r="Q70" s="3">
        <v>-0.28000000000000003</v>
      </c>
      <c r="R70" t="s">
        <v>1426</v>
      </c>
      <c r="S70">
        <v>0</v>
      </c>
      <c r="T70" t="s">
        <v>1427</v>
      </c>
      <c r="U70" s="3">
        <v>2026</v>
      </c>
      <c r="V70" s="3">
        <v>22.316783741648031</v>
      </c>
      <c r="W70" s="3">
        <v>11.2670720682249</v>
      </c>
      <c r="X70" s="3">
        <v>98.07083514256766</v>
      </c>
      <c r="Y70" t="s">
        <v>73</v>
      </c>
      <c r="Z70" s="3">
        <v>6.2036936055562952</v>
      </c>
      <c r="AA70" t="s">
        <v>1428</v>
      </c>
      <c r="AB70">
        <v>1</v>
      </c>
      <c r="AC70" s="3">
        <v>2</v>
      </c>
      <c r="AD70" s="3">
        <v>2</v>
      </c>
      <c r="AE70" t="s">
        <v>1429</v>
      </c>
      <c r="AF70" t="s">
        <v>1594</v>
      </c>
      <c r="AG70" t="s">
        <v>1595</v>
      </c>
      <c r="AH70" t="s">
        <v>1594</v>
      </c>
      <c r="AI70" t="s">
        <v>1432</v>
      </c>
      <c r="AJ70" t="s">
        <v>1596</v>
      </c>
      <c r="AK70" s="2"/>
    </row>
    <row r="71" spans="1:37" x14ac:dyDescent="0.45">
      <c r="A71" t="s">
        <v>1074</v>
      </c>
      <c r="B71" t="s">
        <v>1076</v>
      </c>
      <c r="C71" t="s">
        <v>1075</v>
      </c>
      <c r="D71" t="s">
        <v>1073</v>
      </c>
      <c r="E71" s="2">
        <v>1</v>
      </c>
      <c r="F71" s="2"/>
      <c r="G71" s="3">
        <v>0.17519999999999999</v>
      </c>
      <c r="H71" s="3">
        <v>39.629899999999999</v>
      </c>
      <c r="I71" s="3">
        <v>0</v>
      </c>
      <c r="J71" s="3">
        <v>0.89</v>
      </c>
      <c r="K71" s="3">
        <v>271</v>
      </c>
      <c r="M71" s="3">
        <v>8.11</v>
      </c>
      <c r="N71" s="3">
        <v>3450</v>
      </c>
      <c r="O71" s="3">
        <v>0.47</v>
      </c>
      <c r="P71" s="3">
        <v>0.46300000000000002</v>
      </c>
      <c r="R71" t="s">
        <v>1426</v>
      </c>
      <c r="S71">
        <v>0</v>
      </c>
      <c r="T71" t="s">
        <v>1427</v>
      </c>
      <c r="U71" s="3">
        <v>2026</v>
      </c>
      <c r="V71" s="3">
        <v>26.854607209512409</v>
      </c>
      <c r="W71" s="3">
        <v>26.86419620701728</v>
      </c>
      <c r="X71" s="3">
        <v>3.5694339897516372E-2</v>
      </c>
      <c r="Y71" t="s">
        <v>73</v>
      </c>
      <c r="Z71" s="3">
        <v>38.021487812466901</v>
      </c>
      <c r="AA71" t="s">
        <v>1428</v>
      </c>
      <c r="AB71">
        <v>1</v>
      </c>
      <c r="AC71" s="3">
        <v>1</v>
      </c>
      <c r="AD71" s="3">
        <v>1</v>
      </c>
      <c r="AE71" t="s">
        <v>1429</v>
      </c>
      <c r="AF71" t="s">
        <v>1597</v>
      </c>
      <c r="AG71" t="s">
        <v>1598</v>
      </c>
      <c r="AH71" t="s">
        <v>1597</v>
      </c>
      <c r="AI71" t="s">
        <v>1432</v>
      </c>
      <c r="AJ71" t="s">
        <v>1599</v>
      </c>
      <c r="AK71" s="2"/>
    </row>
    <row r="72" spans="1:37" x14ac:dyDescent="0.45">
      <c r="A72" t="s">
        <v>554</v>
      </c>
      <c r="B72" t="s">
        <v>556</v>
      </c>
      <c r="C72" t="s">
        <v>555</v>
      </c>
      <c r="D72" t="s">
        <v>553</v>
      </c>
      <c r="E72" s="2">
        <v>1</v>
      </c>
      <c r="F72" s="2"/>
      <c r="G72" s="3">
        <v>0.34300000000000003</v>
      </c>
      <c r="H72" s="3">
        <v>105.911</v>
      </c>
      <c r="I72" s="3">
        <v>0.10100000000000001</v>
      </c>
      <c r="M72" s="3">
        <v>12.214</v>
      </c>
      <c r="N72" s="3">
        <v>3534</v>
      </c>
      <c r="O72" s="3">
        <v>0.48399999999999999</v>
      </c>
      <c r="P72" s="3">
        <v>0.48099999999999998</v>
      </c>
      <c r="Q72" s="3">
        <v>-0.04</v>
      </c>
      <c r="R72" t="s">
        <v>1426</v>
      </c>
      <c r="S72">
        <v>0</v>
      </c>
      <c r="T72" t="s">
        <v>1427</v>
      </c>
      <c r="U72" s="3">
        <v>2018</v>
      </c>
      <c r="V72" s="3">
        <v>19.27776624568806</v>
      </c>
      <c r="W72" s="3">
        <v>19.145053215595119</v>
      </c>
      <c r="X72" s="3">
        <v>0.69319749910560091</v>
      </c>
      <c r="Y72" t="s">
        <v>73</v>
      </c>
      <c r="Z72" s="3">
        <v>22.54369841508268</v>
      </c>
      <c r="AA72" t="s">
        <v>1428</v>
      </c>
      <c r="AB72">
        <v>2</v>
      </c>
      <c r="AC72" s="3">
        <v>1</v>
      </c>
      <c r="AD72" s="3">
        <v>2</v>
      </c>
      <c r="AE72" t="s">
        <v>1429</v>
      </c>
      <c r="AF72" t="s">
        <v>1588</v>
      </c>
      <c r="AG72" t="s">
        <v>1589</v>
      </c>
      <c r="AH72" t="s">
        <v>1588</v>
      </c>
      <c r="AI72" t="s">
        <v>1432</v>
      </c>
      <c r="AJ72" t="s">
        <v>1590</v>
      </c>
      <c r="AK72" s="2"/>
    </row>
    <row r="73" spans="1:37" x14ac:dyDescent="0.45">
      <c r="A73" t="s">
        <v>1600</v>
      </c>
      <c r="B73" t="s">
        <v>1283</v>
      </c>
      <c r="C73" t="s">
        <v>1282</v>
      </c>
      <c r="D73" t="s">
        <v>1280</v>
      </c>
      <c r="E73" s="2">
        <v>1</v>
      </c>
      <c r="F73" s="2"/>
      <c r="G73" s="3">
        <v>0.32</v>
      </c>
      <c r="H73" s="3">
        <v>74.72</v>
      </c>
      <c r="I73" s="3">
        <v>0.13</v>
      </c>
      <c r="K73" s="3">
        <v>355</v>
      </c>
      <c r="M73" s="3">
        <v>16.899999999999999</v>
      </c>
      <c r="N73" s="3">
        <v>5166</v>
      </c>
      <c r="O73" s="3">
        <v>0.8</v>
      </c>
      <c r="Q73" s="3">
        <v>-0.04</v>
      </c>
      <c r="R73" t="s">
        <v>1601</v>
      </c>
      <c r="S73">
        <v>0</v>
      </c>
      <c r="T73" t="s">
        <v>1427</v>
      </c>
      <c r="U73" s="3">
        <v>2011</v>
      </c>
      <c r="V73" s="3">
        <v>28.691552544450879</v>
      </c>
      <c r="W73" s="3">
        <v>29.064120974716712</v>
      </c>
      <c r="X73" s="3">
        <v>1.281884391377037</v>
      </c>
      <c r="Y73" t="s">
        <v>73</v>
      </c>
      <c r="Z73" s="3">
        <v>20.653493889613731</v>
      </c>
      <c r="AA73" t="s">
        <v>1428</v>
      </c>
      <c r="AB73">
        <v>4</v>
      </c>
      <c r="AC73" s="3">
        <v>2</v>
      </c>
      <c r="AD73" s="3">
        <v>1</v>
      </c>
      <c r="AE73" t="s">
        <v>1429</v>
      </c>
      <c r="AF73" t="s">
        <v>1602</v>
      </c>
      <c r="AG73" t="s">
        <v>1603</v>
      </c>
      <c r="AH73" t="s">
        <v>1602</v>
      </c>
      <c r="AI73" t="s">
        <v>1432</v>
      </c>
      <c r="AJ73" t="s">
        <v>1604</v>
      </c>
      <c r="AK73" s="2"/>
    </row>
    <row r="74" spans="1:37" x14ac:dyDescent="0.45">
      <c r="A74" t="s">
        <v>1605</v>
      </c>
      <c r="B74" t="s">
        <v>1283</v>
      </c>
      <c r="C74" t="s">
        <v>1282</v>
      </c>
      <c r="D74" t="s">
        <v>1280</v>
      </c>
      <c r="E74" s="2">
        <v>1</v>
      </c>
      <c r="F74" s="2"/>
      <c r="G74" s="3">
        <v>1.18</v>
      </c>
      <c r="H74" s="3">
        <v>525.79999999999995</v>
      </c>
      <c r="I74" s="3">
        <v>0.32</v>
      </c>
      <c r="K74" s="3">
        <v>185</v>
      </c>
      <c r="M74" s="3">
        <v>24</v>
      </c>
      <c r="N74" s="3">
        <v>5166</v>
      </c>
      <c r="O74" s="3">
        <v>0.8</v>
      </c>
      <c r="Q74" s="3">
        <v>-0.04</v>
      </c>
      <c r="R74" t="s">
        <v>1601</v>
      </c>
      <c r="S74">
        <v>0</v>
      </c>
      <c r="T74" t="s">
        <v>1427</v>
      </c>
      <c r="U74" s="3">
        <v>2011</v>
      </c>
      <c r="V74" s="3">
        <v>28.691552544450879</v>
      </c>
      <c r="W74" s="3">
        <v>29.064120974716712</v>
      </c>
      <c r="X74" s="3">
        <v>1.281884391377037</v>
      </c>
      <c r="Y74" t="s">
        <v>73</v>
      </c>
      <c r="Z74" s="3">
        <v>20.653493889613731</v>
      </c>
      <c r="AA74" t="s">
        <v>1428</v>
      </c>
      <c r="AB74">
        <v>2</v>
      </c>
      <c r="AC74" s="3">
        <v>2</v>
      </c>
      <c r="AD74" s="3">
        <v>1</v>
      </c>
      <c r="AE74" t="s">
        <v>1429</v>
      </c>
      <c r="AF74" t="s">
        <v>1602</v>
      </c>
      <c r="AG74" t="s">
        <v>1603</v>
      </c>
      <c r="AH74" t="s">
        <v>1602</v>
      </c>
      <c r="AI74" t="s">
        <v>1432</v>
      </c>
      <c r="AJ74" t="s">
        <v>1604</v>
      </c>
      <c r="AK74" s="2"/>
    </row>
    <row r="75" spans="1:37" x14ac:dyDescent="0.45">
      <c r="A75" t="s">
        <v>1606</v>
      </c>
      <c r="B75" t="s">
        <v>630</v>
      </c>
      <c r="C75" t="s">
        <v>629</v>
      </c>
      <c r="D75" t="s">
        <v>627</v>
      </c>
      <c r="E75" s="2">
        <v>1</v>
      </c>
      <c r="F75" s="2"/>
      <c r="G75" s="3">
        <v>0.12570000000000001</v>
      </c>
      <c r="H75" s="3">
        <v>18.314</v>
      </c>
      <c r="I75" s="3">
        <v>6.4000000000000001E-2</v>
      </c>
      <c r="M75" s="3">
        <v>2.15</v>
      </c>
      <c r="N75" s="3">
        <v>5368</v>
      </c>
      <c r="O75" s="3">
        <v>0.79</v>
      </c>
      <c r="P75" s="3">
        <v>0.93</v>
      </c>
      <c r="Q75" s="3">
        <v>-0.42</v>
      </c>
      <c r="R75" t="s">
        <v>1426</v>
      </c>
      <c r="S75">
        <v>0</v>
      </c>
      <c r="T75" t="s">
        <v>1427</v>
      </c>
      <c r="U75" s="3">
        <v>2011</v>
      </c>
      <c r="V75" s="3">
        <v>19.57844981030512</v>
      </c>
      <c r="W75" s="3">
        <v>19.71093453093367</v>
      </c>
      <c r="X75" s="3">
        <v>0.67213820035080496</v>
      </c>
      <c r="Y75" t="s">
        <v>73</v>
      </c>
      <c r="Z75" s="3">
        <v>55.353823287300877</v>
      </c>
      <c r="AA75" t="s">
        <v>1428</v>
      </c>
      <c r="AB75">
        <v>4</v>
      </c>
      <c r="AC75" s="3">
        <v>4</v>
      </c>
      <c r="AD75" s="3">
        <v>1</v>
      </c>
      <c r="AE75" t="s">
        <v>1429</v>
      </c>
      <c r="AF75" t="s">
        <v>1607</v>
      </c>
      <c r="AG75" t="s">
        <v>1608</v>
      </c>
      <c r="AH75" t="s">
        <v>1607</v>
      </c>
      <c r="AI75" t="s">
        <v>1432</v>
      </c>
      <c r="AJ75" t="s">
        <v>1609</v>
      </c>
      <c r="AK75" s="2"/>
    </row>
    <row r="76" spans="1:37" x14ac:dyDescent="0.45">
      <c r="A76" t="s">
        <v>1610</v>
      </c>
      <c r="B76" t="s">
        <v>630</v>
      </c>
      <c r="C76" t="s">
        <v>629</v>
      </c>
      <c r="D76" t="s">
        <v>627</v>
      </c>
      <c r="E76" s="2">
        <v>1</v>
      </c>
      <c r="F76" s="2"/>
      <c r="G76" s="3">
        <v>0.36249999999999999</v>
      </c>
      <c r="H76" s="3">
        <v>89.68</v>
      </c>
      <c r="I76" s="3">
        <v>7.6999999999999999E-2</v>
      </c>
      <c r="M76" s="3">
        <v>2.98</v>
      </c>
      <c r="N76" s="3">
        <v>5368</v>
      </c>
      <c r="O76" s="3">
        <v>0.79</v>
      </c>
      <c r="P76" s="3">
        <v>0.93</v>
      </c>
      <c r="Q76" s="3">
        <v>-0.42</v>
      </c>
      <c r="R76" t="s">
        <v>1426</v>
      </c>
      <c r="S76">
        <v>0</v>
      </c>
      <c r="T76" t="s">
        <v>1427</v>
      </c>
      <c r="U76" s="3">
        <v>2011</v>
      </c>
      <c r="V76" s="3">
        <v>19.57844981030512</v>
      </c>
      <c r="W76" s="3">
        <v>19.71093453093367</v>
      </c>
      <c r="X76" s="3">
        <v>0.67213820035080496</v>
      </c>
      <c r="Y76" t="s">
        <v>73</v>
      </c>
      <c r="Z76" s="3">
        <v>55.353823287300877</v>
      </c>
      <c r="AA76" t="s">
        <v>1428</v>
      </c>
      <c r="AB76">
        <v>4</v>
      </c>
      <c r="AC76" s="3">
        <v>4</v>
      </c>
      <c r="AD76" s="3">
        <v>1</v>
      </c>
      <c r="AE76" t="s">
        <v>1429</v>
      </c>
      <c r="AF76" t="s">
        <v>1607</v>
      </c>
      <c r="AG76" t="s">
        <v>1608</v>
      </c>
      <c r="AH76" t="s">
        <v>1607</v>
      </c>
      <c r="AI76" t="s">
        <v>1432</v>
      </c>
      <c r="AJ76" t="s">
        <v>1609</v>
      </c>
      <c r="AK76" s="2"/>
    </row>
    <row r="77" spans="1:37" x14ac:dyDescent="0.45">
      <c r="A77" t="s">
        <v>1611</v>
      </c>
      <c r="B77" t="s">
        <v>630</v>
      </c>
      <c r="C77" t="s">
        <v>629</v>
      </c>
      <c r="D77" t="s">
        <v>627</v>
      </c>
      <c r="E77" s="2">
        <v>1</v>
      </c>
      <c r="F77" s="2"/>
      <c r="G77" s="3">
        <v>0.50900000000000001</v>
      </c>
      <c r="H77" s="3">
        <v>147.02000000000001</v>
      </c>
      <c r="I77" s="3">
        <v>0.28999999999999998</v>
      </c>
      <c r="M77" s="3">
        <v>4.7699999999999996</v>
      </c>
      <c r="O77" s="3">
        <v>0.81299999999999994</v>
      </c>
      <c r="R77" t="s">
        <v>1426</v>
      </c>
      <c r="S77">
        <v>1</v>
      </c>
      <c r="T77" t="s">
        <v>1427</v>
      </c>
      <c r="U77" s="3">
        <v>2017</v>
      </c>
      <c r="V77" s="3">
        <v>19.57844981030512</v>
      </c>
      <c r="W77" s="3">
        <v>19.71093453093367</v>
      </c>
      <c r="X77" s="3">
        <v>0.67213820035080496</v>
      </c>
      <c r="Y77" t="s">
        <v>73</v>
      </c>
      <c r="Z77" s="3">
        <v>55.353823287300877</v>
      </c>
      <c r="AA77" t="s">
        <v>1428</v>
      </c>
      <c r="AB77">
        <v>1</v>
      </c>
      <c r="AC77" s="3">
        <v>4</v>
      </c>
      <c r="AD77" s="3">
        <v>1</v>
      </c>
      <c r="AE77" t="s">
        <v>1429</v>
      </c>
      <c r="AF77" t="s">
        <v>1612</v>
      </c>
      <c r="AG77" t="s">
        <v>1613</v>
      </c>
      <c r="AH77" t="s">
        <v>1612</v>
      </c>
      <c r="AI77" t="s">
        <v>1432</v>
      </c>
      <c r="AJ77" t="s">
        <v>1614</v>
      </c>
      <c r="AK77" s="2"/>
    </row>
    <row r="78" spans="1:37" x14ac:dyDescent="0.45">
      <c r="A78" t="s">
        <v>1615</v>
      </c>
      <c r="B78" t="s">
        <v>630</v>
      </c>
      <c r="C78" t="s">
        <v>629</v>
      </c>
      <c r="D78" t="s">
        <v>627</v>
      </c>
      <c r="E78" s="2">
        <v>1</v>
      </c>
      <c r="F78" s="2"/>
      <c r="G78" s="3">
        <v>1.3541000000000001</v>
      </c>
      <c r="H78" s="3">
        <v>647.6</v>
      </c>
      <c r="I78" s="3">
        <v>0.45</v>
      </c>
      <c r="M78" s="3">
        <v>5.82</v>
      </c>
      <c r="N78" s="3">
        <v>5368</v>
      </c>
      <c r="O78" s="3">
        <v>0.79</v>
      </c>
      <c r="P78" s="3">
        <v>0.93</v>
      </c>
      <c r="Q78" s="3">
        <v>-0.42</v>
      </c>
      <c r="R78" t="s">
        <v>1426</v>
      </c>
      <c r="S78">
        <v>0</v>
      </c>
      <c r="T78" t="s">
        <v>1427</v>
      </c>
      <c r="U78" s="3">
        <v>2025</v>
      </c>
      <c r="V78" s="3">
        <v>19.57844981030512</v>
      </c>
      <c r="W78" s="3">
        <v>19.71093453093367</v>
      </c>
      <c r="X78" s="3">
        <v>0.67213820035080496</v>
      </c>
      <c r="Y78" t="s">
        <v>73</v>
      </c>
      <c r="Z78" s="3">
        <v>55.353823287300877</v>
      </c>
      <c r="AA78" t="s">
        <v>1428</v>
      </c>
      <c r="AB78">
        <v>1</v>
      </c>
      <c r="AC78" s="3">
        <v>4</v>
      </c>
      <c r="AD78" s="3">
        <v>1</v>
      </c>
      <c r="AE78" t="s">
        <v>1429</v>
      </c>
      <c r="AF78" t="s">
        <v>1607</v>
      </c>
      <c r="AG78" t="s">
        <v>1608</v>
      </c>
      <c r="AH78" t="s">
        <v>1607</v>
      </c>
      <c r="AI78" t="s">
        <v>1432</v>
      </c>
      <c r="AJ78" t="s">
        <v>1609</v>
      </c>
      <c r="AK78" s="2"/>
    </row>
    <row r="79" spans="1:37" x14ac:dyDescent="0.45">
      <c r="A79" t="s">
        <v>1616</v>
      </c>
      <c r="B79" t="s">
        <v>729</v>
      </c>
      <c r="C79" t="s">
        <v>728</v>
      </c>
      <c r="D79" t="s">
        <v>726</v>
      </c>
      <c r="E79" s="2">
        <v>1</v>
      </c>
      <c r="F79" s="2"/>
      <c r="G79" s="3">
        <v>3.8760000000000003E-2</v>
      </c>
      <c r="H79" s="3">
        <v>3.0929259999999998</v>
      </c>
      <c r="I79" s="3">
        <v>0</v>
      </c>
      <c r="J79" s="3">
        <v>176.2</v>
      </c>
      <c r="K79" s="3">
        <v>1015</v>
      </c>
      <c r="L79" s="3">
        <v>1.6020000000000001</v>
      </c>
      <c r="M79" s="3">
        <v>4.74</v>
      </c>
      <c r="N79" s="3">
        <v>4699</v>
      </c>
      <c r="O79" s="3">
        <v>0.81</v>
      </c>
      <c r="P79" s="3">
        <v>0.77800000000000002</v>
      </c>
      <c r="Q79" s="3">
        <v>0.11</v>
      </c>
      <c r="R79" t="s">
        <v>1453</v>
      </c>
      <c r="S79">
        <v>0</v>
      </c>
      <c r="T79" t="s">
        <v>1427</v>
      </c>
      <c r="U79" s="3">
        <v>2015</v>
      </c>
      <c r="V79" s="3">
        <v>21.30215365090034</v>
      </c>
      <c r="W79" s="3">
        <v>21.350848798093448</v>
      </c>
      <c r="X79" s="3">
        <v>0.22807124744125851</v>
      </c>
      <c r="Y79" t="s">
        <v>73</v>
      </c>
      <c r="Z79" s="3">
        <v>40.723285961998101</v>
      </c>
      <c r="AA79" t="s">
        <v>1428</v>
      </c>
      <c r="AB79">
        <v>8</v>
      </c>
      <c r="AC79" s="3">
        <v>6</v>
      </c>
      <c r="AD79" s="3">
        <v>1</v>
      </c>
      <c r="AE79" t="s">
        <v>1429</v>
      </c>
      <c r="AF79" t="s">
        <v>1617</v>
      </c>
      <c r="AG79" t="s">
        <v>1618</v>
      </c>
      <c r="AH79" t="s">
        <v>1617</v>
      </c>
      <c r="AI79" t="s">
        <v>1432</v>
      </c>
      <c r="AJ79" t="s">
        <v>1619</v>
      </c>
      <c r="AK79" s="2"/>
    </row>
    <row r="80" spans="1:37" x14ac:dyDescent="0.45">
      <c r="A80" t="s">
        <v>1620</v>
      </c>
      <c r="B80" t="s">
        <v>729</v>
      </c>
      <c r="C80" t="s">
        <v>728</v>
      </c>
      <c r="D80" t="s">
        <v>726</v>
      </c>
      <c r="E80" s="2">
        <v>1</v>
      </c>
      <c r="F80" s="2"/>
      <c r="G80" s="3">
        <v>6.5299999999999997E-2</v>
      </c>
      <c r="H80" s="3">
        <v>6.7645799999999996</v>
      </c>
      <c r="I80" s="3">
        <v>6.2E-2</v>
      </c>
      <c r="J80" s="3">
        <v>62.1</v>
      </c>
      <c r="K80" s="3">
        <v>782</v>
      </c>
      <c r="L80" s="3">
        <v>1.5109999999999999</v>
      </c>
      <c r="M80" s="3">
        <v>4.3600000000000003</v>
      </c>
      <c r="N80" s="3">
        <v>4699</v>
      </c>
      <c r="O80" s="3">
        <v>0.81</v>
      </c>
      <c r="P80" s="3">
        <v>0.77800000000000002</v>
      </c>
      <c r="Q80" s="3">
        <v>0.11</v>
      </c>
      <c r="R80" t="s">
        <v>1453</v>
      </c>
      <c r="S80">
        <v>0</v>
      </c>
      <c r="T80" t="s">
        <v>1427</v>
      </c>
      <c r="U80" s="3">
        <v>2015</v>
      </c>
      <c r="V80" s="3">
        <v>21.30215365090034</v>
      </c>
      <c r="W80" s="3">
        <v>21.350848798093448</v>
      </c>
      <c r="X80" s="3">
        <v>0.22807124744125851</v>
      </c>
      <c r="Y80" t="s">
        <v>73</v>
      </c>
      <c r="Z80" s="3">
        <v>40.723285961998101</v>
      </c>
      <c r="AA80" t="s">
        <v>1428</v>
      </c>
      <c r="AB80">
        <v>7</v>
      </c>
      <c r="AC80" s="3">
        <v>6</v>
      </c>
      <c r="AD80" s="3">
        <v>1</v>
      </c>
      <c r="AE80" t="s">
        <v>1429</v>
      </c>
      <c r="AF80" t="s">
        <v>1617</v>
      </c>
      <c r="AG80" t="s">
        <v>1618</v>
      </c>
      <c r="AH80" t="s">
        <v>1617</v>
      </c>
      <c r="AI80" t="s">
        <v>1432</v>
      </c>
      <c r="AJ80" t="s">
        <v>1619</v>
      </c>
      <c r="AK80" s="2"/>
    </row>
    <row r="81" spans="1:37" x14ac:dyDescent="0.45">
      <c r="A81" t="s">
        <v>1621</v>
      </c>
      <c r="B81" t="s">
        <v>729</v>
      </c>
      <c r="C81" t="s">
        <v>728</v>
      </c>
      <c r="D81" t="s">
        <v>726</v>
      </c>
      <c r="E81" s="2">
        <v>1</v>
      </c>
      <c r="F81" s="2" t="s">
        <v>1622</v>
      </c>
      <c r="G81" s="3">
        <v>0.23699999999999999</v>
      </c>
      <c r="H81" s="3">
        <v>46.859000000000002</v>
      </c>
      <c r="I81" s="3">
        <v>0.13800000000000001</v>
      </c>
      <c r="J81" s="3">
        <v>4.72</v>
      </c>
      <c r="K81" s="3">
        <v>410.5</v>
      </c>
      <c r="L81" s="3">
        <v>1.61</v>
      </c>
      <c r="M81" s="3">
        <v>16.170000000000002</v>
      </c>
      <c r="N81" s="3">
        <v>4699</v>
      </c>
      <c r="O81" s="3">
        <v>0.81</v>
      </c>
      <c r="P81" s="3">
        <v>0.77800000000000002</v>
      </c>
      <c r="Q81" s="3">
        <v>0.11</v>
      </c>
      <c r="R81" t="s">
        <v>1453</v>
      </c>
      <c r="S81">
        <v>0</v>
      </c>
      <c r="T81" t="s">
        <v>1427</v>
      </c>
      <c r="U81" s="3">
        <v>2015</v>
      </c>
      <c r="V81" s="3">
        <v>21.30215365090034</v>
      </c>
      <c r="W81" s="3">
        <v>21.350848798093448</v>
      </c>
      <c r="X81" s="3">
        <v>0.22807124744125851</v>
      </c>
      <c r="Y81" t="s">
        <v>73</v>
      </c>
      <c r="Z81" s="3">
        <v>40.723285961998101</v>
      </c>
      <c r="AA81" t="s">
        <v>1428</v>
      </c>
      <c r="AB81">
        <v>5</v>
      </c>
      <c r="AC81" s="3">
        <v>6</v>
      </c>
      <c r="AD81" s="3">
        <v>1</v>
      </c>
      <c r="AE81" t="s">
        <v>1429</v>
      </c>
      <c r="AF81" t="s">
        <v>1617</v>
      </c>
      <c r="AG81" t="s">
        <v>1618</v>
      </c>
      <c r="AH81" t="s">
        <v>1617</v>
      </c>
      <c r="AI81" t="s">
        <v>1432</v>
      </c>
      <c r="AJ81" t="s">
        <v>1619</v>
      </c>
      <c r="AK81" s="2"/>
    </row>
    <row r="82" spans="1:37" x14ac:dyDescent="0.45">
      <c r="A82" t="s">
        <v>1623</v>
      </c>
      <c r="B82" t="s">
        <v>729</v>
      </c>
      <c r="C82" t="s">
        <v>728</v>
      </c>
      <c r="D82" t="s">
        <v>726</v>
      </c>
      <c r="E82" s="2">
        <v>1</v>
      </c>
      <c r="F82" s="2" t="s">
        <v>1622</v>
      </c>
      <c r="G82" s="3">
        <v>0.14630000000000001</v>
      </c>
      <c r="H82" s="3">
        <v>22.716999999999999</v>
      </c>
      <c r="I82" s="3">
        <v>0.14799999999999999</v>
      </c>
      <c r="J82" s="3">
        <v>12.38</v>
      </c>
      <c r="K82" s="3">
        <v>522.6</v>
      </c>
      <c r="L82" s="3">
        <v>1.31</v>
      </c>
      <c r="M82" s="3">
        <v>7.3</v>
      </c>
      <c r="N82" s="3">
        <v>4699</v>
      </c>
      <c r="O82" s="3">
        <v>0.81</v>
      </c>
      <c r="P82" s="3">
        <v>0.77800000000000002</v>
      </c>
      <c r="Q82" s="3">
        <v>0.11</v>
      </c>
      <c r="R82" t="s">
        <v>1453</v>
      </c>
      <c r="S82">
        <v>1</v>
      </c>
      <c r="T82" t="s">
        <v>1427</v>
      </c>
      <c r="U82" s="3">
        <v>2015</v>
      </c>
      <c r="V82" s="3">
        <v>21.30215365090034</v>
      </c>
      <c r="W82" s="3">
        <v>21.350848798093448</v>
      </c>
      <c r="X82" s="3">
        <v>0.22807124744125851</v>
      </c>
      <c r="Y82" t="s">
        <v>73</v>
      </c>
      <c r="Z82" s="3">
        <v>40.723285961998101</v>
      </c>
      <c r="AA82" t="s">
        <v>1428</v>
      </c>
      <c r="AB82">
        <v>4</v>
      </c>
      <c r="AC82" s="3">
        <v>6</v>
      </c>
      <c r="AD82" s="3">
        <v>1</v>
      </c>
      <c r="AE82" t="s">
        <v>1429</v>
      </c>
      <c r="AF82" t="s">
        <v>1617</v>
      </c>
      <c r="AG82" t="s">
        <v>1618</v>
      </c>
      <c r="AH82" t="s">
        <v>1617</v>
      </c>
      <c r="AI82" t="s">
        <v>1432</v>
      </c>
      <c r="AJ82" t="s">
        <v>1619</v>
      </c>
      <c r="AK82" s="2"/>
    </row>
    <row r="83" spans="1:37" x14ac:dyDescent="0.45">
      <c r="A83" t="s">
        <v>1624</v>
      </c>
      <c r="B83" t="s">
        <v>729</v>
      </c>
      <c r="C83" t="s">
        <v>728</v>
      </c>
      <c r="D83" t="s">
        <v>726</v>
      </c>
      <c r="E83" s="2">
        <v>1</v>
      </c>
      <c r="F83" s="2"/>
      <c r="G83" s="3">
        <v>0.37530000000000002</v>
      </c>
      <c r="H83" s="3">
        <v>94.2</v>
      </c>
      <c r="I83" s="3">
        <v>0</v>
      </c>
      <c r="M83" s="3">
        <v>10.80622</v>
      </c>
      <c r="N83" s="3">
        <v>4913</v>
      </c>
      <c r="O83" s="3">
        <v>0.79400000000000004</v>
      </c>
      <c r="P83" s="3">
        <v>0.77</v>
      </c>
      <c r="Q83" s="3">
        <v>0.08</v>
      </c>
      <c r="R83" t="s">
        <v>1426</v>
      </c>
      <c r="S83">
        <v>1</v>
      </c>
      <c r="T83" t="s">
        <v>1427</v>
      </c>
      <c r="U83" s="3">
        <v>2015</v>
      </c>
      <c r="V83" s="3">
        <v>21.30215365090034</v>
      </c>
      <c r="W83" s="3">
        <v>21.350848798093448</v>
      </c>
      <c r="X83" s="3">
        <v>0.22807124744125851</v>
      </c>
      <c r="Y83" t="s">
        <v>73</v>
      </c>
      <c r="Z83" s="3">
        <v>40.723285961998101</v>
      </c>
      <c r="AA83" t="s">
        <v>1428</v>
      </c>
      <c r="AB83">
        <v>1</v>
      </c>
      <c r="AC83" s="3">
        <v>6</v>
      </c>
      <c r="AD83" s="3">
        <v>1</v>
      </c>
      <c r="AE83" t="s">
        <v>1429</v>
      </c>
      <c r="AF83" t="s">
        <v>1625</v>
      </c>
      <c r="AG83" t="s">
        <v>1626</v>
      </c>
      <c r="AH83" t="s">
        <v>1625</v>
      </c>
      <c r="AI83" t="s">
        <v>1432</v>
      </c>
      <c r="AJ83" t="s">
        <v>1627</v>
      </c>
      <c r="AK83" s="2"/>
    </row>
    <row r="84" spans="1:37" x14ac:dyDescent="0.45">
      <c r="A84" t="s">
        <v>1628</v>
      </c>
      <c r="B84" t="s">
        <v>729</v>
      </c>
      <c r="C84" t="s">
        <v>728</v>
      </c>
      <c r="D84" t="s">
        <v>726</v>
      </c>
      <c r="E84" s="2">
        <v>1</v>
      </c>
      <c r="F84" s="2"/>
      <c r="G84" s="3">
        <v>3.11</v>
      </c>
      <c r="H84" s="3">
        <v>2247</v>
      </c>
      <c r="I84" s="3">
        <v>0.06</v>
      </c>
      <c r="M84" s="3">
        <v>108.0622</v>
      </c>
      <c r="N84" s="3">
        <v>4913</v>
      </c>
      <c r="O84" s="3">
        <v>0.79400000000000004</v>
      </c>
      <c r="P84" s="3">
        <v>0.77</v>
      </c>
      <c r="Q84" s="3">
        <v>0.08</v>
      </c>
      <c r="R84" t="s">
        <v>1426</v>
      </c>
      <c r="S84">
        <v>0</v>
      </c>
      <c r="T84" t="s">
        <v>1427</v>
      </c>
      <c r="U84" s="3">
        <v>2015</v>
      </c>
      <c r="V84" s="3">
        <v>21.30215365090034</v>
      </c>
      <c r="W84" s="3">
        <v>21.350848798093448</v>
      </c>
      <c r="X84" s="3">
        <v>0.22807124744125851</v>
      </c>
      <c r="Y84" t="s">
        <v>73</v>
      </c>
      <c r="Z84" s="3">
        <v>40.723285961998101</v>
      </c>
      <c r="AA84" t="s">
        <v>1428</v>
      </c>
      <c r="AB84">
        <v>5</v>
      </c>
      <c r="AC84" s="3">
        <v>6</v>
      </c>
      <c r="AD84" s="3">
        <v>1</v>
      </c>
      <c r="AE84" t="s">
        <v>1429</v>
      </c>
      <c r="AF84" t="s">
        <v>1625</v>
      </c>
      <c r="AG84" t="s">
        <v>1626</v>
      </c>
      <c r="AH84" t="s">
        <v>1625</v>
      </c>
      <c r="AI84" t="s">
        <v>1432</v>
      </c>
      <c r="AJ84" t="s">
        <v>1627</v>
      </c>
      <c r="AK84" s="2"/>
    </row>
    <row r="85" spans="1:37" x14ac:dyDescent="0.45">
      <c r="A85" t="s">
        <v>1629</v>
      </c>
      <c r="B85" t="s">
        <v>87</v>
      </c>
      <c r="C85" t="s">
        <v>86</v>
      </c>
      <c r="D85" t="s">
        <v>83</v>
      </c>
      <c r="E85" s="2">
        <v>1</v>
      </c>
      <c r="F85" s="2"/>
      <c r="G85" s="3">
        <v>2.94</v>
      </c>
      <c r="H85" s="3">
        <v>2946</v>
      </c>
      <c r="I85" s="3">
        <v>0.13200000000000001</v>
      </c>
      <c r="M85" s="3">
        <v>13.6</v>
      </c>
      <c r="N85" s="3">
        <v>3719</v>
      </c>
      <c r="O85" s="3">
        <v>0.38990000000000002</v>
      </c>
      <c r="P85" s="3">
        <v>0.36849999999999999</v>
      </c>
      <c r="Q85" s="3">
        <v>-0.36209999999999998</v>
      </c>
      <c r="R85" t="s">
        <v>1426</v>
      </c>
      <c r="S85">
        <v>0</v>
      </c>
      <c r="T85" t="s">
        <v>1427</v>
      </c>
      <c r="U85" s="3">
        <v>2021</v>
      </c>
      <c r="V85" s="3">
        <v>18.51189562422493</v>
      </c>
      <c r="W85" s="3">
        <v>8.306876784067736</v>
      </c>
      <c r="X85" s="3">
        <v>122.85024932270601</v>
      </c>
      <c r="Y85" t="s">
        <v>73</v>
      </c>
      <c r="Z85" s="3">
        <v>8.7840391381335454</v>
      </c>
      <c r="AA85" t="s">
        <v>1428</v>
      </c>
      <c r="AB85">
        <v>3</v>
      </c>
      <c r="AC85" s="3">
        <v>2</v>
      </c>
      <c r="AD85" s="3">
        <v>1</v>
      </c>
      <c r="AE85" t="s">
        <v>1429</v>
      </c>
      <c r="AF85" t="s">
        <v>1507</v>
      </c>
      <c r="AG85" t="s">
        <v>1508</v>
      </c>
      <c r="AH85" t="s">
        <v>1507</v>
      </c>
      <c r="AI85" t="s">
        <v>1432</v>
      </c>
      <c r="AJ85" t="s">
        <v>1509</v>
      </c>
      <c r="AK85" s="2"/>
    </row>
    <row r="86" spans="1:37" x14ac:dyDescent="0.45">
      <c r="A86" t="s">
        <v>640</v>
      </c>
      <c r="B86" t="s">
        <v>642</v>
      </c>
      <c r="C86" t="s">
        <v>641</v>
      </c>
      <c r="D86" t="s">
        <v>639</v>
      </c>
      <c r="E86" s="2">
        <v>1</v>
      </c>
      <c r="F86" s="2"/>
      <c r="G86" s="3">
        <v>0.14169999999999999</v>
      </c>
      <c r="H86" s="3">
        <v>36.116</v>
      </c>
      <c r="I86" s="3">
        <v>7.9000000000000001E-2</v>
      </c>
      <c r="J86" s="3">
        <v>0.503</v>
      </c>
      <c r="K86" s="3">
        <v>234.4</v>
      </c>
      <c r="M86" s="3">
        <v>5.46</v>
      </c>
      <c r="N86" s="3">
        <v>3347</v>
      </c>
      <c r="O86" s="3">
        <v>0.29099999999999998</v>
      </c>
      <c r="P86" s="3">
        <v>0.29899999999999999</v>
      </c>
      <c r="Q86" s="3">
        <v>-0.18</v>
      </c>
      <c r="R86" t="s">
        <v>1426</v>
      </c>
      <c r="S86">
        <v>0</v>
      </c>
      <c r="T86" t="s">
        <v>1427</v>
      </c>
      <c r="U86" s="3">
        <v>2023</v>
      </c>
      <c r="V86" s="3">
        <v>20.366574081419859</v>
      </c>
      <c r="W86" s="3">
        <v>19.76833805341181</v>
      </c>
      <c r="X86" s="3">
        <v>3.0262332948358339</v>
      </c>
      <c r="Y86" t="s">
        <v>73</v>
      </c>
      <c r="Z86" s="3">
        <v>10.73907415309634</v>
      </c>
      <c r="AA86" t="s">
        <v>1428</v>
      </c>
      <c r="AB86">
        <v>1</v>
      </c>
      <c r="AC86" s="3">
        <v>1</v>
      </c>
      <c r="AD86" s="3">
        <v>1</v>
      </c>
      <c r="AE86" t="s">
        <v>1429</v>
      </c>
      <c r="AF86" t="s">
        <v>1630</v>
      </c>
      <c r="AG86" t="s">
        <v>1631</v>
      </c>
      <c r="AH86" t="s">
        <v>1630</v>
      </c>
      <c r="AI86" t="s">
        <v>1432</v>
      </c>
      <c r="AJ86" t="s">
        <v>1632</v>
      </c>
      <c r="AK86" s="2"/>
    </row>
    <row r="87" spans="1:37" x14ac:dyDescent="0.45">
      <c r="A87" t="s">
        <v>254</v>
      </c>
      <c r="B87" t="s">
        <v>256</v>
      </c>
      <c r="C87" t="s">
        <v>255</v>
      </c>
      <c r="D87" t="s">
        <v>253</v>
      </c>
      <c r="E87" s="2">
        <v>1</v>
      </c>
      <c r="F87" s="2"/>
      <c r="G87" s="3">
        <v>0.311</v>
      </c>
      <c r="H87" s="3">
        <v>121.54</v>
      </c>
      <c r="I87" s="3">
        <v>0.23</v>
      </c>
      <c r="M87" s="3">
        <v>7</v>
      </c>
      <c r="N87" s="3">
        <v>3550</v>
      </c>
      <c r="O87" s="3">
        <v>0.28100000000000003</v>
      </c>
      <c r="P87" s="3">
        <v>0.29099999999999998</v>
      </c>
      <c r="Q87" s="3">
        <v>-0.89</v>
      </c>
      <c r="R87" t="s">
        <v>1426</v>
      </c>
      <c r="S87">
        <v>1</v>
      </c>
      <c r="T87" t="s">
        <v>1427</v>
      </c>
      <c r="U87" s="3">
        <v>2014</v>
      </c>
      <c r="V87" s="3">
        <v>12.82789341378837</v>
      </c>
      <c r="W87" s="3">
        <v>12.757280558012701</v>
      </c>
      <c r="X87" s="3">
        <v>0.55351025208365723</v>
      </c>
      <c r="Y87" t="s">
        <v>47</v>
      </c>
      <c r="Z87" s="3">
        <v>147.02704750177239</v>
      </c>
      <c r="AA87" t="s">
        <v>1428</v>
      </c>
      <c r="AB87">
        <v>1</v>
      </c>
      <c r="AC87" s="3">
        <v>1</v>
      </c>
      <c r="AD87" s="3">
        <v>1</v>
      </c>
      <c r="AE87" t="s">
        <v>1429</v>
      </c>
      <c r="AF87" t="s">
        <v>1633</v>
      </c>
      <c r="AG87" t="s">
        <v>1634</v>
      </c>
      <c r="AH87" t="s">
        <v>1633</v>
      </c>
      <c r="AI87" t="s">
        <v>1432</v>
      </c>
      <c r="AJ87" t="s">
        <v>1635</v>
      </c>
      <c r="AK87" s="2"/>
    </row>
    <row r="88" spans="1:37" x14ac:dyDescent="0.45">
      <c r="A88" t="s">
        <v>1636</v>
      </c>
      <c r="B88" t="s">
        <v>46</v>
      </c>
      <c r="C88" t="s">
        <v>45</v>
      </c>
      <c r="D88" t="s">
        <v>43</v>
      </c>
      <c r="E88" s="2">
        <v>1</v>
      </c>
      <c r="F88" s="2"/>
      <c r="G88" s="3">
        <v>4.8480000000000002E-2</v>
      </c>
      <c r="H88" s="3">
        <v>11.18465</v>
      </c>
      <c r="I88" s="3">
        <v>0</v>
      </c>
      <c r="J88" s="3">
        <v>0.64100000000000001</v>
      </c>
      <c r="K88" s="3">
        <v>218</v>
      </c>
      <c r="M88" s="3">
        <v>1.0549999999999999</v>
      </c>
      <c r="N88" s="3">
        <v>2900</v>
      </c>
      <c r="O88" s="3">
        <v>0.1221</v>
      </c>
      <c r="P88" s="3">
        <v>0.14099999999999999</v>
      </c>
      <c r="R88" t="s">
        <v>1426</v>
      </c>
      <c r="S88">
        <v>0</v>
      </c>
      <c r="T88" t="s">
        <v>1427</v>
      </c>
      <c r="U88" s="3">
        <v>2016</v>
      </c>
      <c r="V88" s="3">
        <v>4.2439141712124924</v>
      </c>
      <c r="W88" s="3">
        <v>4.2266604988312766</v>
      </c>
      <c r="X88" s="3">
        <v>0.40821051007022269</v>
      </c>
      <c r="Y88" t="s">
        <v>47</v>
      </c>
      <c r="Z88" s="3">
        <v>77.438682368553941</v>
      </c>
      <c r="AA88" t="s">
        <v>1428</v>
      </c>
      <c r="AB88">
        <v>5</v>
      </c>
      <c r="AC88" s="3">
        <v>2</v>
      </c>
      <c r="AD88" s="3">
        <v>3</v>
      </c>
      <c r="AE88" t="s">
        <v>1429</v>
      </c>
      <c r="AF88" t="s">
        <v>1637</v>
      </c>
      <c r="AG88" t="s">
        <v>1638</v>
      </c>
      <c r="AH88" t="s">
        <v>1637</v>
      </c>
      <c r="AI88" t="s">
        <v>1432</v>
      </c>
      <c r="AJ88" t="s">
        <v>1639</v>
      </c>
      <c r="AK88" s="2"/>
    </row>
    <row r="89" spans="1:37" x14ac:dyDescent="0.45">
      <c r="A89" t="s">
        <v>1640</v>
      </c>
      <c r="B89" t="s">
        <v>46</v>
      </c>
      <c r="C89" t="s">
        <v>45</v>
      </c>
      <c r="D89" t="s">
        <v>43</v>
      </c>
      <c r="E89" s="2">
        <v>1</v>
      </c>
      <c r="F89" s="2"/>
      <c r="G89" s="3">
        <v>2.8809999999999999E-2</v>
      </c>
      <c r="H89" s="3">
        <v>5.12338</v>
      </c>
      <c r="I89" s="3">
        <v>0</v>
      </c>
      <c r="J89" s="3">
        <v>1.8140000000000001</v>
      </c>
      <c r="K89" s="3">
        <v>282</v>
      </c>
      <c r="M89" s="3">
        <v>0.26</v>
      </c>
      <c r="N89" s="3">
        <v>2900</v>
      </c>
      <c r="O89" s="3">
        <v>0.1221</v>
      </c>
      <c r="P89" s="3">
        <v>0.14099999999999999</v>
      </c>
      <c r="R89" t="s">
        <v>1426</v>
      </c>
      <c r="S89">
        <v>0</v>
      </c>
      <c r="T89" t="s">
        <v>1427</v>
      </c>
      <c r="U89" s="3">
        <v>2025</v>
      </c>
      <c r="V89" s="3">
        <v>4.2439141712124924</v>
      </c>
      <c r="W89" s="3">
        <v>4.2266604988312766</v>
      </c>
      <c r="X89" s="3">
        <v>0.40821051007022269</v>
      </c>
      <c r="Y89" t="s">
        <v>47</v>
      </c>
      <c r="Z89" s="3">
        <v>77.438682368553941</v>
      </c>
      <c r="AA89" t="s">
        <v>1428</v>
      </c>
      <c r="AB89">
        <v>2</v>
      </c>
      <c r="AC89" s="3">
        <v>2</v>
      </c>
      <c r="AD89" s="3">
        <v>3</v>
      </c>
      <c r="AE89" t="s">
        <v>1429</v>
      </c>
      <c r="AF89" t="s">
        <v>1637</v>
      </c>
      <c r="AG89" t="s">
        <v>1638</v>
      </c>
      <c r="AH89" t="s">
        <v>1637</v>
      </c>
      <c r="AI89" t="s">
        <v>1432</v>
      </c>
      <c r="AJ89" t="s">
        <v>1639</v>
      </c>
      <c r="AK89" s="2"/>
    </row>
    <row r="90" spans="1:37" x14ac:dyDescent="0.45">
      <c r="A90" t="s">
        <v>1028</v>
      </c>
      <c r="B90" t="s">
        <v>1031</v>
      </c>
      <c r="C90" t="s">
        <v>1030</v>
      </c>
      <c r="D90" t="s">
        <v>1027</v>
      </c>
      <c r="E90" s="2">
        <v>1</v>
      </c>
      <c r="F90" s="2"/>
      <c r="G90" s="3">
        <v>5.3</v>
      </c>
      <c r="H90" s="3">
        <v>4343.5</v>
      </c>
      <c r="I90" s="3">
        <v>0</v>
      </c>
      <c r="M90" s="3">
        <v>1334.886</v>
      </c>
      <c r="O90" s="3">
        <v>0.44</v>
      </c>
      <c r="R90" t="s">
        <v>1426</v>
      </c>
      <c r="S90">
        <v>1</v>
      </c>
      <c r="T90" t="s">
        <v>1641</v>
      </c>
      <c r="U90" s="3">
        <v>2012</v>
      </c>
      <c r="V90" s="3">
        <v>69.117754940221388</v>
      </c>
      <c r="W90" s="3">
        <v>26.51683966474895</v>
      </c>
      <c r="X90" s="3">
        <v>160.6560804910149</v>
      </c>
      <c r="Y90" t="s">
        <v>47</v>
      </c>
      <c r="Z90" s="3">
        <v>49.781799824401887</v>
      </c>
      <c r="AA90" t="s">
        <v>1428</v>
      </c>
      <c r="AB90">
        <v>1</v>
      </c>
      <c r="AC90" s="3">
        <v>1</v>
      </c>
      <c r="AD90" s="3">
        <v>2</v>
      </c>
      <c r="AE90" t="s">
        <v>1429</v>
      </c>
      <c r="AF90" t="s">
        <v>1642</v>
      </c>
      <c r="AG90" t="s">
        <v>1643</v>
      </c>
      <c r="AH90" t="s">
        <v>1642</v>
      </c>
      <c r="AI90" t="s">
        <v>1432</v>
      </c>
      <c r="AJ90" t="s">
        <v>1644</v>
      </c>
      <c r="AK90" s="2"/>
    </row>
    <row r="91" spans="1:37" x14ac:dyDescent="0.45">
      <c r="A91" t="s">
        <v>143</v>
      </c>
      <c r="B91" t="s">
        <v>142</v>
      </c>
      <c r="C91" t="s">
        <v>144</v>
      </c>
      <c r="D91" t="s">
        <v>142</v>
      </c>
      <c r="E91" s="2">
        <v>1</v>
      </c>
      <c r="F91" s="2"/>
      <c r="G91" s="3">
        <v>4.9599999999999998E-2</v>
      </c>
      <c r="H91" s="3">
        <v>9.8658000000000001</v>
      </c>
      <c r="I91" s="3">
        <v>0.11600000000000001</v>
      </c>
      <c r="J91" s="3">
        <v>1.38</v>
      </c>
      <c r="K91" s="3">
        <v>301</v>
      </c>
      <c r="M91" s="3">
        <v>1.4</v>
      </c>
      <c r="N91" s="3">
        <v>3192</v>
      </c>
      <c r="O91" s="3">
        <v>0.16800000000000001</v>
      </c>
      <c r="P91" s="3">
        <v>0.19670000000000001</v>
      </c>
      <c r="Q91" s="3">
        <v>-0.02</v>
      </c>
      <c r="R91" t="s">
        <v>1426</v>
      </c>
      <c r="S91">
        <v>0</v>
      </c>
      <c r="T91" t="s">
        <v>1427</v>
      </c>
      <c r="U91" s="3">
        <v>2017</v>
      </c>
      <c r="V91" s="3">
        <v>11.006277428602591</v>
      </c>
      <c r="W91" s="3">
        <v>10.943524941529891</v>
      </c>
      <c r="X91" s="3">
        <v>0.57342115459124143</v>
      </c>
      <c r="Y91" t="s">
        <v>73</v>
      </c>
      <c r="Z91" s="3">
        <v>21.186911493392369</v>
      </c>
      <c r="AA91" t="s">
        <v>1428</v>
      </c>
      <c r="AB91">
        <v>1</v>
      </c>
      <c r="AC91" s="3">
        <v>1</v>
      </c>
      <c r="AD91" s="3">
        <v>1</v>
      </c>
      <c r="AE91" t="s">
        <v>1429</v>
      </c>
      <c r="AF91" t="s">
        <v>1645</v>
      </c>
      <c r="AG91" t="s">
        <v>1646</v>
      </c>
      <c r="AH91" t="s">
        <v>1645</v>
      </c>
      <c r="AI91" t="s">
        <v>1432</v>
      </c>
      <c r="AJ91" t="s">
        <v>1647</v>
      </c>
      <c r="AK91" s="2"/>
    </row>
    <row r="92" spans="1:37" x14ac:dyDescent="0.45">
      <c r="A92" t="s">
        <v>1648</v>
      </c>
      <c r="B92" t="s">
        <v>301</v>
      </c>
      <c r="C92" t="s">
        <v>303</v>
      </c>
      <c r="D92" t="s">
        <v>301</v>
      </c>
      <c r="E92" s="2">
        <v>1</v>
      </c>
      <c r="F92" s="2"/>
      <c r="G92" s="3">
        <v>3.7499999999999999E-2</v>
      </c>
      <c r="H92" s="3">
        <v>4.8868999999999998</v>
      </c>
      <c r="I92" s="3">
        <v>0.15</v>
      </c>
      <c r="J92" s="3">
        <v>7.34</v>
      </c>
      <c r="M92" s="3">
        <v>1.91</v>
      </c>
      <c r="N92" s="3">
        <v>3342</v>
      </c>
      <c r="O92" s="3">
        <v>0.29399999999999998</v>
      </c>
      <c r="P92" s="3">
        <v>0.307</v>
      </c>
      <c r="Q92" s="3">
        <v>-0.09</v>
      </c>
      <c r="R92" t="s">
        <v>1426</v>
      </c>
      <c r="S92">
        <v>0</v>
      </c>
      <c r="T92" t="s">
        <v>1427</v>
      </c>
      <c r="U92" s="3">
        <v>2015</v>
      </c>
      <c r="V92" s="3">
        <v>14.0440326993808</v>
      </c>
      <c r="W92" s="3">
        <v>13.99928404435806</v>
      </c>
      <c r="X92" s="3">
        <v>0.31964959694329659</v>
      </c>
      <c r="Y92" t="s">
        <v>73</v>
      </c>
      <c r="Z92" s="3">
        <v>18.394719251118321</v>
      </c>
      <c r="AA92" t="s">
        <v>1428</v>
      </c>
      <c r="AB92">
        <v>2</v>
      </c>
      <c r="AC92" s="3">
        <v>3</v>
      </c>
      <c r="AD92" s="3">
        <v>1</v>
      </c>
      <c r="AE92" t="s">
        <v>1429</v>
      </c>
      <c r="AF92" t="s">
        <v>1481</v>
      </c>
      <c r="AG92" t="s">
        <v>1482</v>
      </c>
      <c r="AH92" t="s">
        <v>1481</v>
      </c>
      <c r="AI92" t="s">
        <v>1432</v>
      </c>
      <c r="AJ92" t="s">
        <v>1483</v>
      </c>
      <c r="AK92" s="2"/>
    </row>
    <row r="93" spans="1:37" x14ac:dyDescent="0.45">
      <c r="A93" t="s">
        <v>1649</v>
      </c>
      <c r="B93" t="s">
        <v>301</v>
      </c>
      <c r="C93" t="s">
        <v>303</v>
      </c>
      <c r="D93" t="s">
        <v>301</v>
      </c>
      <c r="E93" s="2">
        <v>1</v>
      </c>
      <c r="F93" s="2"/>
      <c r="G93" s="3">
        <v>8.8999999999999996E-2</v>
      </c>
      <c r="H93" s="3">
        <v>17.8719</v>
      </c>
      <c r="I93" s="3">
        <v>0.11</v>
      </c>
      <c r="J93" s="3">
        <v>1.3</v>
      </c>
      <c r="M93" s="3">
        <v>3.41</v>
      </c>
      <c r="N93" s="3">
        <v>3342</v>
      </c>
      <c r="O93" s="3">
        <v>0.29399999999999998</v>
      </c>
      <c r="P93" s="3">
        <v>0.307</v>
      </c>
      <c r="Q93" s="3">
        <v>-0.09</v>
      </c>
      <c r="R93" t="s">
        <v>1426</v>
      </c>
      <c r="S93">
        <v>0</v>
      </c>
      <c r="T93" t="s">
        <v>1427</v>
      </c>
      <c r="U93" s="3">
        <v>2015</v>
      </c>
      <c r="V93" s="3">
        <v>14.0440326993808</v>
      </c>
      <c r="W93" s="3">
        <v>13.99928404435806</v>
      </c>
      <c r="X93" s="3">
        <v>0.31964959694329659</v>
      </c>
      <c r="Y93" t="s">
        <v>73</v>
      </c>
      <c r="Z93" s="3">
        <v>18.394719251118321</v>
      </c>
      <c r="AA93" t="s">
        <v>1428</v>
      </c>
      <c r="AB93">
        <v>2</v>
      </c>
      <c r="AC93" s="3">
        <v>3</v>
      </c>
      <c r="AD93" s="3">
        <v>1</v>
      </c>
      <c r="AE93" t="s">
        <v>1429</v>
      </c>
      <c r="AF93" t="s">
        <v>1481</v>
      </c>
      <c r="AG93" t="s">
        <v>1482</v>
      </c>
      <c r="AH93" t="s">
        <v>1481</v>
      </c>
      <c r="AI93" t="s">
        <v>1432</v>
      </c>
      <c r="AJ93" t="s">
        <v>1483</v>
      </c>
      <c r="AK93" s="2"/>
    </row>
    <row r="94" spans="1:37" x14ac:dyDescent="0.45">
      <c r="A94" t="s">
        <v>1650</v>
      </c>
      <c r="B94" t="s">
        <v>301</v>
      </c>
      <c r="C94" t="s">
        <v>303</v>
      </c>
      <c r="D94" t="s">
        <v>301</v>
      </c>
      <c r="E94" s="2">
        <v>1</v>
      </c>
      <c r="F94" s="2"/>
      <c r="G94" s="3">
        <v>0.47</v>
      </c>
      <c r="H94" s="3">
        <v>217.21</v>
      </c>
      <c r="I94" s="3">
        <v>0.55000000000000004</v>
      </c>
      <c r="J94" s="3">
        <v>0.06</v>
      </c>
      <c r="M94" s="3">
        <v>7.7</v>
      </c>
      <c r="N94" s="3">
        <v>3342</v>
      </c>
      <c r="O94" s="3">
        <v>0.29399999999999998</v>
      </c>
      <c r="P94" s="3">
        <v>0.307</v>
      </c>
      <c r="Q94" s="3">
        <v>-0.09</v>
      </c>
      <c r="R94" t="s">
        <v>1426</v>
      </c>
      <c r="S94">
        <v>0</v>
      </c>
      <c r="T94" t="s">
        <v>1427</v>
      </c>
      <c r="U94" s="3">
        <v>2015</v>
      </c>
      <c r="V94" s="3">
        <v>14.0440326993808</v>
      </c>
      <c r="W94" s="3">
        <v>13.99928404435806</v>
      </c>
      <c r="X94" s="3">
        <v>0.31964959694329659</v>
      </c>
      <c r="Y94" t="s">
        <v>73</v>
      </c>
      <c r="Z94" s="3">
        <v>18.394719251118321</v>
      </c>
      <c r="AA94" t="s">
        <v>1428</v>
      </c>
      <c r="AB94">
        <v>2</v>
      </c>
      <c r="AC94" s="3">
        <v>3</v>
      </c>
      <c r="AD94" s="3">
        <v>1</v>
      </c>
      <c r="AE94" t="s">
        <v>1429</v>
      </c>
      <c r="AF94" t="s">
        <v>1481</v>
      </c>
      <c r="AG94" t="s">
        <v>1482</v>
      </c>
      <c r="AH94" t="s">
        <v>1481</v>
      </c>
      <c r="AI94" t="s">
        <v>1432</v>
      </c>
      <c r="AJ94" t="s">
        <v>1483</v>
      </c>
      <c r="AK94" s="2"/>
    </row>
    <row r="95" spans="1:37" x14ac:dyDescent="0.45">
      <c r="A95" t="s">
        <v>1651</v>
      </c>
      <c r="B95" t="s">
        <v>235</v>
      </c>
      <c r="C95" t="s">
        <v>234</v>
      </c>
      <c r="D95" t="s">
        <v>232</v>
      </c>
      <c r="E95" s="2">
        <v>1</v>
      </c>
      <c r="F95" s="2"/>
      <c r="G95" s="3">
        <v>1.634E-2</v>
      </c>
      <c r="H95" s="3">
        <v>2.0208699999999999</v>
      </c>
      <c r="I95" s="3">
        <v>0.06</v>
      </c>
      <c r="J95" s="3">
        <v>8.2100000000000009</v>
      </c>
      <c r="K95" s="3">
        <v>471.2</v>
      </c>
      <c r="M95" s="3">
        <v>0.7</v>
      </c>
      <c r="N95" s="3">
        <v>3151</v>
      </c>
      <c r="O95" s="3">
        <v>0.14199999999999999</v>
      </c>
      <c r="P95" s="3">
        <v>0.157</v>
      </c>
      <c r="Q95" s="3">
        <v>-0.18</v>
      </c>
      <c r="R95" t="s">
        <v>1426</v>
      </c>
      <c r="S95">
        <v>0</v>
      </c>
      <c r="T95" t="s">
        <v>1427</v>
      </c>
      <c r="U95" s="3">
        <v>2017</v>
      </c>
      <c r="V95" s="3">
        <v>12.107153050309909</v>
      </c>
      <c r="W95" s="3">
        <v>12.03484418137011</v>
      </c>
      <c r="X95" s="3">
        <v>0.60082929076668801</v>
      </c>
      <c r="Y95" t="s">
        <v>73</v>
      </c>
      <c r="Z95" s="3">
        <v>21.47364881111848</v>
      </c>
      <c r="AA95" t="s">
        <v>1428</v>
      </c>
      <c r="AB95">
        <v>3</v>
      </c>
      <c r="AC95" s="3">
        <v>3</v>
      </c>
      <c r="AD95" s="3">
        <v>1</v>
      </c>
      <c r="AE95" t="s">
        <v>1429</v>
      </c>
      <c r="AF95" t="s">
        <v>1652</v>
      </c>
      <c r="AG95" t="s">
        <v>1653</v>
      </c>
      <c r="AH95" t="s">
        <v>1652</v>
      </c>
      <c r="AI95" t="s">
        <v>1432</v>
      </c>
      <c r="AJ95" t="s">
        <v>1654</v>
      </c>
      <c r="AK95" s="2"/>
    </row>
    <row r="96" spans="1:37" x14ac:dyDescent="0.45">
      <c r="A96" t="s">
        <v>1655</v>
      </c>
      <c r="B96" t="s">
        <v>235</v>
      </c>
      <c r="C96" t="s">
        <v>234</v>
      </c>
      <c r="D96" t="s">
        <v>232</v>
      </c>
      <c r="E96" s="2">
        <v>1</v>
      </c>
      <c r="F96" s="2"/>
      <c r="G96" s="3">
        <v>2.1559999999999999E-2</v>
      </c>
      <c r="H96" s="3">
        <v>3.0598900000000002</v>
      </c>
      <c r="I96" s="3">
        <v>0</v>
      </c>
      <c r="J96" s="3">
        <v>4.72</v>
      </c>
      <c r="K96" s="3">
        <v>410.3</v>
      </c>
      <c r="M96" s="3">
        <v>1.1399999999999999</v>
      </c>
      <c r="N96" s="3">
        <v>3151</v>
      </c>
      <c r="O96" s="3">
        <v>0.14199999999999999</v>
      </c>
      <c r="P96" s="3">
        <v>0.157</v>
      </c>
      <c r="Q96" s="3">
        <v>-0.18</v>
      </c>
      <c r="R96" t="s">
        <v>1426</v>
      </c>
      <c r="S96">
        <v>0</v>
      </c>
      <c r="T96" t="s">
        <v>1427</v>
      </c>
      <c r="U96" s="3">
        <v>2017</v>
      </c>
      <c r="V96" s="3">
        <v>12.107153050309909</v>
      </c>
      <c r="W96" s="3">
        <v>12.03484418137011</v>
      </c>
      <c r="X96" s="3">
        <v>0.60082929076668801</v>
      </c>
      <c r="Y96" t="s">
        <v>73</v>
      </c>
      <c r="Z96" s="3">
        <v>21.47364881111848</v>
      </c>
      <c r="AA96" t="s">
        <v>1428</v>
      </c>
      <c r="AB96">
        <v>3</v>
      </c>
      <c r="AC96" s="3">
        <v>3</v>
      </c>
      <c r="AD96" s="3">
        <v>1</v>
      </c>
      <c r="AE96" t="s">
        <v>1429</v>
      </c>
      <c r="AF96" t="s">
        <v>1652</v>
      </c>
      <c r="AG96" t="s">
        <v>1653</v>
      </c>
      <c r="AH96" t="s">
        <v>1652</v>
      </c>
      <c r="AI96" t="s">
        <v>1432</v>
      </c>
      <c r="AJ96" t="s">
        <v>1654</v>
      </c>
      <c r="AK96" s="2"/>
    </row>
    <row r="97" spans="1:37" x14ac:dyDescent="0.45">
      <c r="A97" t="s">
        <v>1656</v>
      </c>
      <c r="B97" t="s">
        <v>235</v>
      </c>
      <c r="C97" t="s">
        <v>234</v>
      </c>
      <c r="D97" t="s">
        <v>232</v>
      </c>
      <c r="E97" s="2">
        <v>1</v>
      </c>
      <c r="F97" s="2"/>
      <c r="G97" s="3">
        <v>2.8510000000000001E-2</v>
      </c>
      <c r="H97" s="3">
        <v>4.6562599999999996</v>
      </c>
      <c r="I97" s="3">
        <v>7.0000000000000007E-2</v>
      </c>
      <c r="J97" s="3">
        <v>2.7</v>
      </c>
      <c r="K97" s="3">
        <v>356.7</v>
      </c>
      <c r="M97" s="3">
        <v>1.0900000000000001</v>
      </c>
      <c r="N97" s="3">
        <v>3151</v>
      </c>
      <c r="O97" s="3">
        <v>0.14199999999999999</v>
      </c>
      <c r="P97" s="3">
        <v>0.157</v>
      </c>
      <c r="Q97" s="3">
        <v>-0.18</v>
      </c>
      <c r="R97" t="s">
        <v>1426</v>
      </c>
      <c r="S97">
        <v>0</v>
      </c>
      <c r="T97" t="s">
        <v>1427</v>
      </c>
      <c r="U97" s="3">
        <v>2017</v>
      </c>
      <c r="V97" s="3">
        <v>12.107153050309909</v>
      </c>
      <c r="W97" s="3">
        <v>12.03484418137011</v>
      </c>
      <c r="X97" s="3">
        <v>0.60082929076668801</v>
      </c>
      <c r="Y97" t="s">
        <v>73</v>
      </c>
      <c r="Z97" s="3">
        <v>21.47364881111848</v>
      </c>
      <c r="AA97" t="s">
        <v>1428</v>
      </c>
      <c r="AB97">
        <v>3</v>
      </c>
      <c r="AC97" s="3">
        <v>3</v>
      </c>
      <c r="AD97" s="3">
        <v>1</v>
      </c>
      <c r="AE97" t="s">
        <v>1429</v>
      </c>
      <c r="AF97" t="s">
        <v>1652</v>
      </c>
      <c r="AG97" t="s">
        <v>1653</v>
      </c>
      <c r="AH97" t="s">
        <v>1652</v>
      </c>
      <c r="AI97" t="s">
        <v>1432</v>
      </c>
      <c r="AJ97" t="s">
        <v>1654</v>
      </c>
      <c r="AK97" s="2"/>
    </row>
    <row r="98" spans="1:37" x14ac:dyDescent="0.45">
      <c r="A98" t="s">
        <v>123</v>
      </c>
      <c r="B98" t="s">
        <v>125</v>
      </c>
      <c r="C98" t="s">
        <v>124</v>
      </c>
      <c r="D98" t="s">
        <v>122</v>
      </c>
      <c r="E98" s="2">
        <v>1</v>
      </c>
      <c r="F98" s="2"/>
      <c r="G98" s="3">
        <v>3.53</v>
      </c>
      <c r="H98" s="3">
        <v>2680</v>
      </c>
      <c r="I98" s="3">
        <v>0.06</v>
      </c>
      <c r="M98" s="3">
        <v>317.82840700000003</v>
      </c>
      <c r="O98" s="3">
        <v>0.82</v>
      </c>
      <c r="R98" t="s">
        <v>1453</v>
      </c>
      <c r="S98">
        <v>0</v>
      </c>
      <c r="T98" t="s">
        <v>1427</v>
      </c>
      <c r="U98" s="3">
        <v>2000</v>
      </c>
      <c r="V98" s="3">
        <v>10.44548415275642</v>
      </c>
      <c r="W98" s="3">
        <v>10.48951526374818</v>
      </c>
      <c r="X98" s="3">
        <v>0.41976306706881222</v>
      </c>
      <c r="Y98" t="s">
        <v>73</v>
      </c>
      <c r="Z98" s="3">
        <v>15.235402929081379</v>
      </c>
      <c r="AA98" t="s">
        <v>1428</v>
      </c>
      <c r="AB98">
        <v>7</v>
      </c>
      <c r="AC98" s="3">
        <v>1</v>
      </c>
      <c r="AD98" s="3">
        <v>1</v>
      </c>
      <c r="AE98" t="s">
        <v>1429</v>
      </c>
      <c r="AF98" t="s">
        <v>1657</v>
      </c>
      <c r="AG98" t="s">
        <v>1658</v>
      </c>
      <c r="AH98" t="s">
        <v>1657</v>
      </c>
      <c r="AI98" t="s">
        <v>1432</v>
      </c>
      <c r="AJ98" t="s">
        <v>1659</v>
      </c>
      <c r="AK98" s="2"/>
    </row>
    <row r="99" spans="1:37" x14ac:dyDescent="0.45">
      <c r="A99" t="s">
        <v>210</v>
      </c>
      <c r="B99" t="s">
        <v>212</v>
      </c>
      <c r="C99" t="s">
        <v>211</v>
      </c>
      <c r="D99" t="s">
        <v>209</v>
      </c>
      <c r="E99" s="2">
        <v>1</v>
      </c>
      <c r="F99" s="2"/>
      <c r="G99" s="3">
        <v>15.76</v>
      </c>
      <c r="H99" s="3">
        <v>25450</v>
      </c>
      <c r="I99" s="3">
        <v>0.25</v>
      </c>
      <c r="M99" s="3">
        <v>2065.8846454999998</v>
      </c>
      <c r="N99" s="3">
        <v>4700</v>
      </c>
      <c r="O99" s="3">
        <v>0.8</v>
      </c>
      <c r="P99" s="3">
        <v>0.71299999999999997</v>
      </c>
      <c r="Q99" s="3">
        <v>-0.17</v>
      </c>
      <c r="R99" t="s">
        <v>1453</v>
      </c>
      <c r="S99">
        <v>0</v>
      </c>
      <c r="T99" t="s">
        <v>1427</v>
      </c>
      <c r="U99" s="3">
        <v>2019</v>
      </c>
      <c r="V99" s="3">
        <v>11.86742811268811</v>
      </c>
      <c r="W99" s="3">
        <v>11.814688626411311</v>
      </c>
      <c r="X99" s="3">
        <v>0.44638913427562499</v>
      </c>
      <c r="Y99" t="s">
        <v>47</v>
      </c>
      <c r="Z99" s="3">
        <v>86.56720462350998</v>
      </c>
      <c r="AA99" t="s">
        <v>1428</v>
      </c>
      <c r="AB99">
        <v>4</v>
      </c>
      <c r="AC99" s="3">
        <v>1</v>
      </c>
      <c r="AD99" s="3">
        <v>3</v>
      </c>
      <c r="AE99" t="s">
        <v>1429</v>
      </c>
      <c r="AF99" t="s">
        <v>1660</v>
      </c>
      <c r="AG99" t="s">
        <v>1661</v>
      </c>
      <c r="AH99" t="s">
        <v>1660</v>
      </c>
      <c r="AI99" t="s">
        <v>1432</v>
      </c>
      <c r="AJ99" t="s">
        <v>1662</v>
      </c>
      <c r="AK99" s="2"/>
    </row>
    <row r="100" spans="1:37" x14ac:dyDescent="0.45">
      <c r="A100" t="s">
        <v>1663</v>
      </c>
      <c r="B100" t="s">
        <v>225</v>
      </c>
      <c r="C100" t="s">
        <v>224</v>
      </c>
      <c r="D100" t="s">
        <v>222</v>
      </c>
      <c r="E100" s="2">
        <v>1</v>
      </c>
      <c r="F100" s="2"/>
      <c r="G100" s="3">
        <v>1.3340000000000001</v>
      </c>
      <c r="H100" s="3">
        <v>636.13</v>
      </c>
      <c r="I100" s="3">
        <v>0.16</v>
      </c>
      <c r="M100" s="3">
        <v>3.93</v>
      </c>
      <c r="O100" s="3">
        <v>0.78300000000000003</v>
      </c>
      <c r="R100" t="s">
        <v>1426</v>
      </c>
      <c r="S100">
        <v>1</v>
      </c>
      <c r="T100" t="s">
        <v>1427</v>
      </c>
      <c r="U100" s="3">
        <v>2017</v>
      </c>
      <c r="V100" s="3">
        <v>11.75154475168535</v>
      </c>
      <c r="W100" s="3">
        <v>11.90536009941656</v>
      </c>
      <c r="X100" s="3">
        <v>1.291984000876661</v>
      </c>
      <c r="Y100" t="s">
        <v>73</v>
      </c>
      <c r="Z100" s="3">
        <v>30.33332520410605</v>
      </c>
      <c r="AA100" t="s">
        <v>1428</v>
      </c>
      <c r="AB100">
        <v>1</v>
      </c>
      <c r="AC100" s="3">
        <v>3</v>
      </c>
      <c r="AD100" s="3">
        <v>1</v>
      </c>
      <c r="AE100" t="s">
        <v>1429</v>
      </c>
      <c r="AF100" t="s">
        <v>1612</v>
      </c>
      <c r="AG100" t="s">
        <v>1664</v>
      </c>
      <c r="AH100" t="s">
        <v>1612</v>
      </c>
      <c r="AI100" t="s">
        <v>1432</v>
      </c>
      <c r="AJ100" t="s">
        <v>1665</v>
      </c>
      <c r="AK100" s="2"/>
    </row>
    <row r="101" spans="1:37" x14ac:dyDescent="0.45">
      <c r="A101" t="s">
        <v>1666</v>
      </c>
      <c r="B101" t="s">
        <v>225</v>
      </c>
      <c r="C101" t="s">
        <v>224</v>
      </c>
      <c r="D101" t="s">
        <v>222</v>
      </c>
      <c r="E101" s="2">
        <v>1</v>
      </c>
      <c r="F101" s="2"/>
      <c r="G101" s="3">
        <v>0.13300000000000001</v>
      </c>
      <c r="H101" s="3">
        <v>20</v>
      </c>
      <c r="I101" s="3">
        <v>0.06</v>
      </c>
      <c r="M101" s="3">
        <v>1.75</v>
      </c>
      <c r="O101" s="3">
        <v>0.78300000000000003</v>
      </c>
      <c r="R101" t="s">
        <v>1426</v>
      </c>
      <c r="S101">
        <v>1</v>
      </c>
      <c r="T101" t="s">
        <v>1427</v>
      </c>
      <c r="U101" s="3">
        <v>2017</v>
      </c>
      <c r="V101" s="3">
        <v>11.75154475168535</v>
      </c>
      <c r="W101" s="3">
        <v>11.90536009941656</v>
      </c>
      <c r="X101" s="3">
        <v>1.291984000876661</v>
      </c>
      <c r="Y101" t="s">
        <v>73</v>
      </c>
      <c r="Z101" s="3">
        <v>30.33332520410605</v>
      </c>
      <c r="AA101" t="s">
        <v>1428</v>
      </c>
      <c r="AB101">
        <v>1</v>
      </c>
      <c r="AC101" s="3">
        <v>3</v>
      </c>
      <c r="AD101" s="3">
        <v>1</v>
      </c>
      <c r="AE101" t="s">
        <v>1429</v>
      </c>
      <c r="AF101" t="s">
        <v>1612</v>
      </c>
      <c r="AG101" t="s">
        <v>1664</v>
      </c>
      <c r="AH101" t="s">
        <v>1612</v>
      </c>
      <c r="AI101" t="s">
        <v>1432</v>
      </c>
      <c r="AJ101" t="s">
        <v>1665</v>
      </c>
      <c r="AK101" s="2"/>
    </row>
    <row r="102" spans="1:37" x14ac:dyDescent="0.45">
      <c r="A102" t="s">
        <v>1667</v>
      </c>
      <c r="B102" t="s">
        <v>225</v>
      </c>
      <c r="C102" t="s">
        <v>224</v>
      </c>
      <c r="D102" t="s">
        <v>222</v>
      </c>
      <c r="E102" s="2">
        <v>1</v>
      </c>
      <c r="F102" s="2"/>
      <c r="G102" s="3">
        <v>0.24299999999999999</v>
      </c>
      <c r="H102" s="3">
        <v>49.41</v>
      </c>
      <c r="I102" s="3">
        <v>0.23</v>
      </c>
      <c r="M102" s="3">
        <v>1.83</v>
      </c>
      <c r="O102" s="3">
        <v>0.78300000000000003</v>
      </c>
      <c r="R102" t="s">
        <v>1426</v>
      </c>
      <c r="S102">
        <v>1</v>
      </c>
      <c r="T102" t="s">
        <v>1427</v>
      </c>
      <c r="U102" s="3">
        <v>2017</v>
      </c>
      <c r="V102" s="3">
        <v>11.75154475168535</v>
      </c>
      <c r="W102" s="3">
        <v>11.90536009941656</v>
      </c>
      <c r="X102" s="3">
        <v>1.291984000876661</v>
      </c>
      <c r="Y102" t="s">
        <v>73</v>
      </c>
      <c r="Z102" s="3">
        <v>30.33332520410605</v>
      </c>
      <c r="AA102" t="s">
        <v>1428</v>
      </c>
      <c r="AB102">
        <v>1</v>
      </c>
      <c r="AC102" s="3">
        <v>3</v>
      </c>
      <c r="AD102" s="3">
        <v>1</v>
      </c>
      <c r="AE102" t="s">
        <v>1429</v>
      </c>
      <c r="AF102" t="s">
        <v>1612</v>
      </c>
      <c r="AG102" t="s">
        <v>1664</v>
      </c>
      <c r="AH102" t="s">
        <v>1612</v>
      </c>
      <c r="AI102" t="s">
        <v>1432</v>
      </c>
      <c r="AJ102" t="s">
        <v>1665</v>
      </c>
      <c r="AK102" s="2"/>
    </row>
  </sheetData>
  <dataValidations count="1">
    <dataValidation type="whole" showErrorMessage="1" sqref="E2:E1048576" xr:uid="{00000000-0002-0000-0100-000000000000}">
      <formula1>0</formula1>
      <formula2>1</formula2>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
  <sheetViews>
    <sheetView workbookViewId="0">
      <pane xSplit="1" ySplit="1" topLeftCell="B2" activePane="bottomRight" state="frozen"/>
      <selection pane="topRight"/>
      <selection pane="bottomLeft"/>
      <selection pane="bottomRight" activeCell="C6" sqref="C6"/>
    </sheetView>
  </sheetViews>
  <sheetFormatPr defaultRowHeight="14.25" x14ac:dyDescent="0.45"/>
  <cols>
    <col min="1" max="3" width="16" customWidth="1"/>
    <col min="4" max="4" width="65" customWidth="1"/>
  </cols>
  <sheetData>
    <row r="1" spans="1:4" ht="34.049999999999997" customHeight="1" x14ac:dyDescent="0.45">
      <c r="A1" s="1" t="s">
        <v>1668</v>
      </c>
      <c r="B1" s="1" t="s">
        <v>1669</v>
      </c>
      <c r="C1" s="1" t="s">
        <v>1670</v>
      </c>
      <c r="D1" s="1" t="s">
        <v>7</v>
      </c>
    </row>
    <row r="2" spans="1:4" x14ac:dyDescent="0.45">
      <c r="A2" t="s">
        <v>8460</v>
      </c>
      <c r="B2" t="s">
        <v>8461</v>
      </c>
      <c r="C2" t="s">
        <v>8466</v>
      </c>
    </row>
    <row r="3" spans="1:4" x14ac:dyDescent="0.45">
      <c r="A3" t="s">
        <v>8462</v>
      </c>
      <c r="B3" t="s">
        <v>8463</v>
      </c>
      <c r="C3" t="s">
        <v>8467</v>
      </c>
    </row>
    <row r="4" spans="1:4" x14ac:dyDescent="0.45">
      <c r="A4" t="s">
        <v>8464</v>
      </c>
      <c r="B4" t="s">
        <v>8465</v>
      </c>
      <c r="C4" t="s">
        <v>8468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7"/>
  <sheetViews>
    <sheetView workbookViewId="0">
      <pane xSplit="1" ySplit="1" topLeftCell="B2" activePane="bottomRight" state="frozen"/>
      <selection pane="topRight"/>
      <selection pane="bottomLeft"/>
      <selection pane="bottomRight"/>
    </sheetView>
  </sheetViews>
  <sheetFormatPr defaultRowHeight="14.25" x14ac:dyDescent="0.45"/>
  <cols>
    <col min="1" max="1" width="16" customWidth="1"/>
    <col min="2" max="2" width="65" customWidth="1"/>
  </cols>
  <sheetData>
    <row r="1" spans="1:2" ht="34.049999999999997" customHeight="1" x14ac:dyDescent="0.45">
      <c r="A1" s="1" t="s">
        <v>1671</v>
      </c>
      <c r="B1" s="1" t="s">
        <v>1672</v>
      </c>
    </row>
    <row r="2" spans="1:2" x14ac:dyDescent="0.45">
      <c r="A2" t="s">
        <v>1673</v>
      </c>
      <c r="B2" t="s">
        <v>1674</v>
      </c>
    </row>
    <row r="3" spans="1:2" x14ac:dyDescent="0.45">
      <c r="A3" t="s">
        <v>1675</v>
      </c>
      <c r="B3" t="s">
        <v>1676</v>
      </c>
    </row>
    <row r="4" spans="1:2" x14ac:dyDescent="0.45">
      <c r="A4" t="s">
        <v>1677</v>
      </c>
      <c r="B4" t="s">
        <v>1678</v>
      </c>
    </row>
    <row r="5" spans="1:2" x14ac:dyDescent="0.45">
      <c r="A5" t="s">
        <v>1679</v>
      </c>
      <c r="B5" t="s">
        <v>1680</v>
      </c>
    </row>
    <row r="6" spans="1:2" x14ac:dyDescent="0.45">
      <c r="A6" t="s">
        <v>1681</v>
      </c>
      <c r="B6" t="s">
        <v>1682</v>
      </c>
    </row>
    <row r="7" spans="1:2" x14ac:dyDescent="0.45">
      <c r="A7" t="s">
        <v>1683</v>
      </c>
      <c r="B7" t="s">
        <v>1684</v>
      </c>
    </row>
    <row r="8" spans="1:2" x14ac:dyDescent="0.45">
      <c r="A8" t="s">
        <v>1685</v>
      </c>
      <c r="B8" t="s">
        <v>1686</v>
      </c>
    </row>
    <row r="9" spans="1:2" x14ac:dyDescent="0.45">
      <c r="A9" t="s">
        <v>1687</v>
      </c>
      <c r="B9" t="s">
        <v>1688</v>
      </c>
    </row>
    <row r="10" spans="1:2" x14ac:dyDescent="0.45">
      <c r="A10" t="s">
        <v>1689</v>
      </c>
      <c r="B10" t="s">
        <v>1690</v>
      </c>
    </row>
    <row r="11" spans="1:2" x14ac:dyDescent="0.45">
      <c r="A11" t="s">
        <v>1691</v>
      </c>
      <c r="B11" t="s">
        <v>1692</v>
      </c>
    </row>
    <row r="12" spans="1:2" x14ac:dyDescent="0.45">
      <c r="A12" t="s">
        <v>1693</v>
      </c>
      <c r="B12" t="s">
        <v>1694</v>
      </c>
    </row>
    <row r="13" spans="1:2" x14ac:dyDescent="0.45">
      <c r="A13" t="s">
        <v>1695</v>
      </c>
      <c r="B13" t="s">
        <v>1696</v>
      </c>
    </row>
    <row r="14" spans="1:2" x14ac:dyDescent="0.45">
      <c r="A14" t="s">
        <v>1697</v>
      </c>
      <c r="B14" t="s">
        <v>1698</v>
      </c>
    </row>
    <row r="15" spans="1:2" x14ac:dyDescent="0.45">
      <c r="A15" t="s">
        <v>1699</v>
      </c>
      <c r="B15" t="s">
        <v>1700</v>
      </c>
    </row>
    <row r="16" spans="1:2" x14ac:dyDescent="0.45">
      <c r="A16" t="s">
        <v>1701</v>
      </c>
      <c r="B16" t="s">
        <v>1702</v>
      </c>
    </row>
    <row r="17" spans="1:2" x14ac:dyDescent="0.45">
      <c r="A17" t="s">
        <v>1703</v>
      </c>
      <c r="B17" t="s">
        <v>1704</v>
      </c>
    </row>
    <row r="18" spans="1:2" x14ac:dyDescent="0.45">
      <c r="A18" t="s">
        <v>1705</v>
      </c>
      <c r="B18" t="s">
        <v>1706</v>
      </c>
    </row>
    <row r="19" spans="1:2" x14ac:dyDescent="0.45">
      <c r="A19" t="s">
        <v>1707</v>
      </c>
      <c r="B19" t="s">
        <v>1708</v>
      </c>
    </row>
    <row r="20" spans="1:2" x14ac:dyDescent="0.45">
      <c r="A20" t="s">
        <v>1709</v>
      </c>
      <c r="B20" t="s">
        <v>1710</v>
      </c>
    </row>
    <row r="21" spans="1:2" x14ac:dyDescent="0.45">
      <c r="A21" t="s">
        <v>1711</v>
      </c>
      <c r="B21" t="s">
        <v>1712</v>
      </c>
    </row>
    <row r="22" spans="1:2" x14ac:dyDescent="0.45">
      <c r="A22" t="s">
        <v>1713</v>
      </c>
      <c r="B22" t="s">
        <v>1714</v>
      </c>
    </row>
    <row r="23" spans="1:2" x14ac:dyDescent="0.45">
      <c r="A23" t="s">
        <v>1715</v>
      </c>
      <c r="B23" t="s">
        <v>1716</v>
      </c>
    </row>
    <row r="24" spans="1:2" x14ac:dyDescent="0.45">
      <c r="A24" t="s">
        <v>1717</v>
      </c>
      <c r="B24" t="s">
        <v>1718</v>
      </c>
    </row>
    <row r="25" spans="1:2" x14ac:dyDescent="0.45">
      <c r="A25" t="s">
        <v>1719</v>
      </c>
      <c r="B25" t="s">
        <v>1720</v>
      </c>
    </row>
    <row r="26" spans="1:2" x14ac:dyDescent="0.45">
      <c r="A26" t="s">
        <v>1721</v>
      </c>
      <c r="B26" t="s">
        <v>1722</v>
      </c>
    </row>
    <row r="27" spans="1:2" x14ac:dyDescent="0.45">
      <c r="A27" t="s">
        <v>1723</v>
      </c>
      <c r="B27" t="s">
        <v>1724</v>
      </c>
    </row>
    <row r="28" spans="1:2" x14ac:dyDescent="0.45">
      <c r="A28" t="s">
        <v>1725</v>
      </c>
      <c r="B28" t="s">
        <v>1726</v>
      </c>
    </row>
    <row r="29" spans="1:2" x14ac:dyDescent="0.45">
      <c r="A29" t="s">
        <v>1727</v>
      </c>
      <c r="B29" t="s">
        <v>1728</v>
      </c>
    </row>
    <row r="30" spans="1:2" x14ac:dyDescent="0.45">
      <c r="A30" t="s">
        <v>1729</v>
      </c>
      <c r="B30" t="s">
        <v>1730</v>
      </c>
    </row>
    <row r="31" spans="1:2" x14ac:dyDescent="0.45">
      <c r="A31" t="s">
        <v>1731</v>
      </c>
      <c r="B31" t="s">
        <v>1732</v>
      </c>
    </row>
    <row r="32" spans="1:2" x14ac:dyDescent="0.45">
      <c r="A32" t="s">
        <v>1733</v>
      </c>
      <c r="B32" t="s">
        <v>1734</v>
      </c>
    </row>
    <row r="33" spans="1:2" x14ac:dyDescent="0.45">
      <c r="A33" t="s">
        <v>1735</v>
      </c>
      <c r="B33" t="s">
        <v>1736</v>
      </c>
    </row>
    <row r="34" spans="1:2" x14ac:dyDescent="0.45">
      <c r="A34" t="s">
        <v>1737</v>
      </c>
      <c r="B34" t="s">
        <v>1738</v>
      </c>
    </row>
    <row r="35" spans="1:2" x14ac:dyDescent="0.45">
      <c r="A35" t="s">
        <v>1739</v>
      </c>
      <c r="B35" t="s">
        <v>1740</v>
      </c>
    </row>
    <row r="36" spans="1:2" x14ac:dyDescent="0.45">
      <c r="A36" t="s">
        <v>1741</v>
      </c>
      <c r="B36" t="s">
        <v>1742</v>
      </c>
    </row>
    <row r="37" spans="1:2" x14ac:dyDescent="0.45">
      <c r="A37" t="s">
        <v>1743</v>
      </c>
      <c r="B37" t="s">
        <v>1744</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7"/>
  <sheetViews>
    <sheetView workbookViewId="0">
      <pane xSplit="1" ySplit="1" topLeftCell="B2" activePane="bottomRight" state="frozen"/>
      <selection pane="topRight"/>
      <selection pane="bottomLeft"/>
      <selection pane="bottomRight"/>
    </sheetView>
  </sheetViews>
  <sheetFormatPr defaultRowHeight="14.25" x14ac:dyDescent="0.45"/>
  <cols>
    <col min="1" max="5" width="16" customWidth="1"/>
    <col min="6" max="6" width="17" customWidth="1"/>
    <col min="7" max="7" width="18" customWidth="1"/>
    <col min="8" max="8" width="16" customWidth="1"/>
    <col min="9" max="9" width="65" customWidth="1"/>
    <col min="10" max="10" width="27" customWidth="1"/>
    <col min="11" max="11" width="29" customWidth="1"/>
    <col min="12" max="12" width="19" customWidth="1"/>
    <col min="13" max="13" width="65" customWidth="1"/>
  </cols>
  <sheetData>
    <row r="1" spans="1:13" ht="34.049999999999997" customHeight="1" x14ac:dyDescent="0.45">
      <c r="A1" s="1" t="s">
        <v>1745</v>
      </c>
      <c r="B1" s="1" t="s">
        <v>2</v>
      </c>
      <c r="C1" s="1" t="s">
        <v>1746</v>
      </c>
      <c r="D1" s="1" t="s">
        <v>8</v>
      </c>
      <c r="E1" s="1" t="s">
        <v>1747</v>
      </c>
      <c r="F1" s="1" t="s">
        <v>1412</v>
      </c>
      <c r="G1" s="1" t="s">
        <v>1411</v>
      </c>
      <c r="H1" s="1" t="s">
        <v>1748</v>
      </c>
      <c r="I1" s="1" t="s">
        <v>1749</v>
      </c>
      <c r="J1" s="1" t="s">
        <v>1414</v>
      </c>
      <c r="K1" s="1" t="s">
        <v>1413</v>
      </c>
      <c r="L1" s="1" t="s">
        <v>1750</v>
      </c>
      <c r="M1" s="1" t="s">
        <v>7</v>
      </c>
    </row>
    <row r="2" spans="1:13" x14ac:dyDescent="0.45">
      <c r="A2" t="s">
        <v>248</v>
      </c>
      <c r="B2">
        <v>2</v>
      </c>
      <c r="C2" t="s">
        <v>1751</v>
      </c>
      <c r="D2" t="s">
        <v>247</v>
      </c>
      <c r="E2" t="s">
        <v>244</v>
      </c>
      <c r="F2" s="3">
        <v>12.402422419056879</v>
      </c>
      <c r="G2" s="3">
        <v>19.313464061229158</v>
      </c>
      <c r="H2" t="s">
        <v>73</v>
      </c>
      <c r="I2" t="s">
        <v>248</v>
      </c>
      <c r="J2" s="3">
        <v>9.7789962323223678E-2</v>
      </c>
      <c r="K2" s="3">
        <v>55.723320885709789</v>
      </c>
      <c r="M2" t="s">
        <v>1752</v>
      </c>
    </row>
    <row r="3" spans="1:13" x14ac:dyDescent="0.45">
      <c r="A3" t="s">
        <v>87</v>
      </c>
      <c r="B3">
        <v>2</v>
      </c>
      <c r="C3" t="s">
        <v>1751</v>
      </c>
      <c r="D3" t="s">
        <v>86</v>
      </c>
      <c r="E3" t="s">
        <v>83</v>
      </c>
      <c r="F3" s="3">
        <v>8.306876784067736</v>
      </c>
      <c r="G3" s="3">
        <v>18.51189562422493</v>
      </c>
      <c r="H3" t="s">
        <v>73</v>
      </c>
      <c r="I3" t="s">
        <v>87</v>
      </c>
      <c r="J3" s="3">
        <v>8.7840391381335454</v>
      </c>
      <c r="K3" s="3">
        <v>122.85024932270601</v>
      </c>
      <c r="M3" t="s">
        <v>1752</v>
      </c>
    </row>
    <row r="4" spans="1:13" x14ac:dyDescent="0.45">
      <c r="A4" t="s">
        <v>158</v>
      </c>
      <c r="B4">
        <v>1</v>
      </c>
      <c r="C4" t="s">
        <v>1751</v>
      </c>
      <c r="D4" t="s">
        <v>157</v>
      </c>
      <c r="E4" t="s">
        <v>154</v>
      </c>
      <c r="F4" s="3">
        <v>11.2670720682249</v>
      </c>
      <c r="G4" s="3">
        <v>22.316783741648031</v>
      </c>
      <c r="H4" t="s">
        <v>73</v>
      </c>
      <c r="I4" t="s">
        <v>158</v>
      </c>
      <c r="J4" s="3">
        <v>6.2036936055562952</v>
      </c>
      <c r="K4" s="3">
        <v>98.07083514256766</v>
      </c>
      <c r="M4" t="s">
        <v>1752</v>
      </c>
    </row>
    <row r="5" spans="1:13" x14ac:dyDescent="0.45">
      <c r="A5" t="s">
        <v>1753</v>
      </c>
      <c r="B5">
        <v>2</v>
      </c>
      <c r="C5" t="s">
        <v>1754</v>
      </c>
      <c r="G5" s="3">
        <v>22.40462743885848</v>
      </c>
      <c r="H5" t="s">
        <v>1755</v>
      </c>
      <c r="I5" t="s">
        <v>1753</v>
      </c>
      <c r="L5" t="s">
        <v>1756</v>
      </c>
      <c r="M5" t="s">
        <v>1757</v>
      </c>
    </row>
    <row r="6" spans="1:13" x14ac:dyDescent="0.45">
      <c r="A6" t="s">
        <v>1031</v>
      </c>
      <c r="B6">
        <v>1</v>
      </c>
      <c r="C6" t="s">
        <v>1751</v>
      </c>
      <c r="D6" t="s">
        <v>1030</v>
      </c>
      <c r="E6" t="s">
        <v>1027</v>
      </c>
      <c r="F6" s="3">
        <v>26.51683966474895</v>
      </c>
      <c r="G6" s="3">
        <v>69.117754940221388</v>
      </c>
      <c r="H6" t="s">
        <v>47</v>
      </c>
      <c r="I6" t="s">
        <v>1758</v>
      </c>
      <c r="J6" s="3">
        <v>49.781799824401887</v>
      </c>
      <c r="K6" s="3">
        <v>160.6560804910149</v>
      </c>
      <c r="M6" t="s">
        <v>1752</v>
      </c>
    </row>
    <row r="7" spans="1:13" x14ac:dyDescent="0.45">
      <c r="A7" t="s">
        <v>1759</v>
      </c>
      <c r="B7">
        <v>3</v>
      </c>
      <c r="C7" t="s">
        <v>1754</v>
      </c>
      <c r="G7" s="3">
        <v>12.49433328629746</v>
      </c>
      <c r="H7" t="s">
        <v>1755</v>
      </c>
      <c r="I7" t="s">
        <v>1759</v>
      </c>
      <c r="M7" t="s">
        <v>1757</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776"/>
  <sheetViews>
    <sheetView workbookViewId="0">
      <pane xSplit="1" ySplit="1" topLeftCell="B2" activePane="bottomRight" state="frozen"/>
      <selection pane="topRight"/>
      <selection pane="bottomLeft"/>
      <selection pane="bottomRight"/>
    </sheetView>
  </sheetViews>
  <sheetFormatPr defaultRowHeight="14.25" x14ac:dyDescent="0.45"/>
  <cols>
    <col min="1" max="5" width="16" customWidth="1"/>
    <col min="6" max="6" width="17" customWidth="1"/>
    <col min="7" max="7" width="18" customWidth="1"/>
    <col min="8" max="8" width="16" customWidth="1"/>
    <col min="9" max="9" width="65" customWidth="1"/>
    <col min="10" max="10" width="27" customWidth="1"/>
    <col min="11" max="11" width="29" customWidth="1"/>
    <col min="12" max="12" width="19" customWidth="1"/>
    <col min="13" max="13" width="65" customWidth="1"/>
  </cols>
  <sheetData>
    <row r="1" spans="1:13" ht="34.049999999999997" customHeight="1" x14ac:dyDescent="0.45">
      <c r="A1" s="1" t="s">
        <v>1745</v>
      </c>
      <c r="B1" s="1" t="s">
        <v>2</v>
      </c>
      <c r="C1" s="1" t="s">
        <v>1746</v>
      </c>
      <c r="D1" s="1" t="s">
        <v>8</v>
      </c>
      <c r="E1" s="1" t="s">
        <v>1747</v>
      </c>
      <c r="F1" s="1" t="s">
        <v>1412</v>
      </c>
      <c r="G1" s="1" t="s">
        <v>1411</v>
      </c>
      <c r="H1" s="1" t="s">
        <v>1748</v>
      </c>
      <c r="I1" s="1" t="s">
        <v>1749</v>
      </c>
      <c r="J1" s="1" t="s">
        <v>1414</v>
      </c>
      <c r="K1" s="1" t="s">
        <v>1413</v>
      </c>
      <c r="L1" s="1" t="s">
        <v>1750</v>
      </c>
      <c r="M1" s="1" t="s">
        <v>7</v>
      </c>
    </row>
    <row r="2" spans="1:13" x14ac:dyDescent="0.45">
      <c r="A2" t="s">
        <v>1760</v>
      </c>
      <c r="B2">
        <v>1</v>
      </c>
      <c r="C2" t="s">
        <v>1761</v>
      </c>
      <c r="D2" t="s">
        <v>1762</v>
      </c>
      <c r="E2" t="s">
        <v>1763</v>
      </c>
      <c r="F2" s="3">
        <v>289.91681643225832</v>
      </c>
      <c r="G2" s="3">
        <v>303.92751594983639</v>
      </c>
      <c r="H2" t="s">
        <v>73</v>
      </c>
      <c r="I2" t="s">
        <v>1760</v>
      </c>
      <c r="J2" s="3">
        <v>2.229701850390005</v>
      </c>
      <c r="K2" s="3">
        <v>4.8326618959172576</v>
      </c>
    </row>
    <row r="3" spans="1:13" x14ac:dyDescent="0.45">
      <c r="A3" t="s">
        <v>1764</v>
      </c>
      <c r="B3">
        <v>1</v>
      </c>
      <c r="C3" t="s">
        <v>1761</v>
      </c>
      <c r="D3" t="s">
        <v>1765</v>
      </c>
      <c r="E3" t="s">
        <v>1766</v>
      </c>
      <c r="F3" s="3">
        <v>398.23726334852131</v>
      </c>
      <c r="G3" s="3">
        <v>408.7424341183999</v>
      </c>
      <c r="H3" t="s">
        <v>73</v>
      </c>
      <c r="I3" t="s">
        <v>1764</v>
      </c>
      <c r="J3" s="3">
        <v>0.17266634410435039</v>
      </c>
      <c r="K3" s="3">
        <v>2.6379175774630821</v>
      </c>
    </row>
    <row r="4" spans="1:13" x14ac:dyDescent="0.45">
      <c r="A4" t="s">
        <v>1767</v>
      </c>
      <c r="B4">
        <v>1</v>
      </c>
      <c r="C4" t="s">
        <v>1761</v>
      </c>
      <c r="D4" t="s">
        <v>1768</v>
      </c>
      <c r="E4" t="s">
        <v>1769</v>
      </c>
      <c r="F4" s="3">
        <v>258.23953055927501</v>
      </c>
      <c r="G4" s="3">
        <v>246.0497620984894</v>
      </c>
      <c r="H4" t="s">
        <v>73</v>
      </c>
      <c r="I4" t="s">
        <v>1767</v>
      </c>
      <c r="J4" s="3">
        <v>5.1848605932304741</v>
      </c>
      <c r="K4" s="3">
        <v>4.7203340380870031</v>
      </c>
    </row>
    <row r="5" spans="1:13" x14ac:dyDescent="0.45">
      <c r="A5" t="s">
        <v>1770</v>
      </c>
      <c r="B5">
        <v>2</v>
      </c>
      <c r="C5" t="s">
        <v>1761</v>
      </c>
      <c r="D5" t="s">
        <v>1771</v>
      </c>
      <c r="E5" t="s">
        <v>1772</v>
      </c>
      <c r="F5" s="3">
        <v>57.310894066875271</v>
      </c>
      <c r="G5" s="3">
        <v>58.487340121299567</v>
      </c>
      <c r="H5" t="s">
        <v>73</v>
      </c>
      <c r="I5" t="s">
        <v>1770</v>
      </c>
      <c r="J5" s="3">
        <v>5.2017762868409543</v>
      </c>
      <c r="K5" s="3">
        <v>2.0527442008695931</v>
      </c>
    </row>
    <row r="6" spans="1:13" x14ac:dyDescent="0.45">
      <c r="A6" t="s">
        <v>1773</v>
      </c>
      <c r="B6">
        <v>1</v>
      </c>
      <c r="C6" t="s">
        <v>1774</v>
      </c>
      <c r="G6" s="3">
        <v>68.948479780186389</v>
      </c>
      <c r="H6" t="s">
        <v>1755</v>
      </c>
      <c r="I6" t="s">
        <v>1773</v>
      </c>
      <c r="M6" t="s">
        <v>1757</v>
      </c>
    </row>
    <row r="7" spans="1:13" x14ac:dyDescent="0.45">
      <c r="A7" t="s">
        <v>1775</v>
      </c>
      <c r="B7">
        <v>1</v>
      </c>
      <c r="C7" t="s">
        <v>1761</v>
      </c>
      <c r="D7" t="s">
        <v>1776</v>
      </c>
      <c r="E7" t="s">
        <v>1777</v>
      </c>
      <c r="F7" s="3">
        <v>378.37173069454991</v>
      </c>
      <c r="G7" s="3">
        <v>407.54217864840228</v>
      </c>
      <c r="H7" t="s">
        <v>73</v>
      </c>
      <c r="I7" t="s">
        <v>1775</v>
      </c>
      <c r="J7" s="3">
        <v>0.16843131558475141</v>
      </c>
      <c r="K7" s="3">
        <v>7.7094681202282986</v>
      </c>
    </row>
    <row r="8" spans="1:13" x14ac:dyDescent="0.45">
      <c r="A8" t="s">
        <v>1778</v>
      </c>
      <c r="B8">
        <v>1</v>
      </c>
      <c r="C8" t="s">
        <v>1761</v>
      </c>
      <c r="D8" t="s">
        <v>1779</v>
      </c>
      <c r="E8" t="s">
        <v>1780</v>
      </c>
      <c r="F8" s="3">
        <v>245.5996662972403</v>
      </c>
      <c r="G8" s="3">
        <v>248.60291422325611</v>
      </c>
      <c r="H8" t="s">
        <v>73</v>
      </c>
      <c r="I8" t="s">
        <v>1778</v>
      </c>
      <c r="J8" s="3">
        <v>0.96523764549764179</v>
      </c>
      <c r="K8" s="3">
        <v>1.2228224782606389</v>
      </c>
    </row>
    <row r="9" spans="1:13" x14ac:dyDescent="0.45">
      <c r="A9" t="s">
        <v>1781</v>
      </c>
      <c r="B9">
        <v>1</v>
      </c>
      <c r="C9" t="s">
        <v>1774</v>
      </c>
      <c r="G9" s="3">
        <v>453.79767613619077</v>
      </c>
      <c r="H9" t="s">
        <v>1755</v>
      </c>
      <c r="I9" t="s">
        <v>1781</v>
      </c>
      <c r="M9" t="s">
        <v>1757</v>
      </c>
    </row>
    <row r="10" spans="1:13" x14ac:dyDescent="0.45">
      <c r="A10" t="s">
        <v>1782</v>
      </c>
      <c r="B10">
        <v>1</v>
      </c>
      <c r="C10" t="s">
        <v>1761</v>
      </c>
      <c r="D10" t="s">
        <v>1783</v>
      </c>
      <c r="E10" t="s">
        <v>1784</v>
      </c>
      <c r="F10" s="3">
        <v>326.15637771674329</v>
      </c>
      <c r="G10" s="3">
        <v>313.06543918432641</v>
      </c>
      <c r="H10" t="s">
        <v>73</v>
      </c>
      <c r="I10" t="s">
        <v>1782</v>
      </c>
      <c r="J10" s="3">
        <v>5.689855284293392</v>
      </c>
      <c r="K10" s="3">
        <v>4.0137</v>
      </c>
    </row>
    <row r="11" spans="1:13" x14ac:dyDescent="0.45">
      <c r="A11" t="s">
        <v>1785</v>
      </c>
      <c r="B11">
        <v>2</v>
      </c>
      <c r="C11" t="s">
        <v>1761</v>
      </c>
      <c r="D11" t="s">
        <v>1786</v>
      </c>
      <c r="E11" t="s">
        <v>1787</v>
      </c>
      <c r="F11" s="3">
        <v>252.63844708474539</v>
      </c>
      <c r="G11" s="3">
        <v>235.0579660130575</v>
      </c>
      <c r="H11" t="s">
        <v>73</v>
      </c>
      <c r="I11" t="s">
        <v>1785</v>
      </c>
      <c r="J11" s="3">
        <v>1.142750390963472</v>
      </c>
      <c r="K11" s="3">
        <v>6.9587512409742844</v>
      </c>
    </row>
    <row r="12" spans="1:13" x14ac:dyDescent="0.45">
      <c r="A12" t="s">
        <v>1788</v>
      </c>
      <c r="B12">
        <v>1</v>
      </c>
      <c r="C12" t="s">
        <v>1774</v>
      </c>
      <c r="H12" t="s">
        <v>1755</v>
      </c>
      <c r="I12" t="s">
        <v>1788</v>
      </c>
      <c r="M12" t="s">
        <v>1757</v>
      </c>
    </row>
    <row r="13" spans="1:13" x14ac:dyDescent="0.45">
      <c r="A13" t="s">
        <v>1789</v>
      </c>
      <c r="B13">
        <v>1</v>
      </c>
      <c r="C13" t="s">
        <v>1774</v>
      </c>
      <c r="G13" s="3">
        <v>110.3325056103976</v>
      </c>
      <c r="H13" t="s">
        <v>1755</v>
      </c>
      <c r="I13" t="s">
        <v>1789</v>
      </c>
      <c r="M13" t="s">
        <v>1757</v>
      </c>
    </row>
    <row r="14" spans="1:13" x14ac:dyDescent="0.45">
      <c r="A14" t="s">
        <v>1790</v>
      </c>
      <c r="B14">
        <v>1</v>
      </c>
      <c r="C14" t="s">
        <v>1774</v>
      </c>
      <c r="H14" t="s">
        <v>1755</v>
      </c>
      <c r="I14" t="s">
        <v>1790</v>
      </c>
      <c r="M14" t="s">
        <v>1757</v>
      </c>
    </row>
    <row r="15" spans="1:13" x14ac:dyDescent="0.45">
      <c r="A15" t="s">
        <v>1791</v>
      </c>
      <c r="B15">
        <v>1</v>
      </c>
      <c r="C15" t="s">
        <v>1774</v>
      </c>
      <c r="G15" s="3">
        <v>215.46314315259099</v>
      </c>
      <c r="H15" t="s">
        <v>1755</v>
      </c>
      <c r="I15" t="s">
        <v>1791</v>
      </c>
      <c r="M15" t="s">
        <v>1757</v>
      </c>
    </row>
    <row r="16" spans="1:13" x14ac:dyDescent="0.45">
      <c r="A16" t="s">
        <v>1792</v>
      </c>
      <c r="B16">
        <v>1</v>
      </c>
      <c r="C16" t="s">
        <v>1774</v>
      </c>
      <c r="G16" s="3">
        <v>383.02174217165748</v>
      </c>
      <c r="H16" t="s">
        <v>1755</v>
      </c>
      <c r="I16" t="s">
        <v>1792</v>
      </c>
      <c r="M16" t="s">
        <v>1757</v>
      </c>
    </row>
    <row r="17" spans="1:13" x14ac:dyDescent="0.45">
      <c r="A17" t="s">
        <v>1793</v>
      </c>
      <c r="B17">
        <v>1</v>
      </c>
      <c r="C17" t="s">
        <v>1774</v>
      </c>
      <c r="G17" s="3">
        <v>419.05876034558048</v>
      </c>
      <c r="H17" t="s">
        <v>1755</v>
      </c>
      <c r="I17" t="s">
        <v>1793</v>
      </c>
      <c r="M17" t="s">
        <v>1757</v>
      </c>
    </row>
    <row r="18" spans="1:13" x14ac:dyDescent="0.45">
      <c r="A18" t="s">
        <v>1794</v>
      </c>
      <c r="B18">
        <v>1</v>
      </c>
      <c r="C18" t="s">
        <v>1774</v>
      </c>
      <c r="H18" t="s">
        <v>1755</v>
      </c>
      <c r="I18" t="s">
        <v>1794</v>
      </c>
      <c r="M18" t="s">
        <v>1757</v>
      </c>
    </row>
    <row r="19" spans="1:13" x14ac:dyDescent="0.45">
      <c r="A19" t="s">
        <v>1795</v>
      </c>
      <c r="B19">
        <v>1</v>
      </c>
      <c r="C19" t="s">
        <v>1774</v>
      </c>
      <c r="H19" t="s">
        <v>1755</v>
      </c>
      <c r="I19" t="s">
        <v>1795</v>
      </c>
      <c r="M19" t="s">
        <v>1757</v>
      </c>
    </row>
    <row r="20" spans="1:13" x14ac:dyDescent="0.45">
      <c r="A20" t="s">
        <v>1796</v>
      </c>
      <c r="B20">
        <v>1</v>
      </c>
      <c r="C20" t="s">
        <v>1774</v>
      </c>
      <c r="G20" s="3">
        <v>328.96784569266163</v>
      </c>
      <c r="H20" t="s">
        <v>1755</v>
      </c>
      <c r="I20" t="s">
        <v>1796</v>
      </c>
      <c r="M20" t="s">
        <v>1757</v>
      </c>
    </row>
    <row r="21" spans="1:13" x14ac:dyDescent="0.45">
      <c r="A21" t="s">
        <v>1797</v>
      </c>
      <c r="B21">
        <v>1</v>
      </c>
      <c r="C21" t="s">
        <v>1774</v>
      </c>
      <c r="G21" s="3">
        <v>209.7446433820833</v>
      </c>
      <c r="H21" t="s">
        <v>1755</v>
      </c>
      <c r="I21" t="s">
        <v>1797</v>
      </c>
      <c r="M21" t="s">
        <v>1757</v>
      </c>
    </row>
    <row r="22" spans="1:13" x14ac:dyDescent="0.45">
      <c r="A22" t="s">
        <v>1798</v>
      </c>
      <c r="B22">
        <v>1</v>
      </c>
      <c r="C22" t="s">
        <v>1774</v>
      </c>
      <c r="G22" s="3">
        <v>474.34226636856852</v>
      </c>
      <c r="H22" t="s">
        <v>1755</v>
      </c>
      <c r="I22" t="s">
        <v>1798</v>
      </c>
      <c r="M22" t="s">
        <v>1757</v>
      </c>
    </row>
    <row r="23" spans="1:13" x14ac:dyDescent="0.45">
      <c r="A23" t="s">
        <v>1799</v>
      </c>
      <c r="B23">
        <v>3</v>
      </c>
      <c r="C23" t="s">
        <v>1774</v>
      </c>
      <c r="G23" s="3">
        <v>1292.662094932323</v>
      </c>
      <c r="H23" t="s">
        <v>1755</v>
      </c>
      <c r="I23" t="s">
        <v>1799</v>
      </c>
      <c r="M23" t="s">
        <v>1757</v>
      </c>
    </row>
    <row r="24" spans="1:13" x14ac:dyDescent="0.45">
      <c r="A24" t="s">
        <v>1800</v>
      </c>
      <c r="B24">
        <v>1</v>
      </c>
      <c r="C24" t="s">
        <v>1774</v>
      </c>
      <c r="G24" s="3">
        <v>111.2695528835779</v>
      </c>
      <c r="H24" t="s">
        <v>1755</v>
      </c>
      <c r="I24" t="s">
        <v>1800</v>
      </c>
      <c r="M24" t="s">
        <v>1757</v>
      </c>
    </row>
    <row r="25" spans="1:13" x14ac:dyDescent="0.45">
      <c r="A25" t="s">
        <v>1801</v>
      </c>
      <c r="B25">
        <v>1</v>
      </c>
      <c r="C25" t="s">
        <v>1774</v>
      </c>
      <c r="G25" s="3">
        <v>226.9190597635139</v>
      </c>
      <c r="H25" t="s">
        <v>1755</v>
      </c>
      <c r="I25" t="s">
        <v>1801</v>
      </c>
      <c r="M25" t="s">
        <v>1757</v>
      </c>
    </row>
    <row r="26" spans="1:13" x14ac:dyDescent="0.45">
      <c r="A26" t="s">
        <v>1802</v>
      </c>
      <c r="B26">
        <v>1</v>
      </c>
      <c r="C26" t="s">
        <v>1774</v>
      </c>
      <c r="G26" s="3">
        <v>186.66223037469169</v>
      </c>
      <c r="H26" t="s">
        <v>1755</v>
      </c>
      <c r="I26" t="s">
        <v>1802</v>
      </c>
      <c r="M26" t="s">
        <v>1757</v>
      </c>
    </row>
    <row r="27" spans="1:13" x14ac:dyDescent="0.45">
      <c r="A27" t="s">
        <v>1803</v>
      </c>
      <c r="B27">
        <v>1</v>
      </c>
      <c r="C27" t="s">
        <v>1761</v>
      </c>
      <c r="D27" t="s">
        <v>1804</v>
      </c>
      <c r="E27" t="s">
        <v>1805</v>
      </c>
      <c r="F27" s="3">
        <v>256.00959940482562</v>
      </c>
      <c r="G27" s="3">
        <v>239.5954535398528</v>
      </c>
      <c r="H27" t="s">
        <v>73</v>
      </c>
      <c r="I27" t="s">
        <v>1803</v>
      </c>
      <c r="J27" s="3">
        <v>1.2992318686929201</v>
      </c>
      <c r="K27" s="3">
        <v>6.4115353108370332</v>
      </c>
    </row>
    <row r="28" spans="1:13" x14ac:dyDescent="0.45">
      <c r="A28" t="s">
        <v>1806</v>
      </c>
      <c r="B28">
        <v>3</v>
      </c>
      <c r="C28" t="s">
        <v>1761</v>
      </c>
      <c r="D28" t="s">
        <v>1807</v>
      </c>
      <c r="E28" t="s">
        <v>1808</v>
      </c>
      <c r="F28" s="3">
        <v>45.866392929172463</v>
      </c>
      <c r="G28" s="3">
        <v>44.998816964445922</v>
      </c>
      <c r="H28" t="s">
        <v>73</v>
      </c>
      <c r="I28" t="s">
        <v>1806</v>
      </c>
      <c r="J28" s="3">
        <v>5.6514797026047887</v>
      </c>
      <c r="K28" s="3">
        <v>1.8915286538147009</v>
      </c>
    </row>
    <row r="29" spans="1:13" x14ac:dyDescent="0.45">
      <c r="A29" t="s">
        <v>1809</v>
      </c>
      <c r="B29">
        <v>1</v>
      </c>
      <c r="C29" t="s">
        <v>1761</v>
      </c>
      <c r="D29" t="s">
        <v>1810</v>
      </c>
      <c r="E29" t="s">
        <v>1811</v>
      </c>
      <c r="F29" s="3">
        <v>95.984886554638109</v>
      </c>
      <c r="G29" s="3">
        <v>97.055984099059899</v>
      </c>
      <c r="H29" t="s">
        <v>73</v>
      </c>
      <c r="I29" t="s">
        <v>1809</v>
      </c>
      <c r="J29" s="3">
        <v>1.222656788042908</v>
      </c>
      <c r="K29" s="3">
        <v>1.115902287191936</v>
      </c>
    </row>
    <row r="30" spans="1:13" x14ac:dyDescent="0.45">
      <c r="A30" t="s">
        <v>1812</v>
      </c>
      <c r="B30">
        <v>1</v>
      </c>
      <c r="C30" t="s">
        <v>1761</v>
      </c>
      <c r="D30" t="s">
        <v>1813</v>
      </c>
      <c r="E30" t="s">
        <v>1814</v>
      </c>
      <c r="F30" s="3">
        <v>50.906161277651577</v>
      </c>
      <c r="G30" s="3">
        <v>50.428342184296547</v>
      </c>
      <c r="H30" t="s">
        <v>73</v>
      </c>
      <c r="I30" t="s">
        <v>1812</v>
      </c>
      <c r="J30" s="3">
        <v>3.4647602688788459</v>
      </c>
      <c r="K30" s="3">
        <v>0.93862723364450951</v>
      </c>
    </row>
    <row r="31" spans="1:13" x14ac:dyDescent="0.45">
      <c r="A31" t="s">
        <v>1815</v>
      </c>
      <c r="B31">
        <v>5</v>
      </c>
      <c r="C31" t="s">
        <v>1761</v>
      </c>
      <c r="D31" t="s">
        <v>1816</v>
      </c>
      <c r="E31" t="s">
        <v>1817</v>
      </c>
      <c r="F31" s="3">
        <v>40.251284730401011</v>
      </c>
      <c r="G31" s="3">
        <v>41.048410917540728</v>
      </c>
      <c r="H31" t="s">
        <v>73</v>
      </c>
      <c r="I31" t="s">
        <v>1815</v>
      </c>
      <c r="J31" s="3">
        <v>8.8158510266316874</v>
      </c>
      <c r="K31" s="3">
        <v>1.980374520909796</v>
      </c>
    </row>
    <row r="32" spans="1:13" x14ac:dyDescent="0.45">
      <c r="A32" t="s">
        <v>1818</v>
      </c>
      <c r="B32">
        <v>2</v>
      </c>
      <c r="C32" t="s">
        <v>1774</v>
      </c>
      <c r="G32" s="3">
        <v>40.695509716851213</v>
      </c>
      <c r="H32" t="s">
        <v>1755</v>
      </c>
      <c r="I32" t="s">
        <v>1818</v>
      </c>
      <c r="M32" t="s">
        <v>1757</v>
      </c>
    </row>
    <row r="33" spans="1:13" x14ac:dyDescent="0.45">
      <c r="A33" t="s">
        <v>1819</v>
      </c>
      <c r="B33">
        <v>1</v>
      </c>
      <c r="C33" t="s">
        <v>1761</v>
      </c>
      <c r="D33" t="s">
        <v>1820</v>
      </c>
      <c r="E33" t="s">
        <v>1821</v>
      </c>
      <c r="F33" s="3">
        <v>182.00700039554059</v>
      </c>
      <c r="G33" s="3">
        <v>178.27674990359421</v>
      </c>
      <c r="H33" t="s">
        <v>73</v>
      </c>
      <c r="I33" t="s">
        <v>1819</v>
      </c>
      <c r="J33" s="3">
        <v>5.2825500150214699</v>
      </c>
      <c r="K33" s="3">
        <v>2.049509350651217</v>
      </c>
    </row>
    <row r="34" spans="1:13" x14ac:dyDescent="0.45">
      <c r="A34" t="s">
        <v>1159</v>
      </c>
      <c r="B34">
        <v>3</v>
      </c>
      <c r="C34" t="s">
        <v>1751</v>
      </c>
      <c r="D34" t="s">
        <v>1158</v>
      </c>
      <c r="E34" t="s">
        <v>1156</v>
      </c>
      <c r="F34" s="3">
        <v>27.903004270045109</v>
      </c>
      <c r="G34" s="3">
        <v>27.73412049766338</v>
      </c>
      <c r="H34" t="s">
        <v>73</v>
      </c>
      <c r="I34" t="s">
        <v>1159</v>
      </c>
      <c r="J34" s="3">
        <v>23.717507813007298</v>
      </c>
      <c r="K34" s="3">
        <v>0.60525300697828255</v>
      </c>
    </row>
    <row r="35" spans="1:13" x14ac:dyDescent="0.45">
      <c r="A35" t="s">
        <v>1822</v>
      </c>
      <c r="B35">
        <v>2</v>
      </c>
      <c r="C35" t="s">
        <v>1761</v>
      </c>
      <c r="D35" t="s">
        <v>1823</v>
      </c>
      <c r="E35" t="s">
        <v>1824</v>
      </c>
      <c r="F35" s="3">
        <v>64.419472319211692</v>
      </c>
      <c r="G35" s="3">
        <v>64.611904582064568</v>
      </c>
      <c r="H35" t="s">
        <v>73</v>
      </c>
      <c r="I35" t="s">
        <v>1822</v>
      </c>
      <c r="J35" s="3">
        <v>1.469197940703366</v>
      </c>
      <c r="K35" s="3">
        <v>0.2987175397825817</v>
      </c>
    </row>
    <row r="36" spans="1:13" x14ac:dyDescent="0.45">
      <c r="A36" t="s">
        <v>1825</v>
      </c>
      <c r="B36">
        <v>1</v>
      </c>
      <c r="C36" t="s">
        <v>1761</v>
      </c>
      <c r="D36" t="s">
        <v>1826</v>
      </c>
      <c r="E36" t="s">
        <v>1827</v>
      </c>
      <c r="F36" s="3">
        <v>58.661181470622587</v>
      </c>
      <c r="G36" s="3">
        <v>58.385579331451943</v>
      </c>
      <c r="H36" t="s">
        <v>73</v>
      </c>
      <c r="I36" t="s">
        <v>1825</v>
      </c>
      <c r="J36" s="3">
        <v>9.6687043261573375</v>
      </c>
      <c r="K36" s="3">
        <v>0.46982030068500358</v>
      </c>
    </row>
    <row r="37" spans="1:13" x14ac:dyDescent="0.45">
      <c r="A37" t="s">
        <v>1828</v>
      </c>
      <c r="B37">
        <v>2</v>
      </c>
      <c r="C37" t="s">
        <v>1761</v>
      </c>
      <c r="D37" t="s">
        <v>1829</v>
      </c>
      <c r="E37" t="s">
        <v>1830</v>
      </c>
      <c r="F37" s="3">
        <v>265.59957537883099</v>
      </c>
      <c r="G37" s="3">
        <v>270.58357098672059</v>
      </c>
      <c r="H37" t="s">
        <v>73</v>
      </c>
      <c r="I37" t="s">
        <v>1828</v>
      </c>
      <c r="J37" s="3">
        <v>0.57225502599632128</v>
      </c>
      <c r="K37" s="3">
        <v>1.876507370458234</v>
      </c>
    </row>
    <row r="38" spans="1:13" x14ac:dyDescent="0.45">
      <c r="A38" t="s">
        <v>1831</v>
      </c>
      <c r="B38">
        <v>1</v>
      </c>
      <c r="C38" t="s">
        <v>1761</v>
      </c>
      <c r="D38" t="s">
        <v>1832</v>
      </c>
      <c r="E38" t="s">
        <v>1833</v>
      </c>
      <c r="F38" s="3">
        <v>521.85020434678927</v>
      </c>
      <c r="G38" s="3">
        <v>530.17371510612054</v>
      </c>
      <c r="H38" t="s">
        <v>73</v>
      </c>
      <c r="I38" t="s">
        <v>1831</v>
      </c>
      <c r="J38" s="3">
        <v>0.28405134190900061</v>
      </c>
      <c r="K38" s="3">
        <v>1.5949999999999951</v>
      </c>
    </row>
    <row r="39" spans="1:13" x14ac:dyDescent="0.45">
      <c r="A39" t="s">
        <v>1834</v>
      </c>
      <c r="B39">
        <v>1</v>
      </c>
      <c r="C39" t="s">
        <v>1761</v>
      </c>
      <c r="D39" t="s">
        <v>1835</v>
      </c>
      <c r="E39" t="s">
        <v>1836</v>
      </c>
      <c r="F39" s="3">
        <v>301.71715417805012</v>
      </c>
      <c r="G39" s="3">
        <v>330.26594807597428</v>
      </c>
      <c r="H39" t="s">
        <v>73</v>
      </c>
      <c r="I39" t="s">
        <v>1834</v>
      </c>
      <c r="J39" s="3">
        <v>0.94409254215043226</v>
      </c>
      <c r="K39" s="3">
        <v>9.4621049889251552</v>
      </c>
    </row>
    <row r="40" spans="1:13" x14ac:dyDescent="0.45">
      <c r="A40" t="s">
        <v>1837</v>
      </c>
      <c r="B40">
        <v>1</v>
      </c>
      <c r="C40" t="s">
        <v>1761</v>
      </c>
      <c r="D40" t="s">
        <v>1838</v>
      </c>
      <c r="E40" t="s">
        <v>1839</v>
      </c>
      <c r="F40" s="3">
        <v>149.8192797914306</v>
      </c>
      <c r="G40" s="3">
        <v>143.60795773419301</v>
      </c>
      <c r="H40" t="s">
        <v>73</v>
      </c>
      <c r="I40" t="s">
        <v>1837</v>
      </c>
      <c r="J40" s="3">
        <v>5.7576523234569867</v>
      </c>
      <c r="K40" s="3">
        <v>4.145876329057713</v>
      </c>
    </row>
    <row r="41" spans="1:13" x14ac:dyDescent="0.45">
      <c r="A41" t="s">
        <v>1840</v>
      </c>
      <c r="B41">
        <v>1</v>
      </c>
      <c r="C41" t="s">
        <v>1761</v>
      </c>
      <c r="D41" t="s">
        <v>1841</v>
      </c>
      <c r="E41" t="s">
        <v>1842</v>
      </c>
      <c r="F41" s="3">
        <v>454.256904316016</v>
      </c>
      <c r="G41" s="3">
        <v>528.78755050082452</v>
      </c>
      <c r="H41" t="s">
        <v>73</v>
      </c>
      <c r="I41" t="s">
        <v>1840</v>
      </c>
      <c r="J41" s="3">
        <v>0.38268560618993752</v>
      </c>
      <c r="K41" s="3">
        <v>16.407157596653551</v>
      </c>
    </row>
    <row r="42" spans="1:13" x14ac:dyDescent="0.45">
      <c r="A42" t="s">
        <v>1843</v>
      </c>
      <c r="B42">
        <v>1</v>
      </c>
      <c r="C42" t="s">
        <v>1761</v>
      </c>
      <c r="D42" t="s">
        <v>1844</v>
      </c>
      <c r="E42" t="s">
        <v>1845</v>
      </c>
      <c r="F42" s="3">
        <v>150.2331722347532</v>
      </c>
      <c r="G42" s="3">
        <v>163.23311313778709</v>
      </c>
      <c r="H42" t="s">
        <v>73</v>
      </c>
      <c r="I42" t="s">
        <v>1843</v>
      </c>
      <c r="J42" s="3">
        <v>0.7434235575075524</v>
      </c>
      <c r="K42" s="3">
        <v>8.6531760660157957</v>
      </c>
    </row>
    <row r="43" spans="1:13" x14ac:dyDescent="0.45">
      <c r="A43" t="s">
        <v>1846</v>
      </c>
      <c r="B43">
        <v>1</v>
      </c>
      <c r="C43" t="s">
        <v>1761</v>
      </c>
      <c r="D43" t="s">
        <v>1847</v>
      </c>
      <c r="E43" t="s">
        <v>1848</v>
      </c>
      <c r="F43" s="3">
        <v>88.197903036650857</v>
      </c>
      <c r="G43" s="3">
        <v>87.593861425119456</v>
      </c>
      <c r="H43" t="s">
        <v>73</v>
      </c>
      <c r="I43" t="s">
        <v>1846</v>
      </c>
      <c r="J43" s="3">
        <v>0.80678133442365985</v>
      </c>
      <c r="K43" s="3">
        <v>0.68487071770900487</v>
      </c>
    </row>
    <row r="44" spans="1:13" x14ac:dyDescent="0.45">
      <c r="A44" t="s">
        <v>1849</v>
      </c>
      <c r="B44">
        <v>1</v>
      </c>
      <c r="C44" t="s">
        <v>1774</v>
      </c>
      <c r="G44" s="3">
        <v>3392.02632825413</v>
      </c>
      <c r="H44" t="s">
        <v>1755</v>
      </c>
      <c r="I44" t="s">
        <v>1849</v>
      </c>
      <c r="M44" t="s">
        <v>1757</v>
      </c>
    </row>
    <row r="45" spans="1:13" x14ac:dyDescent="0.45">
      <c r="A45" t="s">
        <v>1850</v>
      </c>
      <c r="B45">
        <v>4</v>
      </c>
      <c r="C45" t="s">
        <v>1761</v>
      </c>
      <c r="D45" t="s">
        <v>1851</v>
      </c>
      <c r="E45" t="s">
        <v>1852</v>
      </c>
      <c r="F45" s="3">
        <v>32.321444718973829</v>
      </c>
      <c r="G45" s="3">
        <v>31.709249197999501</v>
      </c>
      <c r="H45" t="s">
        <v>73</v>
      </c>
      <c r="I45" t="s">
        <v>1850</v>
      </c>
      <c r="J45" s="3">
        <v>7.3148386003816164</v>
      </c>
      <c r="K45" s="3">
        <v>1.8940846434842411</v>
      </c>
    </row>
    <row r="46" spans="1:13" x14ac:dyDescent="0.45">
      <c r="A46" t="s">
        <v>1853</v>
      </c>
      <c r="B46">
        <v>1</v>
      </c>
      <c r="C46" t="s">
        <v>1774</v>
      </c>
      <c r="G46" s="3">
        <v>3491.9280267487688</v>
      </c>
      <c r="H46" t="s">
        <v>1755</v>
      </c>
      <c r="I46" t="s">
        <v>1853</v>
      </c>
      <c r="M46" t="s">
        <v>1757</v>
      </c>
    </row>
    <row r="47" spans="1:13" x14ac:dyDescent="0.45">
      <c r="A47" t="s">
        <v>1854</v>
      </c>
      <c r="B47">
        <v>1</v>
      </c>
      <c r="C47" t="s">
        <v>1774</v>
      </c>
      <c r="G47" s="3">
        <v>142.10209373827479</v>
      </c>
      <c r="H47" t="s">
        <v>1755</v>
      </c>
      <c r="I47" t="s">
        <v>1854</v>
      </c>
      <c r="M47" t="s">
        <v>1757</v>
      </c>
    </row>
    <row r="48" spans="1:13" x14ac:dyDescent="0.45">
      <c r="A48" t="s">
        <v>1855</v>
      </c>
      <c r="B48">
        <v>1</v>
      </c>
      <c r="C48" t="s">
        <v>1774</v>
      </c>
      <c r="G48" s="3">
        <v>160.96469553076719</v>
      </c>
      <c r="H48" t="s">
        <v>1755</v>
      </c>
      <c r="I48" t="s">
        <v>1855</v>
      </c>
      <c r="M48" t="s">
        <v>1757</v>
      </c>
    </row>
    <row r="49" spans="1:13" x14ac:dyDescent="0.45">
      <c r="A49" t="s">
        <v>1856</v>
      </c>
      <c r="B49">
        <v>1</v>
      </c>
      <c r="C49" t="s">
        <v>1774</v>
      </c>
      <c r="G49" s="3">
        <v>2505.027751234561</v>
      </c>
      <c r="H49" t="s">
        <v>1755</v>
      </c>
      <c r="I49" t="s">
        <v>1856</v>
      </c>
      <c r="M49" t="s">
        <v>1757</v>
      </c>
    </row>
    <row r="50" spans="1:13" x14ac:dyDescent="0.45">
      <c r="A50" t="s">
        <v>1857</v>
      </c>
      <c r="B50">
        <v>1</v>
      </c>
      <c r="C50" t="s">
        <v>1774</v>
      </c>
      <c r="G50" s="3">
        <v>1390.796025859737</v>
      </c>
      <c r="H50" t="s">
        <v>1755</v>
      </c>
      <c r="I50" t="s">
        <v>1857</v>
      </c>
      <c r="M50" t="s">
        <v>1757</v>
      </c>
    </row>
    <row r="51" spans="1:13" x14ac:dyDescent="0.45">
      <c r="A51" t="s">
        <v>1858</v>
      </c>
      <c r="B51">
        <v>2</v>
      </c>
      <c r="C51" t="s">
        <v>1774</v>
      </c>
      <c r="G51" s="3">
        <v>5021.8623633424686</v>
      </c>
      <c r="H51" t="s">
        <v>1755</v>
      </c>
      <c r="I51" t="s">
        <v>1858</v>
      </c>
      <c r="M51" t="s">
        <v>1757</v>
      </c>
    </row>
    <row r="52" spans="1:13" x14ac:dyDescent="0.45">
      <c r="A52" t="s">
        <v>1859</v>
      </c>
      <c r="B52">
        <v>1</v>
      </c>
      <c r="C52" t="s">
        <v>1774</v>
      </c>
      <c r="G52" s="3">
        <v>4313.4507109417018</v>
      </c>
      <c r="H52" t="s">
        <v>1755</v>
      </c>
      <c r="I52" t="s">
        <v>1859</v>
      </c>
      <c r="M52" t="s">
        <v>1757</v>
      </c>
    </row>
    <row r="53" spans="1:13" x14ac:dyDescent="0.45">
      <c r="A53" t="s">
        <v>1860</v>
      </c>
      <c r="B53">
        <v>1</v>
      </c>
      <c r="C53" t="s">
        <v>1774</v>
      </c>
      <c r="G53" s="3">
        <v>585.32349701424482</v>
      </c>
      <c r="H53" t="s">
        <v>1755</v>
      </c>
      <c r="I53" t="s">
        <v>1860</v>
      </c>
      <c r="M53" t="s">
        <v>1757</v>
      </c>
    </row>
    <row r="54" spans="1:13" x14ac:dyDescent="0.45">
      <c r="A54" t="s">
        <v>1861</v>
      </c>
      <c r="B54">
        <v>1</v>
      </c>
      <c r="C54" t="s">
        <v>1774</v>
      </c>
      <c r="G54" s="3">
        <v>1481.5686073420841</v>
      </c>
      <c r="H54" t="s">
        <v>1755</v>
      </c>
      <c r="I54" t="s">
        <v>1861</v>
      </c>
      <c r="M54" t="s">
        <v>1757</v>
      </c>
    </row>
    <row r="55" spans="1:13" x14ac:dyDescent="0.45">
      <c r="A55" t="s">
        <v>1862</v>
      </c>
      <c r="B55">
        <v>1</v>
      </c>
      <c r="C55" t="s">
        <v>1774</v>
      </c>
      <c r="G55" s="3">
        <v>1991.8859221728089</v>
      </c>
      <c r="H55" t="s">
        <v>1755</v>
      </c>
      <c r="I55" t="s">
        <v>1862</v>
      </c>
      <c r="M55" t="s">
        <v>1757</v>
      </c>
    </row>
    <row r="56" spans="1:13" x14ac:dyDescent="0.45">
      <c r="A56" t="s">
        <v>1863</v>
      </c>
      <c r="B56">
        <v>1</v>
      </c>
      <c r="C56" t="s">
        <v>1774</v>
      </c>
      <c r="G56" s="3">
        <v>174.89157285927209</v>
      </c>
      <c r="H56" t="s">
        <v>1755</v>
      </c>
      <c r="I56" t="s">
        <v>1863</v>
      </c>
      <c r="M56" t="s">
        <v>1757</v>
      </c>
    </row>
    <row r="57" spans="1:13" x14ac:dyDescent="0.45">
      <c r="A57" t="s">
        <v>1864</v>
      </c>
      <c r="B57">
        <v>1</v>
      </c>
      <c r="C57" t="s">
        <v>1774</v>
      </c>
      <c r="G57" s="3">
        <v>2842.4300008549781</v>
      </c>
      <c r="H57" t="s">
        <v>1755</v>
      </c>
      <c r="I57" t="s">
        <v>1864</v>
      </c>
      <c r="M57" t="s">
        <v>1757</v>
      </c>
    </row>
    <row r="58" spans="1:13" x14ac:dyDescent="0.45">
      <c r="A58" t="s">
        <v>1865</v>
      </c>
      <c r="B58">
        <v>1</v>
      </c>
      <c r="C58" t="s">
        <v>1774</v>
      </c>
      <c r="G58" s="3">
        <v>2174.122536658263</v>
      </c>
      <c r="H58" t="s">
        <v>1755</v>
      </c>
      <c r="I58" t="s">
        <v>1865</v>
      </c>
      <c r="M58" t="s">
        <v>1757</v>
      </c>
    </row>
    <row r="59" spans="1:13" x14ac:dyDescent="0.45">
      <c r="A59" t="s">
        <v>1866</v>
      </c>
      <c r="B59">
        <v>1</v>
      </c>
      <c r="C59" t="s">
        <v>1774</v>
      </c>
      <c r="G59" s="3">
        <v>1441.748175186646</v>
      </c>
      <c r="H59" t="s">
        <v>1755</v>
      </c>
      <c r="I59" t="s">
        <v>1866</v>
      </c>
      <c r="M59" t="s">
        <v>1757</v>
      </c>
    </row>
    <row r="60" spans="1:13" x14ac:dyDescent="0.45">
      <c r="A60" t="s">
        <v>1867</v>
      </c>
      <c r="B60">
        <v>1</v>
      </c>
      <c r="C60" t="s">
        <v>1774</v>
      </c>
      <c r="G60" s="3">
        <v>171.4594292965588</v>
      </c>
      <c r="H60" t="s">
        <v>1755</v>
      </c>
      <c r="I60" t="s">
        <v>1867</v>
      </c>
      <c r="M60" t="s">
        <v>1757</v>
      </c>
    </row>
    <row r="61" spans="1:13" x14ac:dyDescent="0.45">
      <c r="A61" t="s">
        <v>1868</v>
      </c>
      <c r="B61">
        <v>1</v>
      </c>
      <c r="C61" t="s">
        <v>1774</v>
      </c>
      <c r="G61" s="3">
        <v>146.62131650791801</v>
      </c>
      <c r="H61" t="s">
        <v>1755</v>
      </c>
      <c r="I61" t="s">
        <v>1868</v>
      </c>
      <c r="M61" t="s">
        <v>1757</v>
      </c>
    </row>
    <row r="62" spans="1:13" x14ac:dyDescent="0.45">
      <c r="A62" t="s">
        <v>1869</v>
      </c>
      <c r="B62">
        <v>1</v>
      </c>
      <c r="C62" t="s">
        <v>1774</v>
      </c>
      <c r="G62" s="3">
        <v>124.0936954990225</v>
      </c>
      <c r="H62" t="s">
        <v>1755</v>
      </c>
      <c r="I62" t="s">
        <v>1869</v>
      </c>
      <c r="M62" t="s">
        <v>1757</v>
      </c>
    </row>
    <row r="63" spans="1:13" x14ac:dyDescent="0.45">
      <c r="A63" t="s">
        <v>1870</v>
      </c>
      <c r="B63">
        <v>2</v>
      </c>
      <c r="C63" t="s">
        <v>1774</v>
      </c>
      <c r="G63" s="3">
        <v>66.110266981295297</v>
      </c>
      <c r="H63" t="s">
        <v>1755</v>
      </c>
      <c r="I63" t="s">
        <v>1870</v>
      </c>
      <c r="M63" t="s">
        <v>1757</v>
      </c>
    </row>
    <row r="64" spans="1:13" x14ac:dyDescent="0.45">
      <c r="A64" t="s">
        <v>1871</v>
      </c>
      <c r="B64">
        <v>2</v>
      </c>
      <c r="C64" t="s">
        <v>1774</v>
      </c>
      <c r="G64" s="3">
        <v>134.8141294781941</v>
      </c>
      <c r="H64" t="s">
        <v>1755</v>
      </c>
      <c r="I64" t="s">
        <v>1871</v>
      </c>
      <c r="M64" t="s">
        <v>1757</v>
      </c>
    </row>
    <row r="65" spans="1:13" x14ac:dyDescent="0.45">
      <c r="A65" t="s">
        <v>1872</v>
      </c>
      <c r="B65">
        <v>1</v>
      </c>
      <c r="C65" t="s">
        <v>1774</v>
      </c>
      <c r="G65" s="3">
        <v>275.2984875829938</v>
      </c>
      <c r="H65" t="s">
        <v>1755</v>
      </c>
      <c r="I65" t="s">
        <v>1872</v>
      </c>
      <c r="M65" t="s">
        <v>1757</v>
      </c>
    </row>
    <row r="66" spans="1:13" x14ac:dyDescent="0.45">
      <c r="A66" t="s">
        <v>1873</v>
      </c>
      <c r="B66">
        <v>2</v>
      </c>
      <c r="C66" t="s">
        <v>1774</v>
      </c>
      <c r="G66" s="3">
        <v>88.605272352419078</v>
      </c>
      <c r="H66" t="s">
        <v>1755</v>
      </c>
      <c r="I66" t="s">
        <v>1873</v>
      </c>
      <c r="M66" t="s">
        <v>1757</v>
      </c>
    </row>
    <row r="67" spans="1:13" x14ac:dyDescent="0.45">
      <c r="A67" t="s">
        <v>1874</v>
      </c>
      <c r="B67">
        <v>1</v>
      </c>
      <c r="C67" t="s">
        <v>1774</v>
      </c>
      <c r="G67" s="3">
        <v>3017.6444685281899</v>
      </c>
      <c r="H67" t="s">
        <v>1755</v>
      </c>
      <c r="I67" t="s">
        <v>1874</v>
      </c>
      <c r="M67" t="s">
        <v>1757</v>
      </c>
    </row>
    <row r="68" spans="1:13" x14ac:dyDescent="0.45">
      <c r="A68" t="s">
        <v>1875</v>
      </c>
      <c r="B68">
        <v>1</v>
      </c>
      <c r="C68" t="s">
        <v>1774</v>
      </c>
      <c r="G68" s="3">
        <v>1922.4407062293601</v>
      </c>
      <c r="H68" t="s">
        <v>1755</v>
      </c>
      <c r="I68" t="s">
        <v>1875</v>
      </c>
      <c r="M68" t="s">
        <v>1757</v>
      </c>
    </row>
    <row r="69" spans="1:13" x14ac:dyDescent="0.45">
      <c r="A69" t="s">
        <v>1876</v>
      </c>
      <c r="B69">
        <v>1</v>
      </c>
      <c r="C69" t="s">
        <v>1774</v>
      </c>
      <c r="G69" s="3">
        <v>112.39446623032291</v>
      </c>
      <c r="H69" t="s">
        <v>1755</v>
      </c>
      <c r="I69" t="s">
        <v>1876</v>
      </c>
      <c r="M69" t="s">
        <v>1757</v>
      </c>
    </row>
    <row r="70" spans="1:13" x14ac:dyDescent="0.45">
      <c r="A70" t="s">
        <v>1877</v>
      </c>
      <c r="B70">
        <v>2</v>
      </c>
      <c r="C70" t="s">
        <v>1774</v>
      </c>
      <c r="G70" s="3">
        <v>77.404736185248382</v>
      </c>
      <c r="H70" t="s">
        <v>1755</v>
      </c>
      <c r="I70" t="s">
        <v>1877</v>
      </c>
      <c r="M70" t="s">
        <v>1757</v>
      </c>
    </row>
    <row r="71" spans="1:13" x14ac:dyDescent="0.45">
      <c r="A71" t="s">
        <v>1878</v>
      </c>
      <c r="B71">
        <v>1</v>
      </c>
      <c r="C71" t="s">
        <v>1774</v>
      </c>
      <c r="G71" s="3">
        <v>388.29569079933731</v>
      </c>
      <c r="H71" t="s">
        <v>1755</v>
      </c>
      <c r="I71" t="s">
        <v>1878</v>
      </c>
      <c r="M71" t="s">
        <v>1757</v>
      </c>
    </row>
    <row r="72" spans="1:13" x14ac:dyDescent="0.45">
      <c r="A72" t="s">
        <v>1879</v>
      </c>
      <c r="B72">
        <v>1</v>
      </c>
      <c r="C72" t="s">
        <v>1774</v>
      </c>
      <c r="G72" s="3">
        <v>764.16482360766668</v>
      </c>
      <c r="H72" t="s">
        <v>1755</v>
      </c>
      <c r="I72" t="s">
        <v>1879</v>
      </c>
      <c r="M72" t="s">
        <v>1757</v>
      </c>
    </row>
    <row r="73" spans="1:13" x14ac:dyDescent="0.45">
      <c r="A73" t="s">
        <v>72</v>
      </c>
      <c r="B73">
        <v>4</v>
      </c>
      <c r="C73" t="s">
        <v>1751</v>
      </c>
      <c r="D73" t="s">
        <v>71</v>
      </c>
      <c r="E73" t="s">
        <v>69</v>
      </c>
      <c r="F73" s="3">
        <v>5.9484400167979654</v>
      </c>
      <c r="G73" s="3">
        <v>5.9574093171851752</v>
      </c>
      <c r="H73" t="s">
        <v>73</v>
      </c>
      <c r="I73" t="s">
        <v>72</v>
      </c>
      <c r="J73" s="3">
        <v>161.01488558166091</v>
      </c>
      <c r="K73" s="3">
        <v>0.15078407720143699</v>
      </c>
    </row>
    <row r="74" spans="1:13" x14ac:dyDescent="0.45">
      <c r="A74" t="s">
        <v>1136</v>
      </c>
      <c r="B74">
        <v>1</v>
      </c>
      <c r="C74" t="s">
        <v>1751</v>
      </c>
      <c r="D74" t="s">
        <v>1135</v>
      </c>
      <c r="E74" t="s">
        <v>1133</v>
      </c>
      <c r="F74" s="3">
        <v>27.61696512678752</v>
      </c>
      <c r="G74" s="3">
        <v>28.072768664646681</v>
      </c>
      <c r="H74" t="s">
        <v>47</v>
      </c>
      <c r="I74" t="s">
        <v>1880</v>
      </c>
      <c r="J74" s="3">
        <v>36.75495988180618</v>
      </c>
      <c r="K74" s="3">
        <v>1.6504475990268701</v>
      </c>
    </row>
    <row r="75" spans="1:13" x14ac:dyDescent="0.45">
      <c r="A75" t="s">
        <v>1881</v>
      </c>
      <c r="B75">
        <v>1</v>
      </c>
      <c r="C75" t="s">
        <v>1774</v>
      </c>
      <c r="H75" t="s">
        <v>1755</v>
      </c>
      <c r="I75" t="s">
        <v>1881</v>
      </c>
      <c r="M75" t="s">
        <v>1757</v>
      </c>
    </row>
    <row r="76" spans="1:13" x14ac:dyDescent="0.45">
      <c r="A76" t="s">
        <v>1882</v>
      </c>
      <c r="B76">
        <v>1</v>
      </c>
      <c r="C76" t="s">
        <v>1774</v>
      </c>
      <c r="H76" t="s">
        <v>1755</v>
      </c>
      <c r="I76" t="s">
        <v>1882</v>
      </c>
      <c r="M76" t="s">
        <v>1757</v>
      </c>
    </row>
    <row r="77" spans="1:13" x14ac:dyDescent="0.45">
      <c r="A77" t="s">
        <v>1883</v>
      </c>
      <c r="B77">
        <v>1</v>
      </c>
      <c r="C77" t="s">
        <v>1774</v>
      </c>
      <c r="H77" t="s">
        <v>1755</v>
      </c>
      <c r="I77" t="s">
        <v>1883</v>
      </c>
      <c r="M77" t="s">
        <v>1757</v>
      </c>
    </row>
    <row r="78" spans="1:13" x14ac:dyDescent="0.45">
      <c r="A78" t="s">
        <v>1884</v>
      </c>
      <c r="B78">
        <v>1</v>
      </c>
      <c r="C78" t="s">
        <v>1774</v>
      </c>
      <c r="G78" s="3">
        <v>620.91694251447291</v>
      </c>
      <c r="H78" t="s">
        <v>1755</v>
      </c>
      <c r="I78" t="s">
        <v>1884</v>
      </c>
      <c r="M78" t="s">
        <v>1757</v>
      </c>
    </row>
    <row r="79" spans="1:13" x14ac:dyDescent="0.45">
      <c r="A79" t="s">
        <v>1885</v>
      </c>
      <c r="B79">
        <v>1</v>
      </c>
      <c r="C79" t="s">
        <v>1774</v>
      </c>
      <c r="G79" s="3">
        <v>515.3205536649001</v>
      </c>
      <c r="H79" t="s">
        <v>1755</v>
      </c>
      <c r="I79" t="s">
        <v>1885</v>
      </c>
      <c r="M79" t="s">
        <v>1757</v>
      </c>
    </row>
    <row r="80" spans="1:13" x14ac:dyDescent="0.45">
      <c r="A80" t="s">
        <v>1886</v>
      </c>
      <c r="B80">
        <v>1</v>
      </c>
      <c r="C80" t="s">
        <v>1774</v>
      </c>
      <c r="G80" s="3">
        <v>35.506687903755548</v>
      </c>
      <c r="H80" t="s">
        <v>1755</v>
      </c>
      <c r="I80" t="s">
        <v>1886</v>
      </c>
      <c r="M80" t="s">
        <v>1757</v>
      </c>
    </row>
    <row r="81" spans="1:13" x14ac:dyDescent="0.45">
      <c r="A81" t="s">
        <v>1887</v>
      </c>
      <c r="B81">
        <v>1</v>
      </c>
      <c r="C81" t="s">
        <v>1774</v>
      </c>
      <c r="G81" s="3">
        <v>622.04544358137287</v>
      </c>
      <c r="H81" t="s">
        <v>1755</v>
      </c>
      <c r="I81" t="s">
        <v>1887</v>
      </c>
      <c r="M81" t="s">
        <v>1757</v>
      </c>
    </row>
    <row r="82" spans="1:13" x14ac:dyDescent="0.45">
      <c r="A82" t="s">
        <v>1888</v>
      </c>
      <c r="B82">
        <v>1</v>
      </c>
      <c r="C82" t="s">
        <v>1774</v>
      </c>
      <c r="G82" s="3">
        <v>47.064365304526063</v>
      </c>
      <c r="H82" t="s">
        <v>1755</v>
      </c>
      <c r="I82" t="s">
        <v>1888</v>
      </c>
      <c r="M82" t="s">
        <v>1757</v>
      </c>
    </row>
    <row r="83" spans="1:13" x14ac:dyDescent="0.45">
      <c r="A83" t="s">
        <v>1889</v>
      </c>
      <c r="B83">
        <v>1</v>
      </c>
      <c r="C83" t="s">
        <v>1774</v>
      </c>
      <c r="G83" s="3">
        <v>2569.815454104215</v>
      </c>
      <c r="H83" t="s">
        <v>1755</v>
      </c>
      <c r="I83" t="s">
        <v>1889</v>
      </c>
      <c r="M83" t="s">
        <v>1757</v>
      </c>
    </row>
    <row r="84" spans="1:13" x14ac:dyDescent="0.45">
      <c r="A84" t="s">
        <v>1890</v>
      </c>
      <c r="B84">
        <v>1</v>
      </c>
      <c r="C84" t="s">
        <v>1774</v>
      </c>
      <c r="G84" s="3">
        <v>1103.6675203005791</v>
      </c>
      <c r="H84" t="s">
        <v>1755</v>
      </c>
      <c r="I84" t="s">
        <v>1890</v>
      </c>
      <c r="M84" t="s">
        <v>1757</v>
      </c>
    </row>
    <row r="85" spans="1:13" x14ac:dyDescent="0.45">
      <c r="A85" t="s">
        <v>1891</v>
      </c>
      <c r="B85">
        <v>1</v>
      </c>
      <c r="C85" t="s">
        <v>1774</v>
      </c>
      <c r="G85" s="3">
        <v>2136.4449519044242</v>
      </c>
      <c r="H85" t="s">
        <v>1755</v>
      </c>
      <c r="I85" t="s">
        <v>1891</v>
      </c>
      <c r="M85" t="s">
        <v>1757</v>
      </c>
    </row>
    <row r="86" spans="1:13" x14ac:dyDescent="0.45">
      <c r="A86" t="s">
        <v>1892</v>
      </c>
      <c r="B86">
        <v>1</v>
      </c>
      <c r="C86" t="s">
        <v>1774</v>
      </c>
      <c r="G86" s="3">
        <v>3673.7275916880822</v>
      </c>
      <c r="H86" t="s">
        <v>1755</v>
      </c>
      <c r="I86" t="s">
        <v>1892</v>
      </c>
      <c r="M86" t="s">
        <v>1757</v>
      </c>
    </row>
    <row r="87" spans="1:13" x14ac:dyDescent="0.45">
      <c r="A87" t="s">
        <v>1893</v>
      </c>
      <c r="B87">
        <v>1</v>
      </c>
      <c r="C87" t="s">
        <v>1774</v>
      </c>
      <c r="G87" s="3">
        <v>3747.3084705009792</v>
      </c>
      <c r="H87" t="s">
        <v>1755</v>
      </c>
      <c r="I87" t="s">
        <v>1893</v>
      </c>
      <c r="M87" t="s">
        <v>1757</v>
      </c>
    </row>
    <row r="88" spans="1:13" x14ac:dyDescent="0.45">
      <c r="A88" t="s">
        <v>1894</v>
      </c>
      <c r="B88">
        <v>1</v>
      </c>
      <c r="C88" t="s">
        <v>1774</v>
      </c>
      <c r="G88" s="3">
        <v>5690.1241656463026</v>
      </c>
      <c r="H88" t="s">
        <v>1755</v>
      </c>
      <c r="I88" t="s">
        <v>1894</v>
      </c>
      <c r="M88" t="s">
        <v>1757</v>
      </c>
    </row>
    <row r="89" spans="1:13" x14ac:dyDescent="0.45">
      <c r="A89" t="s">
        <v>1895</v>
      </c>
      <c r="B89">
        <v>1</v>
      </c>
      <c r="C89" t="s">
        <v>1774</v>
      </c>
      <c r="G89" s="3">
        <v>2388.7986644714219</v>
      </c>
      <c r="H89" t="s">
        <v>1755</v>
      </c>
      <c r="I89" t="s">
        <v>1895</v>
      </c>
      <c r="M89" t="s">
        <v>1757</v>
      </c>
    </row>
    <row r="90" spans="1:13" x14ac:dyDescent="0.45">
      <c r="A90" t="s">
        <v>1896</v>
      </c>
      <c r="B90">
        <v>1</v>
      </c>
      <c r="C90" t="s">
        <v>1774</v>
      </c>
      <c r="G90" s="3">
        <v>3835.990389602161</v>
      </c>
      <c r="H90" t="s">
        <v>1755</v>
      </c>
      <c r="I90" t="s">
        <v>1896</v>
      </c>
      <c r="M90" t="s">
        <v>1757</v>
      </c>
    </row>
    <row r="91" spans="1:13" x14ac:dyDescent="0.45">
      <c r="A91" t="s">
        <v>1897</v>
      </c>
      <c r="B91">
        <v>1</v>
      </c>
      <c r="C91" t="s">
        <v>1774</v>
      </c>
      <c r="G91" s="3">
        <v>2494.734255953821</v>
      </c>
      <c r="H91" t="s">
        <v>1755</v>
      </c>
      <c r="I91" t="s">
        <v>1897</v>
      </c>
      <c r="M91" t="s">
        <v>1757</v>
      </c>
    </row>
    <row r="92" spans="1:13" x14ac:dyDescent="0.45">
      <c r="A92" t="s">
        <v>1898</v>
      </c>
      <c r="B92">
        <v>1</v>
      </c>
      <c r="C92" t="s">
        <v>1774</v>
      </c>
      <c r="G92" s="3">
        <v>2578.797800746534</v>
      </c>
      <c r="H92" t="s">
        <v>1755</v>
      </c>
      <c r="I92" t="s">
        <v>1898</v>
      </c>
      <c r="M92" t="s">
        <v>1757</v>
      </c>
    </row>
    <row r="93" spans="1:13" x14ac:dyDescent="0.45">
      <c r="A93" t="s">
        <v>1899</v>
      </c>
      <c r="B93">
        <v>1</v>
      </c>
      <c r="C93" t="s">
        <v>1774</v>
      </c>
      <c r="G93" s="3">
        <v>695.63610708560168</v>
      </c>
      <c r="H93" t="s">
        <v>1755</v>
      </c>
      <c r="I93" t="s">
        <v>1899</v>
      </c>
      <c r="M93" t="s">
        <v>1757</v>
      </c>
    </row>
    <row r="94" spans="1:13" x14ac:dyDescent="0.45">
      <c r="A94" t="s">
        <v>1900</v>
      </c>
      <c r="B94">
        <v>2</v>
      </c>
      <c r="C94" t="s">
        <v>1774</v>
      </c>
      <c r="G94" s="3">
        <v>2752.9587833197211</v>
      </c>
      <c r="H94" t="s">
        <v>1755</v>
      </c>
      <c r="I94" t="s">
        <v>1900</v>
      </c>
      <c r="M94" t="s">
        <v>1757</v>
      </c>
    </row>
    <row r="95" spans="1:13" x14ac:dyDescent="0.45">
      <c r="A95" t="s">
        <v>1901</v>
      </c>
      <c r="B95">
        <v>1</v>
      </c>
      <c r="C95" t="s">
        <v>1774</v>
      </c>
      <c r="H95" t="s">
        <v>1755</v>
      </c>
      <c r="I95" t="s">
        <v>1901</v>
      </c>
      <c r="M95" t="s">
        <v>1757</v>
      </c>
    </row>
    <row r="96" spans="1:13" x14ac:dyDescent="0.45">
      <c r="A96" t="s">
        <v>1902</v>
      </c>
      <c r="B96">
        <v>1</v>
      </c>
      <c r="C96" t="s">
        <v>1774</v>
      </c>
      <c r="G96" s="3">
        <v>2045.5158153607731</v>
      </c>
      <c r="H96" t="s">
        <v>1755</v>
      </c>
      <c r="I96" t="s">
        <v>1902</v>
      </c>
      <c r="M96" t="s">
        <v>1757</v>
      </c>
    </row>
    <row r="97" spans="1:13" x14ac:dyDescent="0.45">
      <c r="A97" t="s">
        <v>1903</v>
      </c>
      <c r="B97">
        <v>1</v>
      </c>
      <c r="C97" t="s">
        <v>1774</v>
      </c>
      <c r="G97" s="3">
        <v>3460.4213206613322</v>
      </c>
      <c r="H97" t="s">
        <v>1755</v>
      </c>
      <c r="I97" t="s">
        <v>1903</v>
      </c>
      <c r="M97" t="s">
        <v>1757</v>
      </c>
    </row>
    <row r="98" spans="1:13" x14ac:dyDescent="0.45">
      <c r="A98" t="s">
        <v>1904</v>
      </c>
      <c r="B98">
        <v>2</v>
      </c>
      <c r="C98" t="s">
        <v>1774</v>
      </c>
      <c r="G98" s="3">
        <v>1929.394360202281</v>
      </c>
      <c r="H98" t="s">
        <v>1755</v>
      </c>
      <c r="I98" t="s">
        <v>1904</v>
      </c>
      <c r="M98" t="s">
        <v>1757</v>
      </c>
    </row>
    <row r="99" spans="1:13" x14ac:dyDescent="0.45">
      <c r="A99" t="s">
        <v>1905</v>
      </c>
      <c r="B99">
        <v>1</v>
      </c>
      <c r="C99" t="s">
        <v>1774</v>
      </c>
      <c r="G99" s="3">
        <v>3599.0703968287189</v>
      </c>
      <c r="H99" t="s">
        <v>1755</v>
      </c>
      <c r="I99" t="s">
        <v>1905</v>
      </c>
      <c r="M99" t="s">
        <v>1757</v>
      </c>
    </row>
    <row r="100" spans="1:13" x14ac:dyDescent="0.45">
      <c r="A100" t="s">
        <v>1906</v>
      </c>
      <c r="B100">
        <v>1</v>
      </c>
      <c r="C100" t="s">
        <v>1774</v>
      </c>
      <c r="G100" s="3">
        <v>3408.9212286198581</v>
      </c>
      <c r="H100" t="s">
        <v>1755</v>
      </c>
      <c r="I100" t="s">
        <v>1906</v>
      </c>
      <c r="M100" t="s">
        <v>1757</v>
      </c>
    </row>
    <row r="101" spans="1:13" x14ac:dyDescent="0.45">
      <c r="A101" t="s">
        <v>1907</v>
      </c>
      <c r="B101">
        <v>1</v>
      </c>
      <c r="C101" t="s">
        <v>1774</v>
      </c>
      <c r="G101" s="3">
        <v>3295.092652796714</v>
      </c>
      <c r="H101" t="s">
        <v>1755</v>
      </c>
      <c r="I101" t="s">
        <v>1907</v>
      </c>
      <c r="M101" t="s">
        <v>1757</v>
      </c>
    </row>
    <row r="102" spans="1:13" x14ac:dyDescent="0.45">
      <c r="A102" t="s">
        <v>1908</v>
      </c>
      <c r="B102">
        <v>1</v>
      </c>
      <c r="C102" t="s">
        <v>1774</v>
      </c>
      <c r="G102" s="3">
        <v>2498.954719481475</v>
      </c>
      <c r="H102" t="s">
        <v>1755</v>
      </c>
      <c r="I102" t="s">
        <v>1908</v>
      </c>
      <c r="M102" t="s">
        <v>1757</v>
      </c>
    </row>
    <row r="103" spans="1:13" x14ac:dyDescent="0.45">
      <c r="A103" t="s">
        <v>1909</v>
      </c>
      <c r="B103">
        <v>1</v>
      </c>
      <c r="C103" t="s">
        <v>1774</v>
      </c>
      <c r="G103" s="3">
        <v>2630.4740172319748</v>
      </c>
      <c r="H103" t="s">
        <v>1755</v>
      </c>
      <c r="I103" t="s">
        <v>1909</v>
      </c>
      <c r="M103" t="s">
        <v>1757</v>
      </c>
    </row>
    <row r="104" spans="1:13" x14ac:dyDescent="0.45">
      <c r="A104" t="s">
        <v>1910</v>
      </c>
      <c r="B104">
        <v>1</v>
      </c>
      <c r="C104" t="s">
        <v>1774</v>
      </c>
      <c r="G104" s="3">
        <v>2507.3956465367851</v>
      </c>
      <c r="H104" t="s">
        <v>1755</v>
      </c>
      <c r="I104" t="s">
        <v>1910</v>
      </c>
      <c r="M104" t="s">
        <v>1757</v>
      </c>
    </row>
    <row r="105" spans="1:13" x14ac:dyDescent="0.45">
      <c r="A105" t="s">
        <v>1911</v>
      </c>
      <c r="B105">
        <v>1</v>
      </c>
      <c r="C105" t="s">
        <v>1774</v>
      </c>
      <c r="G105" s="3">
        <v>3366.6839777055402</v>
      </c>
      <c r="H105" t="s">
        <v>1755</v>
      </c>
      <c r="I105" t="s">
        <v>1911</v>
      </c>
      <c r="M105" t="s">
        <v>1757</v>
      </c>
    </row>
    <row r="106" spans="1:13" x14ac:dyDescent="0.45">
      <c r="A106" t="s">
        <v>1912</v>
      </c>
      <c r="B106">
        <v>1</v>
      </c>
      <c r="C106" t="s">
        <v>1774</v>
      </c>
      <c r="G106" s="3">
        <v>6541.9141616913512</v>
      </c>
      <c r="H106" t="s">
        <v>1755</v>
      </c>
      <c r="I106" t="s">
        <v>1912</v>
      </c>
      <c r="M106" t="s">
        <v>1757</v>
      </c>
    </row>
    <row r="107" spans="1:13" x14ac:dyDescent="0.45">
      <c r="A107" t="s">
        <v>1913</v>
      </c>
      <c r="B107">
        <v>1</v>
      </c>
      <c r="C107" t="s">
        <v>1774</v>
      </c>
      <c r="G107" s="3">
        <v>1880.8883837082469</v>
      </c>
      <c r="H107" t="s">
        <v>1755</v>
      </c>
      <c r="I107" t="s">
        <v>1913</v>
      </c>
      <c r="M107" t="s">
        <v>1757</v>
      </c>
    </row>
    <row r="108" spans="1:13" x14ac:dyDescent="0.45">
      <c r="A108" t="s">
        <v>1914</v>
      </c>
      <c r="B108">
        <v>1</v>
      </c>
      <c r="C108" t="s">
        <v>1774</v>
      </c>
      <c r="G108" s="3">
        <v>3663.421050152233</v>
      </c>
      <c r="H108" t="s">
        <v>1755</v>
      </c>
      <c r="I108" t="s">
        <v>1914</v>
      </c>
      <c r="M108" t="s">
        <v>1757</v>
      </c>
    </row>
    <row r="109" spans="1:13" x14ac:dyDescent="0.45">
      <c r="A109" t="s">
        <v>1915</v>
      </c>
      <c r="B109">
        <v>1</v>
      </c>
      <c r="C109" t="s">
        <v>1774</v>
      </c>
      <c r="G109" s="3">
        <v>3020.071071978402</v>
      </c>
      <c r="H109" t="s">
        <v>1755</v>
      </c>
      <c r="I109" t="s">
        <v>1915</v>
      </c>
      <c r="M109" t="s">
        <v>1757</v>
      </c>
    </row>
    <row r="110" spans="1:13" x14ac:dyDescent="0.45">
      <c r="A110" t="s">
        <v>1916</v>
      </c>
      <c r="B110">
        <v>1</v>
      </c>
      <c r="C110" t="s">
        <v>1774</v>
      </c>
      <c r="G110" s="3">
        <v>2369.2390664997502</v>
      </c>
      <c r="H110" t="s">
        <v>1755</v>
      </c>
      <c r="I110" t="s">
        <v>1916</v>
      </c>
      <c r="M110" t="s">
        <v>1757</v>
      </c>
    </row>
    <row r="111" spans="1:13" x14ac:dyDescent="0.45">
      <c r="A111" t="s">
        <v>1917</v>
      </c>
      <c r="B111">
        <v>1</v>
      </c>
      <c r="C111" t="s">
        <v>1774</v>
      </c>
      <c r="G111" s="3">
        <v>2878.238709564499</v>
      </c>
      <c r="H111" t="s">
        <v>1755</v>
      </c>
      <c r="I111" t="s">
        <v>1917</v>
      </c>
      <c r="M111" t="s">
        <v>1757</v>
      </c>
    </row>
    <row r="112" spans="1:13" x14ac:dyDescent="0.45">
      <c r="A112" t="s">
        <v>1918</v>
      </c>
      <c r="B112">
        <v>1</v>
      </c>
      <c r="C112" t="s">
        <v>1774</v>
      </c>
      <c r="G112" s="3">
        <v>2104.6675360234822</v>
      </c>
      <c r="H112" t="s">
        <v>1755</v>
      </c>
      <c r="I112" t="s">
        <v>1918</v>
      </c>
      <c r="M112" t="s">
        <v>1757</v>
      </c>
    </row>
    <row r="113" spans="1:13" x14ac:dyDescent="0.45">
      <c r="A113" t="s">
        <v>1919</v>
      </c>
      <c r="B113">
        <v>3</v>
      </c>
      <c r="C113" t="s">
        <v>1774</v>
      </c>
      <c r="G113" s="3">
        <v>521.54361735173563</v>
      </c>
      <c r="H113" t="s">
        <v>1755</v>
      </c>
      <c r="I113" t="s">
        <v>1919</v>
      </c>
      <c r="M113" t="s">
        <v>1757</v>
      </c>
    </row>
    <row r="114" spans="1:13" x14ac:dyDescent="0.45">
      <c r="A114" t="s">
        <v>1920</v>
      </c>
      <c r="B114">
        <v>1</v>
      </c>
      <c r="C114" t="s">
        <v>1774</v>
      </c>
      <c r="G114" s="3">
        <v>1050.3442141076689</v>
      </c>
      <c r="H114" t="s">
        <v>1755</v>
      </c>
      <c r="I114" t="s">
        <v>1920</v>
      </c>
      <c r="M114" t="s">
        <v>1757</v>
      </c>
    </row>
    <row r="115" spans="1:13" x14ac:dyDescent="0.45">
      <c r="A115" t="s">
        <v>1921</v>
      </c>
      <c r="B115">
        <v>1</v>
      </c>
      <c r="C115" t="s">
        <v>1774</v>
      </c>
      <c r="G115" s="3">
        <v>1346.9606086946069</v>
      </c>
      <c r="H115" t="s">
        <v>1755</v>
      </c>
      <c r="I115" t="s">
        <v>1921</v>
      </c>
      <c r="M115" t="s">
        <v>1757</v>
      </c>
    </row>
    <row r="116" spans="1:13" x14ac:dyDescent="0.45">
      <c r="A116" t="s">
        <v>1922</v>
      </c>
      <c r="B116">
        <v>1</v>
      </c>
      <c r="C116" t="s">
        <v>1774</v>
      </c>
      <c r="G116" s="3">
        <v>99.551080388592979</v>
      </c>
      <c r="H116" t="s">
        <v>1755</v>
      </c>
      <c r="I116" t="s">
        <v>1922</v>
      </c>
      <c r="M116" t="s">
        <v>1757</v>
      </c>
    </row>
    <row r="117" spans="1:13" x14ac:dyDescent="0.45">
      <c r="A117" t="s">
        <v>1923</v>
      </c>
      <c r="B117">
        <v>1</v>
      </c>
      <c r="C117" t="s">
        <v>1774</v>
      </c>
      <c r="H117" t="s">
        <v>1755</v>
      </c>
      <c r="I117" t="s">
        <v>1923</v>
      </c>
      <c r="M117" t="s">
        <v>1757</v>
      </c>
    </row>
    <row r="118" spans="1:13" x14ac:dyDescent="0.45">
      <c r="A118" t="s">
        <v>1924</v>
      </c>
      <c r="B118">
        <v>1</v>
      </c>
      <c r="C118" t="s">
        <v>1774</v>
      </c>
      <c r="G118" s="3">
        <v>439.80882909591969</v>
      </c>
      <c r="H118" t="s">
        <v>1755</v>
      </c>
      <c r="I118" t="s">
        <v>1924</v>
      </c>
      <c r="M118" t="s">
        <v>1757</v>
      </c>
    </row>
    <row r="119" spans="1:13" x14ac:dyDescent="0.45">
      <c r="A119" t="s">
        <v>1925</v>
      </c>
      <c r="B119">
        <v>4</v>
      </c>
      <c r="C119" t="s">
        <v>1774</v>
      </c>
      <c r="G119" s="3">
        <v>203.97428474751871</v>
      </c>
      <c r="H119" t="s">
        <v>1755</v>
      </c>
      <c r="I119" t="s">
        <v>1925</v>
      </c>
      <c r="M119" t="s">
        <v>1757</v>
      </c>
    </row>
    <row r="120" spans="1:13" x14ac:dyDescent="0.45">
      <c r="A120" t="s">
        <v>1926</v>
      </c>
      <c r="B120">
        <v>3</v>
      </c>
      <c r="C120" t="s">
        <v>1774</v>
      </c>
      <c r="G120" s="3">
        <v>449.90010742247568</v>
      </c>
      <c r="H120" t="s">
        <v>1755</v>
      </c>
      <c r="I120" t="s">
        <v>1926</v>
      </c>
      <c r="M120" t="s">
        <v>1757</v>
      </c>
    </row>
    <row r="121" spans="1:13" x14ac:dyDescent="0.45">
      <c r="A121" t="s">
        <v>1927</v>
      </c>
      <c r="B121">
        <v>1</v>
      </c>
      <c r="C121" t="s">
        <v>1774</v>
      </c>
      <c r="G121" s="3">
        <v>152.94027016980209</v>
      </c>
      <c r="H121" t="s">
        <v>1755</v>
      </c>
      <c r="I121" t="s">
        <v>1927</v>
      </c>
      <c r="M121" t="s">
        <v>1757</v>
      </c>
    </row>
    <row r="122" spans="1:13" x14ac:dyDescent="0.45">
      <c r="A122" t="s">
        <v>1928</v>
      </c>
      <c r="B122">
        <v>1</v>
      </c>
      <c r="C122" t="s">
        <v>1774</v>
      </c>
      <c r="G122" s="3">
        <v>82.610191973607613</v>
      </c>
      <c r="H122" t="s">
        <v>1755</v>
      </c>
      <c r="I122" t="s">
        <v>1928</v>
      </c>
      <c r="M122" t="s">
        <v>1757</v>
      </c>
    </row>
    <row r="123" spans="1:13" x14ac:dyDescent="0.45">
      <c r="A123" t="s">
        <v>1929</v>
      </c>
      <c r="B123">
        <v>2</v>
      </c>
      <c r="C123" t="s">
        <v>1774</v>
      </c>
      <c r="G123" s="3">
        <v>178.18020761579001</v>
      </c>
      <c r="H123" t="s">
        <v>1755</v>
      </c>
      <c r="I123" t="s">
        <v>1929</v>
      </c>
      <c r="M123" t="s">
        <v>1757</v>
      </c>
    </row>
    <row r="124" spans="1:13" x14ac:dyDescent="0.45">
      <c r="A124" t="s">
        <v>1930</v>
      </c>
      <c r="B124">
        <v>1</v>
      </c>
      <c r="C124" t="s">
        <v>1774</v>
      </c>
      <c r="G124" s="3">
        <v>330.67690511189738</v>
      </c>
      <c r="H124" t="s">
        <v>1755</v>
      </c>
      <c r="I124" t="s">
        <v>1930</v>
      </c>
      <c r="M124" t="s">
        <v>1757</v>
      </c>
    </row>
    <row r="125" spans="1:13" x14ac:dyDescent="0.45">
      <c r="A125" t="s">
        <v>1931</v>
      </c>
      <c r="B125">
        <v>1</v>
      </c>
      <c r="C125" t="s">
        <v>1774</v>
      </c>
      <c r="G125" s="3">
        <v>248.3142658289768</v>
      </c>
      <c r="H125" t="s">
        <v>1755</v>
      </c>
      <c r="I125" t="s">
        <v>1931</v>
      </c>
      <c r="M125" t="s">
        <v>1757</v>
      </c>
    </row>
    <row r="126" spans="1:13" x14ac:dyDescent="0.45">
      <c r="A126" t="s">
        <v>1932</v>
      </c>
      <c r="B126">
        <v>1</v>
      </c>
      <c r="C126" t="s">
        <v>1774</v>
      </c>
      <c r="G126" s="3">
        <v>357.26843458714347</v>
      </c>
      <c r="H126" t="s">
        <v>1755</v>
      </c>
      <c r="I126" t="s">
        <v>1932</v>
      </c>
      <c r="M126" t="s">
        <v>1757</v>
      </c>
    </row>
    <row r="127" spans="1:13" x14ac:dyDescent="0.45">
      <c r="A127" t="s">
        <v>1933</v>
      </c>
      <c r="B127">
        <v>1</v>
      </c>
      <c r="C127" t="s">
        <v>1774</v>
      </c>
      <c r="G127" s="3">
        <v>997.00786165964973</v>
      </c>
      <c r="H127" t="s">
        <v>1755</v>
      </c>
      <c r="I127" t="s">
        <v>1933</v>
      </c>
      <c r="M127" t="s">
        <v>1757</v>
      </c>
    </row>
    <row r="128" spans="1:13" x14ac:dyDescent="0.45">
      <c r="A128" t="s">
        <v>1934</v>
      </c>
      <c r="B128">
        <v>1</v>
      </c>
      <c r="C128" t="s">
        <v>1774</v>
      </c>
      <c r="G128" s="3">
        <v>143.71167546230691</v>
      </c>
      <c r="H128" t="s">
        <v>1755</v>
      </c>
      <c r="I128" t="s">
        <v>1934</v>
      </c>
      <c r="M128" t="s">
        <v>1757</v>
      </c>
    </row>
    <row r="129" spans="1:13" x14ac:dyDescent="0.45">
      <c r="A129" t="s">
        <v>1935</v>
      </c>
      <c r="B129">
        <v>1</v>
      </c>
      <c r="C129" t="s">
        <v>1774</v>
      </c>
      <c r="H129" t="s">
        <v>1755</v>
      </c>
      <c r="I129" t="s">
        <v>1935</v>
      </c>
      <c r="M129" t="s">
        <v>1757</v>
      </c>
    </row>
    <row r="130" spans="1:13" x14ac:dyDescent="0.45">
      <c r="A130" t="s">
        <v>1936</v>
      </c>
      <c r="B130">
        <v>1</v>
      </c>
      <c r="C130" t="s">
        <v>1774</v>
      </c>
      <c r="G130" s="3">
        <v>519.43338558790822</v>
      </c>
      <c r="H130" t="s">
        <v>1755</v>
      </c>
      <c r="I130" t="s">
        <v>1936</v>
      </c>
      <c r="M130" t="s">
        <v>1757</v>
      </c>
    </row>
    <row r="131" spans="1:13" x14ac:dyDescent="0.45">
      <c r="A131" t="s">
        <v>1937</v>
      </c>
      <c r="B131">
        <v>1</v>
      </c>
      <c r="C131" t="s">
        <v>1774</v>
      </c>
      <c r="G131" s="3">
        <v>2303.9392981170799</v>
      </c>
      <c r="H131" t="s">
        <v>1755</v>
      </c>
      <c r="I131" t="s">
        <v>1937</v>
      </c>
      <c r="M131" t="s">
        <v>1757</v>
      </c>
    </row>
    <row r="132" spans="1:13" x14ac:dyDescent="0.45">
      <c r="A132" t="s">
        <v>1938</v>
      </c>
      <c r="B132">
        <v>1</v>
      </c>
      <c r="C132" t="s">
        <v>1774</v>
      </c>
      <c r="G132" s="3">
        <v>825.26043628156697</v>
      </c>
      <c r="H132" t="s">
        <v>1755</v>
      </c>
      <c r="I132" t="s">
        <v>1938</v>
      </c>
      <c r="M132" t="s">
        <v>1757</v>
      </c>
    </row>
    <row r="133" spans="1:13" x14ac:dyDescent="0.45">
      <c r="A133" t="s">
        <v>1939</v>
      </c>
      <c r="B133">
        <v>2</v>
      </c>
      <c r="C133" t="s">
        <v>1774</v>
      </c>
      <c r="G133" s="3">
        <v>757.00895268056126</v>
      </c>
      <c r="H133" t="s">
        <v>1755</v>
      </c>
      <c r="I133" t="s">
        <v>1939</v>
      </c>
      <c r="M133" t="s">
        <v>1757</v>
      </c>
    </row>
    <row r="134" spans="1:13" x14ac:dyDescent="0.45">
      <c r="A134" t="s">
        <v>1940</v>
      </c>
      <c r="B134">
        <v>1</v>
      </c>
      <c r="C134" t="s">
        <v>1774</v>
      </c>
      <c r="H134" t="s">
        <v>1755</v>
      </c>
      <c r="I134" t="s">
        <v>1940</v>
      </c>
      <c r="M134" t="s">
        <v>1757</v>
      </c>
    </row>
    <row r="135" spans="1:13" x14ac:dyDescent="0.45">
      <c r="A135" t="s">
        <v>1941</v>
      </c>
      <c r="B135">
        <v>1</v>
      </c>
      <c r="C135" t="s">
        <v>1774</v>
      </c>
      <c r="G135" s="3">
        <v>1423.6334499682589</v>
      </c>
      <c r="H135" t="s">
        <v>1755</v>
      </c>
      <c r="I135" t="s">
        <v>1941</v>
      </c>
      <c r="M135" t="s">
        <v>1757</v>
      </c>
    </row>
    <row r="136" spans="1:13" x14ac:dyDescent="0.45">
      <c r="A136" t="s">
        <v>1942</v>
      </c>
      <c r="B136">
        <v>3</v>
      </c>
      <c r="C136" t="s">
        <v>1774</v>
      </c>
      <c r="G136" s="3">
        <v>1206.4133024089069</v>
      </c>
      <c r="H136" t="s">
        <v>1755</v>
      </c>
      <c r="I136" t="s">
        <v>1942</v>
      </c>
      <c r="M136" t="s">
        <v>1757</v>
      </c>
    </row>
    <row r="137" spans="1:13" x14ac:dyDescent="0.45">
      <c r="A137" t="s">
        <v>1943</v>
      </c>
      <c r="B137">
        <v>1</v>
      </c>
      <c r="C137" t="s">
        <v>1774</v>
      </c>
      <c r="G137" s="3">
        <v>526.30223890262289</v>
      </c>
      <c r="H137" t="s">
        <v>1755</v>
      </c>
      <c r="I137" t="s">
        <v>1943</v>
      </c>
      <c r="M137" t="s">
        <v>1757</v>
      </c>
    </row>
    <row r="138" spans="1:13" x14ac:dyDescent="0.45">
      <c r="A138" t="s">
        <v>1944</v>
      </c>
      <c r="B138">
        <v>2</v>
      </c>
      <c r="C138" t="s">
        <v>1774</v>
      </c>
      <c r="G138" s="3">
        <v>1473.473406047154</v>
      </c>
      <c r="H138" t="s">
        <v>1755</v>
      </c>
      <c r="I138" t="s">
        <v>1944</v>
      </c>
      <c r="M138" t="s">
        <v>1757</v>
      </c>
    </row>
    <row r="139" spans="1:13" x14ac:dyDescent="0.45">
      <c r="A139" t="s">
        <v>1945</v>
      </c>
      <c r="B139">
        <v>1</v>
      </c>
      <c r="C139" t="s">
        <v>1774</v>
      </c>
      <c r="G139" s="3">
        <v>358.40672034537488</v>
      </c>
      <c r="H139" t="s">
        <v>1755</v>
      </c>
      <c r="I139" t="s">
        <v>1945</v>
      </c>
      <c r="M139" t="s">
        <v>1757</v>
      </c>
    </row>
    <row r="140" spans="1:13" x14ac:dyDescent="0.45">
      <c r="A140" t="s">
        <v>1946</v>
      </c>
      <c r="B140">
        <v>2</v>
      </c>
      <c r="C140" t="s">
        <v>1774</v>
      </c>
      <c r="G140" s="3">
        <v>1025.2725733525831</v>
      </c>
      <c r="H140" t="s">
        <v>1755</v>
      </c>
      <c r="I140" t="s">
        <v>1946</v>
      </c>
      <c r="M140" t="s">
        <v>1757</v>
      </c>
    </row>
    <row r="141" spans="1:13" x14ac:dyDescent="0.45">
      <c r="A141" t="s">
        <v>1947</v>
      </c>
      <c r="B141">
        <v>1</v>
      </c>
      <c r="C141" t="s">
        <v>1774</v>
      </c>
      <c r="G141" s="3">
        <v>607.29339061724454</v>
      </c>
      <c r="H141" t="s">
        <v>1755</v>
      </c>
      <c r="I141" t="s">
        <v>1947</v>
      </c>
      <c r="M141" t="s">
        <v>1757</v>
      </c>
    </row>
    <row r="142" spans="1:13" x14ac:dyDescent="0.45">
      <c r="A142" t="s">
        <v>1948</v>
      </c>
      <c r="B142">
        <v>1</v>
      </c>
      <c r="C142" t="s">
        <v>1774</v>
      </c>
      <c r="G142" s="3">
        <v>592.59352267355098</v>
      </c>
      <c r="H142" t="s">
        <v>1755</v>
      </c>
      <c r="I142" t="s">
        <v>1948</v>
      </c>
      <c r="M142" t="s">
        <v>1757</v>
      </c>
    </row>
    <row r="143" spans="1:13" x14ac:dyDescent="0.45">
      <c r="A143" t="s">
        <v>1949</v>
      </c>
      <c r="B143">
        <v>2</v>
      </c>
      <c r="C143" t="s">
        <v>1774</v>
      </c>
      <c r="G143" s="3">
        <v>1364.621976547968</v>
      </c>
      <c r="H143" t="s">
        <v>1755</v>
      </c>
      <c r="I143" t="s">
        <v>1949</v>
      </c>
      <c r="M143" t="s">
        <v>1757</v>
      </c>
    </row>
    <row r="144" spans="1:13" x14ac:dyDescent="0.45">
      <c r="A144" t="s">
        <v>1950</v>
      </c>
      <c r="B144">
        <v>1</v>
      </c>
      <c r="C144" t="s">
        <v>1774</v>
      </c>
      <c r="G144" s="3">
        <v>1995.4377651261441</v>
      </c>
      <c r="H144" t="s">
        <v>1755</v>
      </c>
      <c r="I144" t="s">
        <v>1950</v>
      </c>
      <c r="M144" t="s">
        <v>1757</v>
      </c>
    </row>
    <row r="145" spans="1:13" x14ac:dyDescent="0.45">
      <c r="A145" t="s">
        <v>1951</v>
      </c>
      <c r="B145">
        <v>1</v>
      </c>
      <c r="C145" t="s">
        <v>1774</v>
      </c>
      <c r="G145" s="3">
        <v>923.96840243376221</v>
      </c>
      <c r="H145" t="s">
        <v>1755</v>
      </c>
      <c r="I145" t="s">
        <v>1951</v>
      </c>
      <c r="M145" t="s">
        <v>1757</v>
      </c>
    </row>
    <row r="146" spans="1:13" x14ac:dyDescent="0.45">
      <c r="A146" t="s">
        <v>1952</v>
      </c>
      <c r="B146">
        <v>2</v>
      </c>
      <c r="C146" t="s">
        <v>1774</v>
      </c>
      <c r="G146" s="3">
        <v>1043.92871815798</v>
      </c>
      <c r="H146" t="s">
        <v>1755</v>
      </c>
      <c r="I146" t="s">
        <v>1952</v>
      </c>
      <c r="M146" t="s">
        <v>1757</v>
      </c>
    </row>
    <row r="147" spans="1:13" x14ac:dyDescent="0.45">
      <c r="A147" t="s">
        <v>1953</v>
      </c>
      <c r="B147">
        <v>2</v>
      </c>
      <c r="C147" t="s">
        <v>1774</v>
      </c>
      <c r="G147" s="3">
        <v>1832.767271739918</v>
      </c>
      <c r="H147" t="s">
        <v>1755</v>
      </c>
      <c r="I147" t="s">
        <v>1953</v>
      </c>
      <c r="M147" t="s">
        <v>1757</v>
      </c>
    </row>
    <row r="148" spans="1:13" x14ac:dyDescent="0.45">
      <c r="A148" t="s">
        <v>1954</v>
      </c>
      <c r="B148">
        <v>2</v>
      </c>
      <c r="C148" t="s">
        <v>1774</v>
      </c>
      <c r="G148" s="3">
        <v>1096.70082007255</v>
      </c>
      <c r="H148" t="s">
        <v>1755</v>
      </c>
      <c r="I148" t="s">
        <v>1954</v>
      </c>
      <c r="M148" t="s">
        <v>1757</v>
      </c>
    </row>
    <row r="149" spans="1:13" x14ac:dyDescent="0.45">
      <c r="A149" t="s">
        <v>1955</v>
      </c>
      <c r="B149">
        <v>1</v>
      </c>
      <c r="C149" t="s">
        <v>1774</v>
      </c>
      <c r="G149" s="3">
        <v>2036.885717606388</v>
      </c>
      <c r="H149" t="s">
        <v>1755</v>
      </c>
      <c r="I149" t="s">
        <v>1955</v>
      </c>
      <c r="M149" t="s">
        <v>1757</v>
      </c>
    </row>
    <row r="150" spans="1:13" x14ac:dyDescent="0.45">
      <c r="A150" t="s">
        <v>1956</v>
      </c>
      <c r="B150">
        <v>2</v>
      </c>
      <c r="C150" t="s">
        <v>1774</v>
      </c>
      <c r="G150" s="3">
        <v>797.7458842573825</v>
      </c>
      <c r="H150" t="s">
        <v>1755</v>
      </c>
      <c r="I150" t="s">
        <v>1956</v>
      </c>
      <c r="M150" t="s">
        <v>1757</v>
      </c>
    </row>
    <row r="151" spans="1:13" x14ac:dyDescent="0.45">
      <c r="A151" t="s">
        <v>1957</v>
      </c>
      <c r="B151">
        <v>1</v>
      </c>
      <c r="C151" t="s">
        <v>1774</v>
      </c>
      <c r="G151" s="3">
        <v>489.63900048348381</v>
      </c>
      <c r="H151" t="s">
        <v>1755</v>
      </c>
      <c r="I151" t="s">
        <v>1957</v>
      </c>
      <c r="M151" t="s">
        <v>1757</v>
      </c>
    </row>
    <row r="152" spans="1:13" x14ac:dyDescent="0.45">
      <c r="A152" t="s">
        <v>1958</v>
      </c>
      <c r="B152">
        <v>1</v>
      </c>
      <c r="C152" t="s">
        <v>1774</v>
      </c>
      <c r="G152" s="3">
        <v>397.81619546488901</v>
      </c>
      <c r="H152" t="s">
        <v>1755</v>
      </c>
      <c r="I152" t="s">
        <v>1958</v>
      </c>
      <c r="M152" t="s">
        <v>1757</v>
      </c>
    </row>
    <row r="153" spans="1:13" x14ac:dyDescent="0.45">
      <c r="A153" t="s">
        <v>1959</v>
      </c>
      <c r="B153">
        <v>1</v>
      </c>
      <c r="C153" t="s">
        <v>1774</v>
      </c>
      <c r="G153" s="3">
        <v>1215.363033413455</v>
      </c>
      <c r="H153" t="s">
        <v>1755</v>
      </c>
      <c r="I153" t="s">
        <v>1959</v>
      </c>
      <c r="M153" t="s">
        <v>1757</v>
      </c>
    </row>
    <row r="154" spans="1:13" x14ac:dyDescent="0.45">
      <c r="A154" t="s">
        <v>1960</v>
      </c>
      <c r="B154">
        <v>1</v>
      </c>
      <c r="C154" t="s">
        <v>1774</v>
      </c>
      <c r="G154" s="3">
        <v>1800.011386725826</v>
      </c>
      <c r="H154" t="s">
        <v>1755</v>
      </c>
      <c r="I154" t="s">
        <v>1960</v>
      </c>
      <c r="M154" t="s">
        <v>1757</v>
      </c>
    </row>
    <row r="155" spans="1:13" x14ac:dyDescent="0.45">
      <c r="A155" t="s">
        <v>1961</v>
      </c>
      <c r="B155">
        <v>3</v>
      </c>
      <c r="C155" t="s">
        <v>1774</v>
      </c>
      <c r="G155" s="3">
        <v>1047.927395348788</v>
      </c>
      <c r="H155" t="s">
        <v>1755</v>
      </c>
      <c r="I155" t="s">
        <v>1961</v>
      </c>
      <c r="M155" t="s">
        <v>1757</v>
      </c>
    </row>
    <row r="156" spans="1:13" x14ac:dyDescent="0.45">
      <c r="A156" t="s">
        <v>1962</v>
      </c>
      <c r="B156">
        <v>1</v>
      </c>
      <c r="C156" t="s">
        <v>1774</v>
      </c>
      <c r="H156" t="s">
        <v>1755</v>
      </c>
      <c r="I156" t="s">
        <v>1962</v>
      </c>
      <c r="M156" t="s">
        <v>1757</v>
      </c>
    </row>
    <row r="157" spans="1:13" x14ac:dyDescent="0.45">
      <c r="A157" t="s">
        <v>1963</v>
      </c>
      <c r="B157">
        <v>2</v>
      </c>
      <c r="C157" t="s">
        <v>1774</v>
      </c>
      <c r="G157" s="3">
        <v>31.086420979111612</v>
      </c>
      <c r="H157" t="s">
        <v>1755</v>
      </c>
      <c r="I157" t="s">
        <v>1963</v>
      </c>
      <c r="M157" t="s">
        <v>1757</v>
      </c>
    </row>
    <row r="158" spans="1:13" x14ac:dyDescent="0.45">
      <c r="A158" t="s">
        <v>1964</v>
      </c>
      <c r="B158">
        <v>1</v>
      </c>
      <c r="C158" t="s">
        <v>1774</v>
      </c>
      <c r="G158" s="3">
        <v>71.073388581010974</v>
      </c>
      <c r="H158" t="s">
        <v>1755</v>
      </c>
      <c r="I158" t="s">
        <v>1964</v>
      </c>
      <c r="M158" t="s">
        <v>1757</v>
      </c>
    </row>
    <row r="159" spans="1:13" x14ac:dyDescent="0.45">
      <c r="A159" t="s">
        <v>1965</v>
      </c>
      <c r="B159">
        <v>1</v>
      </c>
      <c r="C159" t="s">
        <v>1774</v>
      </c>
      <c r="G159" s="3">
        <v>34.65965979082516</v>
      </c>
      <c r="H159" t="s">
        <v>1755</v>
      </c>
      <c r="I159" t="s">
        <v>1965</v>
      </c>
      <c r="M159" t="s">
        <v>1757</v>
      </c>
    </row>
    <row r="160" spans="1:13" x14ac:dyDescent="0.45">
      <c r="A160" t="s">
        <v>1966</v>
      </c>
      <c r="B160">
        <v>2</v>
      </c>
      <c r="C160" t="s">
        <v>1774</v>
      </c>
      <c r="G160" s="3">
        <v>52.214374508673437</v>
      </c>
      <c r="H160" t="s">
        <v>1755</v>
      </c>
      <c r="I160" t="s">
        <v>1966</v>
      </c>
      <c r="M160" t="s">
        <v>1757</v>
      </c>
    </row>
    <row r="161" spans="1:13" x14ac:dyDescent="0.45">
      <c r="A161" t="s">
        <v>1967</v>
      </c>
      <c r="B161">
        <v>1</v>
      </c>
      <c r="C161" t="s">
        <v>1774</v>
      </c>
      <c r="H161" t="s">
        <v>1755</v>
      </c>
      <c r="I161" t="s">
        <v>1967</v>
      </c>
      <c r="M161" t="s">
        <v>1757</v>
      </c>
    </row>
    <row r="162" spans="1:13" x14ac:dyDescent="0.45">
      <c r="A162" t="s">
        <v>1968</v>
      </c>
      <c r="B162">
        <v>1</v>
      </c>
      <c r="C162" t="s">
        <v>1774</v>
      </c>
      <c r="G162" s="3">
        <v>91.087648543221221</v>
      </c>
      <c r="H162" t="s">
        <v>1755</v>
      </c>
      <c r="I162" t="s">
        <v>1968</v>
      </c>
      <c r="M162" t="s">
        <v>1757</v>
      </c>
    </row>
    <row r="163" spans="1:13" x14ac:dyDescent="0.45">
      <c r="A163" t="s">
        <v>361</v>
      </c>
      <c r="B163">
        <v>2</v>
      </c>
      <c r="C163" t="s">
        <v>1751</v>
      </c>
      <c r="D163" t="s">
        <v>363</v>
      </c>
      <c r="E163" t="s">
        <v>361</v>
      </c>
      <c r="F163" s="3">
        <v>15.326740501665199</v>
      </c>
      <c r="G163" s="3">
        <v>15.814246439438421</v>
      </c>
      <c r="H163" t="s">
        <v>73</v>
      </c>
      <c r="I163" t="s">
        <v>361</v>
      </c>
      <c r="J163" s="3">
        <v>32.501942698826262</v>
      </c>
      <c r="K163" s="3">
        <v>3.1807541709227101</v>
      </c>
    </row>
    <row r="164" spans="1:13" x14ac:dyDescent="0.45">
      <c r="A164" t="s">
        <v>296</v>
      </c>
      <c r="B164">
        <v>3</v>
      </c>
      <c r="C164" t="s">
        <v>1751</v>
      </c>
      <c r="D164" t="s">
        <v>298</v>
      </c>
      <c r="E164" t="s">
        <v>296</v>
      </c>
      <c r="F164" s="3">
        <v>13.997979418847191</v>
      </c>
      <c r="G164" s="3">
        <v>11.979006209505011</v>
      </c>
      <c r="H164" t="s">
        <v>73</v>
      </c>
      <c r="I164" t="s">
        <v>296</v>
      </c>
      <c r="J164" s="3">
        <v>21.565205754278239</v>
      </c>
      <c r="K164" s="3">
        <v>14.42331888718021</v>
      </c>
    </row>
    <row r="165" spans="1:13" x14ac:dyDescent="0.45">
      <c r="A165" t="s">
        <v>1969</v>
      </c>
      <c r="B165">
        <v>2</v>
      </c>
      <c r="C165" t="s">
        <v>1761</v>
      </c>
      <c r="D165" t="s">
        <v>1970</v>
      </c>
      <c r="E165" t="s">
        <v>1969</v>
      </c>
      <c r="F165" s="3">
        <v>56.233925707654578</v>
      </c>
      <c r="G165" s="3">
        <v>41.138103921412842</v>
      </c>
      <c r="H165" t="s">
        <v>73</v>
      </c>
      <c r="I165" t="s">
        <v>1969</v>
      </c>
      <c r="J165" s="3">
        <v>18.616797033300418</v>
      </c>
      <c r="K165" s="3">
        <v>26.844687786374649</v>
      </c>
      <c r="M165" t="s">
        <v>1752</v>
      </c>
    </row>
    <row r="166" spans="1:13" x14ac:dyDescent="0.45">
      <c r="A166" t="s">
        <v>1971</v>
      </c>
      <c r="B166">
        <v>2</v>
      </c>
      <c r="C166" t="s">
        <v>1761</v>
      </c>
      <c r="D166" t="s">
        <v>1972</v>
      </c>
      <c r="E166" t="s">
        <v>1971</v>
      </c>
      <c r="F166" s="3">
        <v>36.215425712534028</v>
      </c>
      <c r="G166" s="3">
        <v>35.923841910855259</v>
      </c>
      <c r="H166" t="s">
        <v>73</v>
      </c>
      <c r="I166" t="s">
        <v>1971</v>
      </c>
      <c r="J166" s="3">
        <v>10.316986767645609</v>
      </c>
      <c r="K166" s="3">
        <v>0.8051370263966019</v>
      </c>
    </row>
    <row r="167" spans="1:13" x14ac:dyDescent="0.45">
      <c r="A167" t="s">
        <v>1063</v>
      </c>
      <c r="B167">
        <v>1</v>
      </c>
      <c r="C167" t="s">
        <v>1751</v>
      </c>
      <c r="D167" t="s">
        <v>1065</v>
      </c>
      <c r="E167" t="s">
        <v>1063</v>
      </c>
      <c r="F167" s="3">
        <v>26.778090923300059</v>
      </c>
      <c r="G167" s="3">
        <v>26.210741904261791</v>
      </c>
      <c r="H167" t="s">
        <v>73</v>
      </c>
      <c r="I167" t="s">
        <v>1063</v>
      </c>
      <c r="J167" s="3">
        <v>61.41601826681628</v>
      </c>
      <c r="K167" s="3">
        <v>2.118705999853836</v>
      </c>
    </row>
    <row r="168" spans="1:13" x14ac:dyDescent="0.45">
      <c r="A168" t="s">
        <v>1973</v>
      </c>
      <c r="B168">
        <v>1</v>
      </c>
      <c r="C168" t="s">
        <v>1761</v>
      </c>
      <c r="D168" t="s">
        <v>1974</v>
      </c>
      <c r="E168" t="s">
        <v>1975</v>
      </c>
      <c r="F168" s="3">
        <v>42.139077844625518</v>
      </c>
      <c r="G168" s="3">
        <v>47.758099919929577</v>
      </c>
      <c r="H168" t="s">
        <v>73</v>
      </c>
      <c r="I168" t="s">
        <v>1973</v>
      </c>
      <c r="J168" s="3">
        <v>12.95151189888365</v>
      </c>
      <c r="K168" s="3">
        <v>13.33446853303818</v>
      </c>
    </row>
    <row r="169" spans="1:13" x14ac:dyDescent="0.45">
      <c r="A169" t="s">
        <v>1976</v>
      </c>
      <c r="B169">
        <v>1</v>
      </c>
      <c r="C169" t="s">
        <v>1761</v>
      </c>
      <c r="D169" t="s">
        <v>1977</v>
      </c>
      <c r="E169" t="s">
        <v>1976</v>
      </c>
      <c r="F169" s="3">
        <v>77.656202752468005</v>
      </c>
      <c r="G169" s="3">
        <v>66.447838832232122</v>
      </c>
      <c r="H169" t="s">
        <v>73</v>
      </c>
      <c r="I169" t="s">
        <v>1976</v>
      </c>
      <c r="J169" s="3">
        <v>49.812959049321442</v>
      </c>
      <c r="K169" s="3">
        <v>14.433314433314431</v>
      </c>
    </row>
    <row r="170" spans="1:13" x14ac:dyDescent="0.45">
      <c r="A170" t="s">
        <v>1978</v>
      </c>
      <c r="B170">
        <v>1</v>
      </c>
      <c r="C170" t="s">
        <v>1761</v>
      </c>
      <c r="D170" t="s">
        <v>1979</v>
      </c>
      <c r="E170" t="s">
        <v>1978</v>
      </c>
      <c r="F170" s="3">
        <v>34.045507331584531</v>
      </c>
      <c r="G170" s="3">
        <v>33.43918262540911</v>
      </c>
      <c r="H170" t="s">
        <v>73</v>
      </c>
      <c r="I170" t="s">
        <v>1978</v>
      </c>
      <c r="J170" s="3">
        <v>21.616548888278491</v>
      </c>
      <c r="K170" s="3">
        <v>1.78092427958308</v>
      </c>
    </row>
    <row r="171" spans="1:13" x14ac:dyDescent="0.45">
      <c r="A171" t="s">
        <v>1037</v>
      </c>
      <c r="B171">
        <v>1</v>
      </c>
      <c r="C171" t="s">
        <v>1751</v>
      </c>
      <c r="D171" t="s">
        <v>1039</v>
      </c>
      <c r="E171" t="s">
        <v>1037</v>
      </c>
      <c r="F171" s="3">
        <v>26.51683966474895</v>
      </c>
      <c r="G171" s="3">
        <v>27.238852038100511</v>
      </c>
      <c r="H171" t="s">
        <v>73</v>
      </c>
      <c r="I171" t="s">
        <v>1037</v>
      </c>
      <c r="J171" s="3">
        <v>23.815825736015629</v>
      </c>
      <c r="K171" s="3">
        <v>2.7228447374571072</v>
      </c>
    </row>
    <row r="172" spans="1:13" x14ac:dyDescent="0.45">
      <c r="A172" t="s">
        <v>1980</v>
      </c>
      <c r="B172">
        <v>2</v>
      </c>
      <c r="C172" t="s">
        <v>1761</v>
      </c>
      <c r="D172" t="s">
        <v>1981</v>
      </c>
      <c r="E172" t="s">
        <v>1982</v>
      </c>
      <c r="F172" s="3">
        <v>54.816123933719901</v>
      </c>
      <c r="G172" s="3">
        <v>53.228720843372507</v>
      </c>
      <c r="H172" t="s">
        <v>73</v>
      </c>
      <c r="I172" t="s">
        <v>1980</v>
      </c>
      <c r="J172" s="3">
        <v>8.1726944136170054</v>
      </c>
      <c r="K172" s="3">
        <v>2.8958689094230219</v>
      </c>
    </row>
    <row r="173" spans="1:13" x14ac:dyDescent="0.45">
      <c r="A173" t="s">
        <v>204</v>
      </c>
      <c r="B173">
        <v>2</v>
      </c>
      <c r="C173" t="s">
        <v>1751</v>
      </c>
      <c r="D173" t="s">
        <v>194</v>
      </c>
      <c r="E173" t="s">
        <v>202</v>
      </c>
      <c r="F173" s="3">
        <v>11.700207737832731</v>
      </c>
      <c r="G173" s="3">
        <v>11.618603412128</v>
      </c>
      <c r="H173" t="s">
        <v>73</v>
      </c>
      <c r="I173" t="s">
        <v>204</v>
      </c>
      <c r="J173" s="3">
        <v>52.313009655698963</v>
      </c>
      <c r="K173" s="3">
        <v>0.69746048560198592</v>
      </c>
    </row>
    <row r="174" spans="1:13" x14ac:dyDescent="0.45">
      <c r="A174" t="s">
        <v>1983</v>
      </c>
      <c r="B174">
        <v>1</v>
      </c>
      <c r="C174" t="s">
        <v>1761</v>
      </c>
      <c r="D174" t="s">
        <v>1984</v>
      </c>
      <c r="E174" t="s">
        <v>1985</v>
      </c>
      <c r="F174" s="3">
        <v>75.411920717399099</v>
      </c>
      <c r="G174" s="3">
        <v>84.330014553308004</v>
      </c>
      <c r="H174" t="s">
        <v>73</v>
      </c>
      <c r="I174" t="s">
        <v>1983</v>
      </c>
      <c r="J174" s="3">
        <v>12.09368998439802</v>
      </c>
      <c r="K174" s="3">
        <v>11.82584099578744</v>
      </c>
    </row>
    <row r="175" spans="1:13" x14ac:dyDescent="0.45">
      <c r="A175" t="s">
        <v>1986</v>
      </c>
      <c r="B175">
        <v>3</v>
      </c>
      <c r="C175" t="s">
        <v>1761</v>
      </c>
      <c r="D175" t="s">
        <v>1987</v>
      </c>
      <c r="E175" t="s">
        <v>1988</v>
      </c>
      <c r="F175" s="3">
        <v>48.906496525870217</v>
      </c>
      <c r="G175" s="3">
        <v>49.342567602877523</v>
      </c>
      <c r="H175" t="s">
        <v>73</v>
      </c>
      <c r="I175" t="s">
        <v>1986</v>
      </c>
      <c r="J175" s="3">
        <v>21.901442254159459</v>
      </c>
      <c r="K175" s="3">
        <v>0.89164243604450233</v>
      </c>
    </row>
    <row r="176" spans="1:13" x14ac:dyDescent="0.45">
      <c r="A176" t="s">
        <v>1989</v>
      </c>
      <c r="B176">
        <v>1</v>
      </c>
      <c r="C176" t="s">
        <v>1761</v>
      </c>
      <c r="D176" t="s">
        <v>1990</v>
      </c>
      <c r="E176" t="s">
        <v>1991</v>
      </c>
      <c r="F176" s="3">
        <v>40.078095693833419</v>
      </c>
      <c r="G176" s="3">
        <v>40.299882030680813</v>
      </c>
      <c r="H176" t="s">
        <v>73</v>
      </c>
      <c r="I176" t="s">
        <v>1989</v>
      </c>
      <c r="J176" s="3">
        <v>5.3121574543761971</v>
      </c>
      <c r="K176" s="3">
        <v>0.55338541666666352</v>
      </c>
    </row>
    <row r="177" spans="1:13" x14ac:dyDescent="0.45">
      <c r="A177" t="s">
        <v>1992</v>
      </c>
      <c r="B177">
        <v>3</v>
      </c>
      <c r="C177" t="s">
        <v>1761</v>
      </c>
      <c r="D177" t="s">
        <v>1993</v>
      </c>
      <c r="E177" t="s">
        <v>1994</v>
      </c>
      <c r="F177" s="3">
        <v>39.524608320848102</v>
      </c>
      <c r="G177" s="3">
        <v>38.945354594023172</v>
      </c>
      <c r="H177" t="s">
        <v>73</v>
      </c>
      <c r="I177" t="s">
        <v>1992</v>
      </c>
      <c r="J177" s="3">
        <v>11.92958236413001</v>
      </c>
      <c r="K177" s="3">
        <v>1.465552098891759</v>
      </c>
    </row>
    <row r="178" spans="1:13" x14ac:dyDescent="0.45">
      <c r="A178" t="s">
        <v>1995</v>
      </c>
      <c r="B178">
        <v>2</v>
      </c>
      <c r="C178" t="s">
        <v>1774</v>
      </c>
      <c r="G178" s="3">
        <v>120.9348709808358</v>
      </c>
      <c r="H178" t="s">
        <v>1755</v>
      </c>
      <c r="I178" t="s">
        <v>1995</v>
      </c>
      <c r="M178" t="s">
        <v>1757</v>
      </c>
    </row>
    <row r="179" spans="1:13" x14ac:dyDescent="0.45">
      <c r="A179" t="s">
        <v>1996</v>
      </c>
      <c r="B179">
        <v>1</v>
      </c>
      <c r="C179" t="s">
        <v>1774</v>
      </c>
      <c r="G179" s="3">
        <v>92.769963139484176</v>
      </c>
      <c r="H179" t="s">
        <v>1755</v>
      </c>
      <c r="I179" t="s">
        <v>1996</v>
      </c>
      <c r="M179" t="s">
        <v>1757</v>
      </c>
    </row>
    <row r="180" spans="1:13" x14ac:dyDescent="0.45">
      <c r="A180" t="s">
        <v>1997</v>
      </c>
      <c r="B180">
        <v>1</v>
      </c>
      <c r="C180" t="s">
        <v>1774</v>
      </c>
      <c r="G180" s="3">
        <v>124.3601652596171</v>
      </c>
      <c r="H180" t="s">
        <v>1755</v>
      </c>
      <c r="I180" t="s">
        <v>1997</v>
      </c>
      <c r="M180" t="s">
        <v>1757</v>
      </c>
    </row>
    <row r="181" spans="1:13" x14ac:dyDescent="0.45">
      <c r="A181" t="s">
        <v>514</v>
      </c>
      <c r="B181">
        <v>2</v>
      </c>
      <c r="C181" t="s">
        <v>1751</v>
      </c>
      <c r="D181" t="s">
        <v>513</v>
      </c>
      <c r="E181" t="s">
        <v>511</v>
      </c>
      <c r="F181" s="3">
        <v>18.765081035555109</v>
      </c>
      <c r="G181" s="3">
        <v>18.77434387668227</v>
      </c>
      <c r="H181" t="s">
        <v>73</v>
      </c>
      <c r="I181" t="s">
        <v>514</v>
      </c>
      <c r="J181" s="3">
        <v>11.306648990936869</v>
      </c>
      <c r="K181" s="3">
        <v>4.9362116313831007E-2</v>
      </c>
    </row>
    <row r="182" spans="1:13" x14ac:dyDescent="0.45">
      <c r="A182" t="s">
        <v>1998</v>
      </c>
      <c r="B182">
        <v>1</v>
      </c>
      <c r="C182" t="s">
        <v>1761</v>
      </c>
      <c r="D182" t="s">
        <v>1999</v>
      </c>
      <c r="E182" t="s">
        <v>2000</v>
      </c>
      <c r="F182" s="3">
        <v>53.670662735178702</v>
      </c>
      <c r="G182" s="3">
        <v>49.62208361858076</v>
      </c>
      <c r="H182" t="s">
        <v>73</v>
      </c>
      <c r="I182" t="s">
        <v>1998</v>
      </c>
      <c r="J182" s="3">
        <v>14.682398653630409</v>
      </c>
      <c r="K182" s="3">
        <v>7.5433745556197058</v>
      </c>
    </row>
    <row r="183" spans="1:13" x14ac:dyDescent="0.45">
      <c r="A183" t="s">
        <v>530</v>
      </c>
      <c r="B183">
        <v>2</v>
      </c>
      <c r="C183" t="s">
        <v>1751</v>
      </c>
      <c r="D183" t="s">
        <v>529</v>
      </c>
      <c r="E183" t="s">
        <v>527</v>
      </c>
      <c r="F183" s="3">
        <v>18.787911981995279</v>
      </c>
      <c r="G183" s="3">
        <v>18.201384967947259</v>
      </c>
      <c r="H183" t="s">
        <v>73</v>
      </c>
      <c r="I183" t="s">
        <v>530</v>
      </c>
      <c r="J183" s="3">
        <v>19.18910387902876</v>
      </c>
      <c r="K183" s="3">
        <v>3.1218318172349129</v>
      </c>
    </row>
    <row r="184" spans="1:13" x14ac:dyDescent="0.45">
      <c r="A184" t="s">
        <v>2001</v>
      </c>
      <c r="B184">
        <v>1</v>
      </c>
      <c r="C184" t="s">
        <v>1761</v>
      </c>
      <c r="D184" t="s">
        <v>2002</v>
      </c>
      <c r="E184" t="s">
        <v>2003</v>
      </c>
      <c r="F184" s="3">
        <v>78.233825697404356</v>
      </c>
      <c r="G184" s="3">
        <v>76.993126836569871</v>
      </c>
      <c r="H184" t="s">
        <v>73</v>
      </c>
      <c r="I184" t="s">
        <v>2001</v>
      </c>
      <c r="J184" s="3">
        <v>9.3301292599797865</v>
      </c>
      <c r="K184" s="3">
        <v>1.585885452711089</v>
      </c>
    </row>
    <row r="185" spans="1:13" x14ac:dyDescent="0.45">
      <c r="A185" t="s">
        <v>248</v>
      </c>
      <c r="B185">
        <v>2</v>
      </c>
      <c r="C185" t="s">
        <v>1751</v>
      </c>
      <c r="D185" t="s">
        <v>247</v>
      </c>
      <c r="E185" t="s">
        <v>244</v>
      </c>
      <c r="F185" s="3">
        <v>12.402422419056879</v>
      </c>
      <c r="G185" s="3">
        <v>19.313464061229158</v>
      </c>
      <c r="H185" t="s">
        <v>73</v>
      </c>
      <c r="I185" t="s">
        <v>248</v>
      </c>
      <c r="J185" s="3">
        <v>9.7789962323223678E-2</v>
      </c>
      <c r="K185" s="3">
        <v>55.723320885709789</v>
      </c>
      <c r="M185" t="s">
        <v>1752</v>
      </c>
    </row>
    <row r="186" spans="1:13" x14ac:dyDescent="0.45">
      <c r="A186" t="s">
        <v>2004</v>
      </c>
      <c r="B186">
        <v>1</v>
      </c>
      <c r="C186" t="s">
        <v>1761</v>
      </c>
      <c r="D186" t="s">
        <v>2005</v>
      </c>
      <c r="E186" t="s">
        <v>2004</v>
      </c>
      <c r="F186" s="3">
        <v>57.070190660120318</v>
      </c>
      <c r="G186" s="3">
        <v>57.259687515573752</v>
      </c>
      <c r="H186" t="s">
        <v>73</v>
      </c>
      <c r="I186" t="s">
        <v>2004</v>
      </c>
      <c r="J186" s="3">
        <v>9.8903881116971792</v>
      </c>
      <c r="K186" s="3">
        <v>0.33204174239046957</v>
      </c>
    </row>
    <row r="187" spans="1:13" x14ac:dyDescent="0.45">
      <c r="A187" t="s">
        <v>2006</v>
      </c>
      <c r="B187">
        <v>1</v>
      </c>
      <c r="C187" t="s">
        <v>1761</v>
      </c>
      <c r="D187" t="s">
        <v>2007</v>
      </c>
      <c r="E187" t="s">
        <v>2006</v>
      </c>
      <c r="F187" s="3">
        <v>54.017366964691597</v>
      </c>
      <c r="G187" s="3">
        <v>54.202623787234707</v>
      </c>
      <c r="H187" t="s">
        <v>73</v>
      </c>
      <c r="I187" t="s">
        <v>2006</v>
      </c>
      <c r="J187" s="3">
        <v>5.2053321731289781</v>
      </c>
      <c r="K187" s="3">
        <v>0.34295789105048408</v>
      </c>
    </row>
    <row r="188" spans="1:13" x14ac:dyDescent="0.45">
      <c r="A188" t="s">
        <v>2008</v>
      </c>
      <c r="B188">
        <v>2</v>
      </c>
      <c r="C188" t="s">
        <v>1761</v>
      </c>
      <c r="D188" t="s">
        <v>2009</v>
      </c>
      <c r="E188" t="s">
        <v>2008</v>
      </c>
      <c r="F188" s="3">
        <v>72.949440065637674</v>
      </c>
      <c r="G188" s="3">
        <v>73.303972048215783</v>
      </c>
      <c r="H188" t="s">
        <v>73</v>
      </c>
      <c r="I188" t="s">
        <v>2008</v>
      </c>
      <c r="J188" s="3">
        <v>2.3565244089909458</v>
      </c>
      <c r="K188" s="3">
        <v>0.48599685242150042</v>
      </c>
    </row>
    <row r="189" spans="1:13" x14ac:dyDescent="0.45">
      <c r="A189" t="s">
        <v>2010</v>
      </c>
      <c r="B189">
        <v>3</v>
      </c>
      <c r="C189" t="s">
        <v>1761</v>
      </c>
      <c r="D189" t="s">
        <v>2011</v>
      </c>
      <c r="E189" t="s">
        <v>2010</v>
      </c>
      <c r="F189" s="3">
        <v>97.534781661548067</v>
      </c>
      <c r="G189" s="3">
        <v>92.86063461248942</v>
      </c>
      <c r="H189" t="s">
        <v>73</v>
      </c>
      <c r="I189" t="s">
        <v>2010</v>
      </c>
      <c r="J189" s="3">
        <v>8.2575279648679061</v>
      </c>
      <c r="K189" s="3">
        <v>4.7922873967957766</v>
      </c>
    </row>
    <row r="190" spans="1:13" x14ac:dyDescent="0.45">
      <c r="A190" t="s">
        <v>2012</v>
      </c>
      <c r="B190">
        <v>2</v>
      </c>
      <c r="C190" t="s">
        <v>1761</v>
      </c>
      <c r="D190" t="s">
        <v>2013</v>
      </c>
      <c r="E190" t="s">
        <v>2014</v>
      </c>
      <c r="F190" s="3">
        <v>37.489392523895631</v>
      </c>
      <c r="G190" s="3">
        <v>49.565332408858048</v>
      </c>
      <c r="H190" t="s">
        <v>73</v>
      </c>
      <c r="I190" t="s">
        <v>2012</v>
      </c>
      <c r="J190" s="3">
        <v>8.8438264537248354</v>
      </c>
      <c r="K190" s="3">
        <v>32.211617932366472</v>
      </c>
      <c r="M190" t="s">
        <v>1752</v>
      </c>
    </row>
    <row r="191" spans="1:13" x14ac:dyDescent="0.45">
      <c r="A191" t="s">
        <v>2015</v>
      </c>
      <c r="B191">
        <v>1</v>
      </c>
      <c r="C191" t="s">
        <v>1774</v>
      </c>
      <c r="G191" s="3">
        <v>59.484954633821758</v>
      </c>
      <c r="H191" t="s">
        <v>1755</v>
      </c>
      <c r="I191" t="s">
        <v>2015</v>
      </c>
      <c r="M191" t="s">
        <v>1757</v>
      </c>
    </row>
    <row r="192" spans="1:13" x14ac:dyDescent="0.45">
      <c r="A192" t="s">
        <v>2016</v>
      </c>
      <c r="B192">
        <v>2</v>
      </c>
      <c r="C192" t="s">
        <v>1761</v>
      </c>
      <c r="D192" t="s">
        <v>2017</v>
      </c>
      <c r="E192" t="s">
        <v>2018</v>
      </c>
      <c r="F192" s="3">
        <v>64.55971956162989</v>
      </c>
      <c r="G192" s="3">
        <v>66.948815028405036</v>
      </c>
      <c r="H192" t="s">
        <v>73</v>
      </c>
      <c r="I192" t="s">
        <v>2016</v>
      </c>
      <c r="J192" s="3">
        <v>16.23934729125903</v>
      </c>
      <c r="K192" s="3">
        <v>3.700597652835937</v>
      </c>
    </row>
    <row r="193" spans="1:13" x14ac:dyDescent="0.45">
      <c r="A193" t="s">
        <v>2019</v>
      </c>
      <c r="B193">
        <v>4</v>
      </c>
      <c r="C193" t="s">
        <v>1761</v>
      </c>
      <c r="D193" t="s">
        <v>2020</v>
      </c>
      <c r="E193" t="s">
        <v>2019</v>
      </c>
      <c r="F193" s="3">
        <v>59.301100283702837</v>
      </c>
      <c r="G193" s="3">
        <v>65.851951130143632</v>
      </c>
      <c r="H193" t="s">
        <v>73</v>
      </c>
      <c r="I193" t="s">
        <v>2019</v>
      </c>
      <c r="J193" s="3">
        <v>5.003707305609371</v>
      </c>
      <c r="K193" s="3">
        <v>11.046761046761061</v>
      </c>
    </row>
    <row r="194" spans="1:13" x14ac:dyDescent="0.45">
      <c r="A194" t="s">
        <v>653</v>
      </c>
      <c r="B194">
        <v>2</v>
      </c>
      <c r="C194" t="s">
        <v>1751</v>
      </c>
      <c r="D194" t="s">
        <v>655</v>
      </c>
      <c r="E194" t="s">
        <v>653</v>
      </c>
      <c r="F194" s="3">
        <v>20.009693772922201</v>
      </c>
      <c r="G194" s="3">
        <v>17.530383452070609</v>
      </c>
      <c r="H194" t="s">
        <v>73</v>
      </c>
      <c r="I194" t="s">
        <v>653</v>
      </c>
      <c r="J194" s="3">
        <v>12.50658087471124</v>
      </c>
      <c r="K194" s="3">
        <v>12.39054604726976</v>
      </c>
    </row>
    <row r="195" spans="1:13" x14ac:dyDescent="0.45">
      <c r="A195" t="s">
        <v>2021</v>
      </c>
      <c r="B195">
        <v>1</v>
      </c>
      <c r="C195" t="s">
        <v>1761</v>
      </c>
      <c r="D195" t="s">
        <v>2022</v>
      </c>
      <c r="E195" t="s">
        <v>2021</v>
      </c>
      <c r="F195" s="3">
        <v>67.949136638862285</v>
      </c>
      <c r="G195" s="3">
        <v>77.034874852917611</v>
      </c>
      <c r="H195" t="s">
        <v>73</v>
      </c>
      <c r="I195" t="s">
        <v>2021</v>
      </c>
      <c r="J195" s="3">
        <v>11.065736536260451</v>
      </c>
      <c r="K195" s="3">
        <v>13.37138139421022</v>
      </c>
    </row>
    <row r="196" spans="1:13" x14ac:dyDescent="0.45">
      <c r="A196" t="s">
        <v>892</v>
      </c>
      <c r="B196">
        <v>1</v>
      </c>
      <c r="C196" t="s">
        <v>1751</v>
      </c>
      <c r="D196" t="s">
        <v>894</v>
      </c>
      <c r="E196" t="s">
        <v>892</v>
      </c>
      <c r="F196" s="3">
        <v>24.67144687962762</v>
      </c>
      <c r="G196" s="3">
        <v>25.188209044482019</v>
      </c>
      <c r="H196" t="s">
        <v>73</v>
      </c>
      <c r="I196" t="s">
        <v>892</v>
      </c>
      <c r="J196" s="3">
        <v>28.60391520640119</v>
      </c>
      <c r="K196" s="3">
        <v>2.0945758364951108</v>
      </c>
    </row>
    <row r="197" spans="1:13" x14ac:dyDescent="0.45">
      <c r="A197" t="s">
        <v>704</v>
      </c>
      <c r="B197">
        <v>1</v>
      </c>
      <c r="C197" t="s">
        <v>1751</v>
      </c>
      <c r="D197" t="s">
        <v>703</v>
      </c>
      <c r="E197" t="s">
        <v>701</v>
      </c>
      <c r="F197" s="3">
        <v>20.8472633508988</v>
      </c>
      <c r="G197" s="3">
        <v>20.654048312739398</v>
      </c>
      <c r="H197" t="s">
        <v>73</v>
      </c>
      <c r="I197" t="s">
        <v>704</v>
      </c>
      <c r="J197" s="3">
        <v>31.579368193404878</v>
      </c>
      <c r="K197" s="3">
        <v>0.92681247848806225</v>
      </c>
    </row>
    <row r="198" spans="1:13" x14ac:dyDescent="0.45">
      <c r="A198" t="s">
        <v>2023</v>
      </c>
      <c r="B198">
        <v>1</v>
      </c>
      <c r="C198" t="s">
        <v>1761</v>
      </c>
      <c r="D198" t="s">
        <v>2024</v>
      </c>
      <c r="E198" t="s">
        <v>2025</v>
      </c>
      <c r="F198" s="3">
        <v>34.123784862236548</v>
      </c>
      <c r="G198" s="3">
        <v>34.096387726508347</v>
      </c>
      <c r="H198" t="s">
        <v>73</v>
      </c>
      <c r="I198" t="s">
        <v>2023</v>
      </c>
      <c r="J198" s="3">
        <v>16.98344555374198</v>
      </c>
      <c r="K198" s="3">
        <v>8.0287505734821477E-2</v>
      </c>
    </row>
    <row r="199" spans="1:13" x14ac:dyDescent="0.45">
      <c r="A199" t="s">
        <v>2026</v>
      </c>
      <c r="B199">
        <v>1</v>
      </c>
      <c r="C199" t="s">
        <v>1761</v>
      </c>
      <c r="D199" t="s">
        <v>2027</v>
      </c>
      <c r="E199" t="s">
        <v>2028</v>
      </c>
      <c r="F199" s="3">
        <v>75.850274889050397</v>
      </c>
      <c r="G199" s="3">
        <v>95.959772513553915</v>
      </c>
      <c r="H199" t="s">
        <v>73</v>
      </c>
      <c r="I199" t="s">
        <v>2026</v>
      </c>
      <c r="J199" s="3">
        <v>10.43273591224097</v>
      </c>
      <c r="K199" s="3">
        <v>26.512095907257532</v>
      </c>
      <c r="M199" t="s">
        <v>1752</v>
      </c>
    </row>
    <row r="200" spans="1:13" x14ac:dyDescent="0.45">
      <c r="A200" t="s">
        <v>2029</v>
      </c>
      <c r="B200">
        <v>2</v>
      </c>
      <c r="C200" t="s">
        <v>1774</v>
      </c>
      <c r="G200" s="3">
        <v>89.250735823920508</v>
      </c>
      <c r="H200" t="s">
        <v>1755</v>
      </c>
      <c r="I200" t="s">
        <v>2029</v>
      </c>
      <c r="M200" t="s">
        <v>1757</v>
      </c>
    </row>
    <row r="201" spans="1:13" x14ac:dyDescent="0.45">
      <c r="A201" t="s">
        <v>2030</v>
      </c>
      <c r="B201">
        <v>2</v>
      </c>
      <c r="C201" t="s">
        <v>1761</v>
      </c>
      <c r="D201" t="s">
        <v>2031</v>
      </c>
      <c r="E201" t="s">
        <v>2030</v>
      </c>
      <c r="F201" s="3">
        <v>32.550406496130982</v>
      </c>
      <c r="G201" s="3">
        <v>30.94040076880783</v>
      </c>
      <c r="H201" t="s">
        <v>73</v>
      </c>
      <c r="I201" t="s">
        <v>2030</v>
      </c>
      <c r="J201" s="3">
        <v>32.61065536911201</v>
      </c>
      <c r="K201" s="3">
        <v>4.9461923847695344</v>
      </c>
    </row>
    <row r="202" spans="1:13" x14ac:dyDescent="0.45">
      <c r="A202" t="s">
        <v>1338</v>
      </c>
      <c r="B202">
        <v>3</v>
      </c>
      <c r="C202" t="s">
        <v>1751</v>
      </c>
      <c r="D202" t="s">
        <v>1337</v>
      </c>
      <c r="E202" t="s">
        <v>1335</v>
      </c>
      <c r="F202" s="3">
        <v>29.431046899648049</v>
      </c>
      <c r="G202" s="3">
        <v>30.79506548689724</v>
      </c>
      <c r="H202" t="s">
        <v>73</v>
      </c>
      <c r="I202" t="s">
        <v>1338</v>
      </c>
      <c r="J202" s="3">
        <v>15.521471675147099</v>
      </c>
      <c r="K202" s="3">
        <v>4.6346247617358944</v>
      </c>
    </row>
    <row r="203" spans="1:13" x14ac:dyDescent="0.45">
      <c r="A203" t="s">
        <v>2032</v>
      </c>
      <c r="B203">
        <v>1</v>
      </c>
      <c r="C203" t="s">
        <v>1761</v>
      </c>
      <c r="D203" t="s">
        <v>2033</v>
      </c>
      <c r="E203" t="s">
        <v>2032</v>
      </c>
      <c r="F203" s="3">
        <v>58.242070525256572</v>
      </c>
      <c r="G203" s="3">
        <v>66.463820494740233</v>
      </c>
      <c r="H203" t="s">
        <v>73</v>
      </c>
      <c r="I203" t="s">
        <v>2032</v>
      </c>
      <c r="J203" s="3">
        <v>7.0825677772424589</v>
      </c>
      <c r="K203" s="3">
        <v>14.11651387963332</v>
      </c>
    </row>
    <row r="204" spans="1:13" x14ac:dyDescent="0.45">
      <c r="A204" t="s">
        <v>2034</v>
      </c>
      <c r="B204">
        <v>3</v>
      </c>
      <c r="C204" t="s">
        <v>1761</v>
      </c>
      <c r="D204" t="s">
        <v>2035</v>
      </c>
      <c r="E204" t="s">
        <v>2036</v>
      </c>
      <c r="F204" s="3">
        <v>32.193917575286576</v>
      </c>
      <c r="G204" s="3">
        <v>30.6998930558795</v>
      </c>
      <c r="H204" t="s">
        <v>73</v>
      </c>
      <c r="I204" t="s">
        <v>2034</v>
      </c>
      <c r="J204" s="3">
        <v>12.295301274143251</v>
      </c>
      <c r="K204" s="3">
        <v>4.6407043066854357</v>
      </c>
    </row>
    <row r="205" spans="1:13" x14ac:dyDescent="0.45">
      <c r="A205" t="s">
        <v>2037</v>
      </c>
      <c r="B205">
        <v>1</v>
      </c>
      <c r="C205" t="s">
        <v>1761</v>
      </c>
      <c r="D205" t="s">
        <v>2038</v>
      </c>
      <c r="E205" t="s">
        <v>2037</v>
      </c>
      <c r="F205" s="3">
        <v>44.987075334848129</v>
      </c>
      <c r="G205" s="3">
        <v>44.82367098961204</v>
      </c>
      <c r="H205" t="s">
        <v>73</v>
      </c>
      <c r="I205" t="s">
        <v>2037</v>
      </c>
      <c r="J205" s="3">
        <v>12.68313245078658</v>
      </c>
      <c r="K205" s="3">
        <v>0.36322509080627607</v>
      </c>
    </row>
    <row r="206" spans="1:13" x14ac:dyDescent="0.45">
      <c r="A206" t="s">
        <v>2039</v>
      </c>
      <c r="B206">
        <v>2</v>
      </c>
      <c r="C206" t="s">
        <v>1761</v>
      </c>
      <c r="D206" t="s">
        <v>2040</v>
      </c>
      <c r="E206" t="s">
        <v>2039</v>
      </c>
      <c r="F206" s="3">
        <v>53.468119624616598</v>
      </c>
      <c r="G206" s="3">
        <v>51.563692535128538</v>
      </c>
      <c r="H206" t="s">
        <v>73</v>
      </c>
      <c r="I206" t="s">
        <v>2039</v>
      </c>
      <c r="J206" s="3">
        <v>8.9779038454982363</v>
      </c>
      <c r="K206" s="3">
        <v>3.5617992606780771</v>
      </c>
    </row>
    <row r="207" spans="1:13" x14ac:dyDescent="0.45">
      <c r="A207" t="s">
        <v>807</v>
      </c>
      <c r="B207">
        <v>1</v>
      </c>
      <c r="C207" t="s">
        <v>1751</v>
      </c>
      <c r="D207" t="s">
        <v>806</v>
      </c>
      <c r="E207" t="s">
        <v>804</v>
      </c>
      <c r="F207" s="3">
        <v>23.04979736961997</v>
      </c>
      <c r="G207" s="3">
        <v>22.93365308351504</v>
      </c>
      <c r="H207" t="s">
        <v>73</v>
      </c>
      <c r="I207" t="s">
        <v>807</v>
      </c>
      <c r="J207" s="3">
        <v>14.713859328387541</v>
      </c>
      <c r="K207" s="3">
        <v>0.50388419578044941</v>
      </c>
    </row>
    <row r="208" spans="1:13" x14ac:dyDescent="0.45">
      <c r="A208" t="s">
        <v>2041</v>
      </c>
      <c r="B208">
        <v>1</v>
      </c>
      <c r="C208" t="s">
        <v>1761</v>
      </c>
      <c r="D208" t="s">
        <v>2042</v>
      </c>
      <c r="E208" t="s">
        <v>2041</v>
      </c>
      <c r="F208" s="3">
        <v>55.21533934004519</v>
      </c>
      <c r="G208" s="3">
        <v>55.214034714534328</v>
      </c>
      <c r="H208" t="s">
        <v>73</v>
      </c>
      <c r="I208" t="s">
        <v>2041</v>
      </c>
      <c r="J208" s="3">
        <v>3.9825716132279911</v>
      </c>
      <c r="K208" s="3">
        <v>2.3627954232597588E-3</v>
      </c>
    </row>
    <row r="209" spans="1:13" x14ac:dyDescent="0.45">
      <c r="A209" t="s">
        <v>2043</v>
      </c>
      <c r="B209">
        <v>1</v>
      </c>
      <c r="C209" t="s">
        <v>1761</v>
      </c>
      <c r="D209" t="s">
        <v>2044</v>
      </c>
      <c r="E209" t="s">
        <v>2043</v>
      </c>
      <c r="F209" s="3">
        <v>31.003446796620469</v>
      </c>
      <c r="G209" s="3">
        <v>32.32372781361785</v>
      </c>
      <c r="H209" t="s">
        <v>73</v>
      </c>
      <c r="I209" t="s">
        <v>2043</v>
      </c>
      <c r="J209" s="3">
        <v>11.43689995384182</v>
      </c>
      <c r="K209" s="3">
        <v>4.2584975330591286</v>
      </c>
    </row>
    <row r="210" spans="1:13" x14ac:dyDescent="0.45">
      <c r="A210" t="s">
        <v>2045</v>
      </c>
      <c r="B210">
        <v>3</v>
      </c>
      <c r="C210" t="s">
        <v>1761</v>
      </c>
      <c r="D210" t="s">
        <v>2046</v>
      </c>
      <c r="E210" t="s">
        <v>2045</v>
      </c>
      <c r="F210" s="3">
        <v>58.034961225406448</v>
      </c>
      <c r="G210" s="3">
        <v>59.18401014410253</v>
      </c>
      <c r="H210" t="s">
        <v>73</v>
      </c>
      <c r="I210" t="s">
        <v>2045</v>
      </c>
      <c r="J210" s="3">
        <v>5.7828758088194032</v>
      </c>
      <c r="K210" s="3">
        <v>1.979925366423881</v>
      </c>
    </row>
    <row r="211" spans="1:13" x14ac:dyDescent="0.45">
      <c r="A211" t="s">
        <v>87</v>
      </c>
      <c r="B211">
        <v>2</v>
      </c>
      <c r="C211" t="s">
        <v>1751</v>
      </c>
      <c r="D211" t="s">
        <v>86</v>
      </c>
      <c r="E211" t="s">
        <v>83</v>
      </c>
      <c r="F211" s="3">
        <v>8.306876784067736</v>
      </c>
      <c r="G211" s="3">
        <v>18.51189562422493</v>
      </c>
      <c r="H211" t="s">
        <v>73</v>
      </c>
      <c r="I211" t="s">
        <v>87</v>
      </c>
      <c r="J211" s="3">
        <v>8.7840391381335454</v>
      </c>
      <c r="K211" s="3">
        <v>122.85024932270601</v>
      </c>
      <c r="M211" t="s">
        <v>1752</v>
      </c>
    </row>
    <row r="212" spans="1:13" x14ac:dyDescent="0.45">
      <c r="A212" t="s">
        <v>2047</v>
      </c>
      <c r="B212">
        <v>2</v>
      </c>
      <c r="C212" t="s">
        <v>1761</v>
      </c>
      <c r="D212" t="s">
        <v>2048</v>
      </c>
      <c r="E212" t="s">
        <v>2049</v>
      </c>
      <c r="F212" s="3">
        <v>38.722263631664923</v>
      </c>
      <c r="G212" s="3">
        <v>38.777710215876773</v>
      </c>
      <c r="H212" t="s">
        <v>73</v>
      </c>
      <c r="I212" t="s">
        <v>2047</v>
      </c>
      <c r="J212" s="3">
        <v>10.329237471025539</v>
      </c>
      <c r="K212" s="3">
        <v>0.14319045172377079</v>
      </c>
    </row>
    <row r="213" spans="1:13" x14ac:dyDescent="0.45">
      <c r="A213" t="s">
        <v>2050</v>
      </c>
      <c r="B213">
        <v>1</v>
      </c>
      <c r="C213" t="s">
        <v>1761</v>
      </c>
      <c r="D213" t="s">
        <v>2051</v>
      </c>
      <c r="E213" t="s">
        <v>2052</v>
      </c>
      <c r="F213" s="3">
        <v>42.523616213953567</v>
      </c>
      <c r="G213" s="3">
        <v>41.301508266648923</v>
      </c>
      <c r="H213" t="s">
        <v>73</v>
      </c>
      <c r="I213" t="s">
        <v>2050</v>
      </c>
      <c r="J213" s="3">
        <v>100.7027859411793</v>
      </c>
      <c r="K213" s="3">
        <v>2.8739511267238389</v>
      </c>
    </row>
    <row r="214" spans="1:13" x14ac:dyDescent="0.45">
      <c r="A214" t="s">
        <v>847</v>
      </c>
      <c r="B214">
        <v>2</v>
      </c>
      <c r="C214" t="s">
        <v>1751</v>
      </c>
      <c r="D214" t="s">
        <v>849</v>
      </c>
      <c r="E214" t="s">
        <v>847</v>
      </c>
      <c r="F214" s="3">
        <v>24.32180724271527</v>
      </c>
      <c r="G214" s="3">
        <v>23.599240403521591</v>
      </c>
      <c r="H214" t="s">
        <v>73</v>
      </c>
      <c r="I214" t="s">
        <v>847</v>
      </c>
      <c r="J214" s="3">
        <v>14.35632537573715</v>
      </c>
      <c r="K214" s="3">
        <v>2.9708599857853479</v>
      </c>
    </row>
    <row r="215" spans="1:13" x14ac:dyDescent="0.45">
      <c r="A215" t="s">
        <v>2053</v>
      </c>
      <c r="B215">
        <v>1</v>
      </c>
      <c r="C215" t="s">
        <v>1761</v>
      </c>
      <c r="D215" t="s">
        <v>2054</v>
      </c>
      <c r="E215" t="s">
        <v>2053</v>
      </c>
      <c r="F215" s="3">
        <v>48.68014399973481</v>
      </c>
      <c r="G215" s="3">
        <v>69.589377062399791</v>
      </c>
      <c r="H215" t="s">
        <v>73</v>
      </c>
      <c r="I215" t="s">
        <v>2053</v>
      </c>
      <c r="J215" s="3">
        <v>7.6939735181308819</v>
      </c>
      <c r="K215" s="3">
        <v>42.952282685891177</v>
      </c>
      <c r="M215" t="s">
        <v>1752</v>
      </c>
    </row>
    <row r="216" spans="1:13" x14ac:dyDescent="0.45">
      <c r="A216" t="s">
        <v>1269</v>
      </c>
      <c r="B216">
        <v>3</v>
      </c>
      <c r="C216" t="s">
        <v>1751</v>
      </c>
      <c r="D216" t="s">
        <v>1268</v>
      </c>
      <c r="E216" t="s">
        <v>1266</v>
      </c>
      <c r="F216" s="3">
        <v>28.97116640706744</v>
      </c>
      <c r="G216" s="3">
        <v>29.564640551960832</v>
      </c>
      <c r="H216" t="s">
        <v>73</v>
      </c>
      <c r="I216" t="s">
        <v>1269</v>
      </c>
      <c r="J216" s="3">
        <v>13.22413003620891</v>
      </c>
      <c r="K216" s="3">
        <v>2.048499313264136</v>
      </c>
    </row>
    <row r="217" spans="1:13" x14ac:dyDescent="0.45">
      <c r="A217" t="s">
        <v>2055</v>
      </c>
      <c r="B217">
        <v>1</v>
      </c>
      <c r="C217" t="s">
        <v>1761</v>
      </c>
      <c r="D217" t="s">
        <v>2056</v>
      </c>
      <c r="E217" t="s">
        <v>2057</v>
      </c>
      <c r="F217" s="3">
        <v>33.075518264254939</v>
      </c>
      <c r="G217" s="3">
        <v>31.810716447107179</v>
      </c>
      <c r="H217" t="s">
        <v>73</v>
      </c>
      <c r="I217" t="s">
        <v>2055</v>
      </c>
      <c r="J217" s="3">
        <v>19.38150619963513</v>
      </c>
      <c r="K217" s="3">
        <v>3.823981855832765</v>
      </c>
    </row>
    <row r="218" spans="1:13" x14ac:dyDescent="0.45">
      <c r="A218" t="s">
        <v>2058</v>
      </c>
      <c r="B218">
        <v>1</v>
      </c>
      <c r="C218" t="s">
        <v>1761</v>
      </c>
      <c r="D218" t="s">
        <v>2059</v>
      </c>
      <c r="E218" t="s">
        <v>2060</v>
      </c>
      <c r="F218" s="3">
        <v>59.801424167120317</v>
      </c>
      <c r="G218" s="3">
        <v>59.867307755419112</v>
      </c>
      <c r="H218" t="s">
        <v>73</v>
      </c>
      <c r="I218" t="s">
        <v>2058</v>
      </c>
      <c r="J218" s="3">
        <v>14.90453728286942</v>
      </c>
      <c r="K218" s="3">
        <v>0.1101706008115489</v>
      </c>
    </row>
    <row r="219" spans="1:13" x14ac:dyDescent="0.45">
      <c r="A219" t="s">
        <v>2061</v>
      </c>
      <c r="B219">
        <v>1</v>
      </c>
      <c r="C219" t="s">
        <v>1761</v>
      </c>
      <c r="D219" t="s">
        <v>2062</v>
      </c>
      <c r="E219" t="s">
        <v>2063</v>
      </c>
      <c r="F219" s="3">
        <v>46.868345321518298</v>
      </c>
      <c r="G219" s="3">
        <v>46.430969619000138</v>
      </c>
      <c r="H219" t="s">
        <v>73</v>
      </c>
      <c r="I219" t="s">
        <v>2061</v>
      </c>
      <c r="J219" s="3">
        <v>18.53409500227264</v>
      </c>
      <c r="K219" s="3">
        <v>0.93320064857793106</v>
      </c>
    </row>
    <row r="220" spans="1:13" x14ac:dyDescent="0.45">
      <c r="A220" t="s">
        <v>1104</v>
      </c>
      <c r="B220">
        <v>1</v>
      </c>
      <c r="C220" t="s">
        <v>1751</v>
      </c>
      <c r="D220" t="s">
        <v>1103</v>
      </c>
      <c r="E220" t="s">
        <v>1101</v>
      </c>
      <c r="F220" s="3">
        <v>27.300267284024571</v>
      </c>
      <c r="G220" s="3">
        <v>26.334713943431922</v>
      </c>
      <c r="H220" t="s">
        <v>73</v>
      </c>
      <c r="I220" t="s">
        <v>1104</v>
      </c>
      <c r="J220" s="3">
        <v>17.30201490810974</v>
      </c>
      <c r="K220" s="3">
        <v>3.5367907960288121</v>
      </c>
    </row>
    <row r="221" spans="1:13" x14ac:dyDescent="0.45">
      <c r="A221" t="s">
        <v>2064</v>
      </c>
      <c r="B221">
        <v>1</v>
      </c>
      <c r="C221" t="s">
        <v>1761</v>
      </c>
      <c r="D221" t="s">
        <v>2065</v>
      </c>
      <c r="E221" t="s">
        <v>2066</v>
      </c>
      <c r="F221" s="3">
        <v>57.270776832416111</v>
      </c>
      <c r="G221" s="3">
        <v>57.17488685736739</v>
      </c>
      <c r="H221" t="s">
        <v>73</v>
      </c>
      <c r="I221" t="s">
        <v>2064</v>
      </c>
      <c r="J221" s="3">
        <v>6.0072910614022748</v>
      </c>
      <c r="K221" s="3">
        <v>0.16743264253130241</v>
      </c>
    </row>
    <row r="222" spans="1:13" x14ac:dyDescent="0.45">
      <c r="A222" t="s">
        <v>2067</v>
      </c>
      <c r="B222">
        <v>1</v>
      </c>
      <c r="C222" t="s">
        <v>1761</v>
      </c>
      <c r="D222" t="s">
        <v>2068</v>
      </c>
      <c r="E222" t="s">
        <v>2069</v>
      </c>
      <c r="F222" s="3">
        <v>52.327224615363427</v>
      </c>
      <c r="G222" s="3">
        <v>54.263941186245447</v>
      </c>
      <c r="H222" t="s">
        <v>73</v>
      </c>
      <c r="I222" t="s">
        <v>2067</v>
      </c>
      <c r="J222" s="3">
        <v>9.402329669791925</v>
      </c>
      <c r="K222" s="3">
        <v>3.7011643272083452</v>
      </c>
    </row>
    <row r="223" spans="1:13" x14ac:dyDescent="0.45">
      <c r="A223" t="s">
        <v>912</v>
      </c>
      <c r="B223">
        <v>1</v>
      </c>
      <c r="C223" t="s">
        <v>1751</v>
      </c>
      <c r="D223" t="s">
        <v>911</v>
      </c>
      <c r="E223" t="s">
        <v>909</v>
      </c>
      <c r="F223" s="3">
        <v>24.969879965238441</v>
      </c>
      <c r="G223" s="3">
        <v>24.845875310430529</v>
      </c>
      <c r="H223" t="s">
        <v>73</v>
      </c>
      <c r="I223" t="s">
        <v>912</v>
      </c>
      <c r="J223" s="3">
        <v>24.229311656610509</v>
      </c>
      <c r="K223" s="3">
        <v>0.49661694401630641</v>
      </c>
    </row>
    <row r="224" spans="1:13" x14ac:dyDescent="0.45">
      <c r="A224" t="s">
        <v>2070</v>
      </c>
      <c r="B224">
        <v>2</v>
      </c>
      <c r="C224" t="s">
        <v>1761</v>
      </c>
      <c r="D224" t="s">
        <v>2071</v>
      </c>
      <c r="E224" t="s">
        <v>2072</v>
      </c>
      <c r="F224" s="3">
        <v>32.70728771381274</v>
      </c>
      <c r="G224" s="3">
        <v>33.950269669291252</v>
      </c>
      <c r="H224" t="s">
        <v>73</v>
      </c>
      <c r="I224" t="s">
        <v>2070</v>
      </c>
      <c r="J224" s="3">
        <v>15.7850730378732</v>
      </c>
      <c r="K224" s="3">
        <v>3.80032109771542</v>
      </c>
    </row>
    <row r="225" spans="1:11" x14ac:dyDescent="0.45">
      <c r="A225" t="s">
        <v>690</v>
      </c>
      <c r="B225">
        <v>3</v>
      </c>
      <c r="C225" t="s">
        <v>1751</v>
      </c>
      <c r="D225" t="s">
        <v>689</v>
      </c>
      <c r="E225" t="s">
        <v>687</v>
      </c>
      <c r="F225" s="3">
        <v>20.269640405962441</v>
      </c>
      <c r="G225" s="3">
        <v>20.54165482497821</v>
      </c>
      <c r="H225" t="s">
        <v>73</v>
      </c>
      <c r="I225" t="s">
        <v>690</v>
      </c>
      <c r="J225" s="3">
        <v>19.063266078559518</v>
      </c>
      <c r="K225" s="3">
        <v>1.341979500217229</v>
      </c>
    </row>
    <row r="226" spans="1:11" x14ac:dyDescent="0.45">
      <c r="A226" t="s">
        <v>718</v>
      </c>
      <c r="B226">
        <v>1</v>
      </c>
      <c r="C226" t="s">
        <v>1751</v>
      </c>
      <c r="D226" t="s">
        <v>717</v>
      </c>
      <c r="E226" t="s">
        <v>715</v>
      </c>
      <c r="F226" s="3">
        <v>21.253654197533859</v>
      </c>
      <c r="G226" s="3">
        <v>21.110438932078441</v>
      </c>
      <c r="H226" t="s">
        <v>73</v>
      </c>
      <c r="I226" t="s">
        <v>718</v>
      </c>
      <c r="J226" s="3">
        <v>8.7057353130744968</v>
      </c>
      <c r="K226" s="3">
        <v>0.67383831563440455</v>
      </c>
    </row>
    <row r="227" spans="1:11" x14ac:dyDescent="0.45">
      <c r="A227" t="s">
        <v>2073</v>
      </c>
      <c r="B227">
        <v>1</v>
      </c>
      <c r="C227" t="s">
        <v>1761</v>
      </c>
      <c r="D227" t="s">
        <v>2074</v>
      </c>
      <c r="E227" t="s">
        <v>2075</v>
      </c>
      <c r="F227" s="3">
        <v>33.739246492908507</v>
      </c>
      <c r="G227" s="3">
        <v>33.85372738148709</v>
      </c>
      <c r="H227" t="s">
        <v>73</v>
      </c>
      <c r="I227" t="s">
        <v>2073</v>
      </c>
      <c r="J227" s="3">
        <v>8.1007652773018624</v>
      </c>
      <c r="K227" s="3">
        <v>0.33931074484025242</v>
      </c>
    </row>
    <row r="228" spans="1:11" x14ac:dyDescent="0.45">
      <c r="A228" t="s">
        <v>797</v>
      </c>
      <c r="B228">
        <v>5</v>
      </c>
      <c r="C228" t="s">
        <v>1751</v>
      </c>
      <c r="D228" t="s">
        <v>796</v>
      </c>
      <c r="E228" t="s">
        <v>794</v>
      </c>
      <c r="F228" s="3">
        <v>22.73668724701189</v>
      </c>
      <c r="G228" s="3">
        <v>23.626637539249799</v>
      </c>
      <c r="H228" t="s">
        <v>73</v>
      </c>
      <c r="I228" t="s">
        <v>797</v>
      </c>
      <c r="J228" s="3">
        <v>35.717221749014847</v>
      </c>
      <c r="K228" s="3">
        <v>3.9141598886832858</v>
      </c>
    </row>
    <row r="229" spans="1:11" x14ac:dyDescent="0.45">
      <c r="A229" t="s">
        <v>347</v>
      </c>
      <c r="B229">
        <v>1</v>
      </c>
      <c r="C229" t="s">
        <v>1751</v>
      </c>
      <c r="D229" t="s">
        <v>346</v>
      </c>
      <c r="E229" t="s">
        <v>344</v>
      </c>
      <c r="F229" s="3">
        <v>14.809130330228729</v>
      </c>
      <c r="G229" s="3">
        <v>14.83672315978357</v>
      </c>
      <c r="H229" t="s">
        <v>73</v>
      </c>
      <c r="I229" t="s">
        <v>347</v>
      </c>
      <c r="J229" s="3">
        <v>17.19275076678943</v>
      </c>
      <c r="K229" s="3">
        <v>0.18632309217047369</v>
      </c>
    </row>
    <row r="230" spans="1:11" x14ac:dyDescent="0.45">
      <c r="A230" t="s">
        <v>2076</v>
      </c>
      <c r="B230">
        <v>4</v>
      </c>
      <c r="C230" t="s">
        <v>1761</v>
      </c>
      <c r="D230" t="s">
        <v>2077</v>
      </c>
      <c r="E230" t="s">
        <v>2078</v>
      </c>
      <c r="F230" s="3">
        <v>53.653050290781991</v>
      </c>
      <c r="G230" s="3">
        <v>52.273734969417887</v>
      </c>
      <c r="H230" t="s">
        <v>73</v>
      </c>
      <c r="I230" t="s">
        <v>2076</v>
      </c>
      <c r="J230" s="3">
        <v>5.6592085518535402</v>
      </c>
      <c r="K230" s="3">
        <v>2.5708050406988319</v>
      </c>
    </row>
    <row r="231" spans="1:11" x14ac:dyDescent="0.45">
      <c r="A231" t="s">
        <v>2079</v>
      </c>
      <c r="B231">
        <v>1</v>
      </c>
      <c r="C231" t="s">
        <v>1761</v>
      </c>
      <c r="D231" t="s">
        <v>2080</v>
      </c>
      <c r="E231" t="s">
        <v>2081</v>
      </c>
      <c r="F231" s="3">
        <v>31.71805542019786</v>
      </c>
      <c r="G231" s="3">
        <v>31.549595651107161</v>
      </c>
      <c r="H231" t="s">
        <v>73</v>
      </c>
      <c r="I231" t="s">
        <v>2079</v>
      </c>
      <c r="J231" s="3">
        <v>7.416044674547777</v>
      </c>
      <c r="K231" s="3">
        <v>0.53111632115828</v>
      </c>
    </row>
    <row r="232" spans="1:11" x14ac:dyDescent="0.45">
      <c r="A232" t="s">
        <v>420</v>
      </c>
      <c r="B232">
        <v>2</v>
      </c>
      <c r="C232" t="s">
        <v>1751</v>
      </c>
      <c r="D232" t="s">
        <v>419</v>
      </c>
      <c r="E232" t="s">
        <v>417</v>
      </c>
      <c r="F232" s="3">
        <v>16.56450395510025</v>
      </c>
      <c r="G232" s="3">
        <v>16.329703978781961</v>
      </c>
      <c r="H232" t="s">
        <v>73</v>
      </c>
      <c r="I232" t="s">
        <v>420</v>
      </c>
      <c r="J232" s="3">
        <v>19.265449646717041</v>
      </c>
      <c r="K232" s="3">
        <v>1.417488727430257</v>
      </c>
    </row>
    <row r="233" spans="1:11" x14ac:dyDescent="0.45">
      <c r="A233" t="s">
        <v>2082</v>
      </c>
      <c r="B233">
        <v>1</v>
      </c>
      <c r="C233" t="s">
        <v>1761</v>
      </c>
      <c r="D233" t="s">
        <v>2083</v>
      </c>
      <c r="E233" t="s">
        <v>2084</v>
      </c>
      <c r="F233" s="3">
        <v>45.982830756017343</v>
      </c>
      <c r="G233" s="3">
        <v>46.690916252040388</v>
      </c>
      <c r="H233" t="s">
        <v>73</v>
      </c>
      <c r="I233" t="s">
        <v>2082</v>
      </c>
      <c r="J233" s="3">
        <v>9.5529530654855517</v>
      </c>
      <c r="K233" s="3">
        <v>1.5398910514668349</v>
      </c>
    </row>
    <row r="234" spans="1:11" x14ac:dyDescent="0.45">
      <c r="A234" t="s">
        <v>340</v>
      </c>
      <c r="B234">
        <v>2</v>
      </c>
      <c r="C234" t="s">
        <v>1751</v>
      </c>
      <c r="D234" t="s">
        <v>339</v>
      </c>
      <c r="E234" t="s">
        <v>337</v>
      </c>
      <c r="F234" s="3">
        <v>14.769013095769569</v>
      </c>
      <c r="G234" s="3">
        <v>14.838125632207751</v>
      </c>
      <c r="H234" t="s">
        <v>73</v>
      </c>
      <c r="I234" t="s">
        <v>340</v>
      </c>
      <c r="J234" s="3">
        <v>20.803076441075241</v>
      </c>
      <c r="K234" s="3">
        <v>0.46795636235148219</v>
      </c>
    </row>
    <row r="235" spans="1:11" x14ac:dyDescent="0.45">
      <c r="A235" t="s">
        <v>2085</v>
      </c>
      <c r="B235">
        <v>1</v>
      </c>
      <c r="C235" t="s">
        <v>1761</v>
      </c>
      <c r="D235" t="s">
        <v>2086</v>
      </c>
      <c r="E235" t="s">
        <v>2087</v>
      </c>
      <c r="F235" s="3">
        <v>50.708510512755232</v>
      </c>
      <c r="G235" s="3">
        <v>50.741778463282337</v>
      </c>
      <c r="H235" t="s">
        <v>73</v>
      </c>
      <c r="I235" t="s">
        <v>2085</v>
      </c>
      <c r="J235" s="3">
        <v>9.9511787627389392</v>
      </c>
      <c r="K235" s="3">
        <v>6.5606246743803234E-2</v>
      </c>
    </row>
    <row r="236" spans="1:11" x14ac:dyDescent="0.45">
      <c r="A236" t="s">
        <v>2088</v>
      </c>
      <c r="B236">
        <v>1</v>
      </c>
      <c r="C236" t="s">
        <v>1761</v>
      </c>
      <c r="D236" t="s">
        <v>2089</v>
      </c>
      <c r="E236" t="s">
        <v>2090</v>
      </c>
      <c r="F236" s="3">
        <v>53.337004760774477</v>
      </c>
      <c r="G236" s="3">
        <v>55.335038730667243</v>
      </c>
      <c r="H236" t="s">
        <v>73</v>
      </c>
      <c r="I236" t="s">
        <v>2088</v>
      </c>
      <c r="J236" s="3">
        <v>10.52668511584312</v>
      </c>
      <c r="K236" s="3">
        <v>3.746055817821591</v>
      </c>
    </row>
    <row r="237" spans="1:11" x14ac:dyDescent="0.45">
      <c r="A237" t="s">
        <v>2091</v>
      </c>
      <c r="B237">
        <v>1</v>
      </c>
      <c r="C237" t="s">
        <v>1761</v>
      </c>
      <c r="D237" t="s">
        <v>2092</v>
      </c>
      <c r="E237" t="s">
        <v>2093</v>
      </c>
      <c r="F237" s="3">
        <v>35.575506899453778</v>
      </c>
      <c r="G237" s="3">
        <v>36.20890258497969</v>
      </c>
      <c r="H237" t="s">
        <v>73</v>
      </c>
      <c r="I237" t="s">
        <v>2091</v>
      </c>
      <c r="J237" s="3">
        <v>19.15829977278835</v>
      </c>
      <c r="K237" s="3">
        <v>1.7804263121705119</v>
      </c>
    </row>
    <row r="238" spans="1:11" x14ac:dyDescent="0.45">
      <c r="A238" t="s">
        <v>2094</v>
      </c>
      <c r="B238">
        <v>2</v>
      </c>
      <c r="C238" t="s">
        <v>1761</v>
      </c>
      <c r="D238" t="s">
        <v>2095</v>
      </c>
      <c r="E238" t="s">
        <v>2096</v>
      </c>
      <c r="F238" s="3">
        <v>40.181813421947354</v>
      </c>
      <c r="G238" s="3">
        <v>39.283904914093149</v>
      </c>
      <c r="H238" t="s">
        <v>73</v>
      </c>
      <c r="I238" t="s">
        <v>2094</v>
      </c>
      <c r="J238" s="3">
        <v>8.8793682527552136</v>
      </c>
      <c r="K238" s="3">
        <v>2.234614198282451</v>
      </c>
    </row>
    <row r="239" spans="1:11" x14ac:dyDescent="0.45">
      <c r="A239" t="s">
        <v>392</v>
      </c>
      <c r="B239">
        <v>1</v>
      </c>
      <c r="C239" t="s">
        <v>1751</v>
      </c>
      <c r="D239" t="s">
        <v>391</v>
      </c>
      <c r="E239" t="s">
        <v>389</v>
      </c>
      <c r="F239" s="3">
        <v>16.156808482954311</v>
      </c>
      <c r="G239" s="3">
        <v>16.19154413718115</v>
      </c>
      <c r="H239" t="s">
        <v>73</v>
      </c>
      <c r="I239" t="s">
        <v>392</v>
      </c>
      <c r="J239" s="3">
        <v>12.66675773934716</v>
      </c>
      <c r="K239" s="3">
        <v>0.21499081494638669</v>
      </c>
    </row>
    <row r="240" spans="1:11" x14ac:dyDescent="0.45">
      <c r="A240" t="s">
        <v>1361</v>
      </c>
      <c r="B240">
        <v>2</v>
      </c>
      <c r="C240" t="s">
        <v>1751</v>
      </c>
      <c r="D240" t="s">
        <v>1360</v>
      </c>
      <c r="E240" t="s">
        <v>1358</v>
      </c>
      <c r="F240" s="3">
        <v>29.666857960737261</v>
      </c>
      <c r="G240" s="3">
        <v>28.703652946064171</v>
      </c>
      <c r="H240" t="s">
        <v>73</v>
      </c>
      <c r="I240" t="s">
        <v>1361</v>
      </c>
      <c r="J240" s="3">
        <v>17.545875960074639</v>
      </c>
      <c r="K240" s="3">
        <v>3.2467375410899439</v>
      </c>
    </row>
    <row r="241" spans="1:13" x14ac:dyDescent="0.45">
      <c r="A241" t="s">
        <v>2097</v>
      </c>
      <c r="B241">
        <v>1</v>
      </c>
      <c r="C241" t="s">
        <v>1761</v>
      </c>
      <c r="D241" t="s">
        <v>2098</v>
      </c>
      <c r="E241" t="s">
        <v>2099</v>
      </c>
      <c r="F241" s="3">
        <v>35.168789896440998</v>
      </c>
      <c r="G241" s="3">
        <v>35.171399147462743</v>
      </c>
      <c r="H241" t="s">
        <v>73</v>
      </c>
      <c r="I241" t="s">
        <v>2097</v>
      </c>
      <c r="J241" s="3">
        <v>40.737572246103412</v>
      </c>
      <c r="K241" s="3">
        <v>7.4192232073293759E-3</v>
      </c>
    </row>
    <row r="242" spans="1:13" x14ac:dyDescent="0.45">
      <c r="A242" t="s">
        <v>358</v>
      </c>
      <c r="B242">
        <v>4</v>
      </c>
      <c r="C242" t="s">
        <v>1751</v>
      </c>
      <c r="D242" t="s">
        <v>357</v>
      </c>
      <c r="E242" t="s">
        <v>355</v>
      </c>
      <c r="F242" s="3">
        <v>15.292494082004939</v>
      </c>
      <c r="G242" s="3">
        <v>15.24836512409987</v>
      </c>
      <c r="H242" t="s">
        <v>73</v>
      </c>
      <c r="I242" t="s">
        <v>358</v>
      </c>
      <c r="J242" s="3">
        <v>18.320633559793109</v>
      </c>
      <c r="K242" s="3">
        <v>0.28856612707147528</v>
      </c>
    </row>
    <row r="243" spans="1:13" x14ac:dyDescent="0.45">
      <c r="A243" t="s">
        <v>136</v>
      </c>
      <c r="B243">
        <v>4</v>
      </c>
      <c r="C243" t="s">
        <v>1751</v>
      </c>
      <c r="D243" t="s">
        <v>135</v>
      </c>
      <c r="E243" t="s">
        <v>133</v>
      </c>
      <c r="F243" s="3">
        <v>10.684556777622801</v>
      </c>
      <c r="G243" s="3">
        <v>10.72007520715615</v>
      </c>
      <c r="H243" t="s">
        <v>73</v>
      </c>
      <c r="I243" t="s">
        <v>136</v>
      </c>
      <c r="J243" s="3">
        <v>117.92763855316301</v>
      </c>
      <c r="K243" s="3">
        <v>0.33242772978417667</v>
      </c>
    </row>
    <row r="244" spans="1:13" x14ac:dyDescent="0.45">
      <c r="A244" t="s">
        <v>667</v>
      </c>
      <c r="B244">
        <v>1</v>
      </c>
      <c r="C244" t="s">
        <v>1751</v>
      </c>
      <c r="D244" t="s">
        <v>666</v>
      </c>
      <c r="E244" t="s">
        <v>664</v>
      </c>
      <c r="F244" s="3">
        <v>20.162987270449069</v>
      </c>
      <c r="G244" s="3">
        <v>20.418106789099109</v>
      </c>
      <c r="H244" t="s">
        <v>73</v>
      </c>
      <c r="I244" t="s">
        <v>667</v>
      </c>
      <c r="J244" s="3">
        <v>9.2296197480439588</v>
      </c>
      <c r="K244" s="3">
        <v>1.265286315108378</v>
      </c>
    </row>
    <row r="245" spans="1:13" x14ac:dyDescent="0.45">
      <c r="A245" t="s">
        <v>2100</v>
      </c>
      <c r="B245">
        <v>1</v>
      </c>
      <c r="C245" t="s">
        <v>1774</v>
      </c>
      <c r="G245" s="3">
        <v>67.861726729634199</v>
      </c>
      <c r="H245" t="s">
        <v>1755</v>
      </c>
      <c r="I245" t="s">
        <v>2100</v>
      </c>
      <c r="M245" t="s">
        <v>1757</v>
      </c>
    </row>
    <row r="246" spans="1:13" x14ac:dyDescent="0.45">
      <c r="A246" t="s">
        <v>327</v>
      </c>
      <c r="B246">
        <v>1</v>
      </c>
      <c r="C246" t="s">
        <v>1751</v>
      </c>
      <c r="D246" t="s">
        <v>326</v>
      </c>
      <c r="E246" t="s">
        <v>324</v>
      </c>
      <c r="F246" s="3">
        <v>14.57364542551724</v>
      </c>
      <c r="G246" s="3">
        <v>14.58245164771559</v>
      </c>
      <c r="H246" t="s">
        <v>47</v>
      </c>
      <c r="I246" t="s">
        <v>2101</v>
      </c>
      <c r="J246" s="3">
        <v>36.644817944792727</v>
      </c>
      <c r="K246" s="3">
        <v>6.0425665241812872E-2</v>
      </c>
    </row>
    <row r="247" spans="1:13" x14ac:dyDescent="0.45">
      <c r="A247" t="s">
        <v>2102</v>
      </c>
      <c r="B247">
        <v>1</v>
      </c>
      <c r="C247" t="s">
        <v>1774</v>
      </c>
      <c r="G247" s="3">
        <v>77.898863097489269</v>
      </c>
      <c r="H247" t="s">
        <v>1755</v>
      </c>
      <c r="I247" t="s">
        <v>2102</v>
      </c>
      <c r="M247" t="s">
        <v>1757</v>
      </c>
    </row>
    <row r="248" spans="1:13" x14ac:dyDescent="0.45">
      <c r="A248" t="s">
        <v>2103</v>
      </c>
      <c r="B248">
        <v>1</v>
      </c>
      <c r="C248" t="s">
        <v>1761</v>
      </c>
      <c r="D248" t="s">
        <v>2104</v>
      </c>
      <c r="E248" t="s">
        <v>2105</v>
      </c>
      <c r="F248" s="3">
        <v>38.944049968512303</v>
      </c>
      <c r="G248" s="3">
        <v>38.915348207273233</v>
      </c>
      <c r="H248" t="s">
        <v>73</v>
      </c>
      <c r="I248" t="s">
        <v>2103</v>
      </c>
      <c r="J248" s="3">
        <v>4.0308274924475649</v>
      </c>
      <c r="K248" s="3">
        <v>7.3699990787507913E-2</v>
      </c>
    </row>
    <row r="249" spans="1:13" x14ac:dyDescent="0.45">
      <c r="A249" t="s">
        <v>2106</v>
      </c>
      <c r="B249">
        <v>1</v>
      </c>
      <c r="C249" t="s">
        <v>1774</v>
      </c>
      <c r="G249" s="3">
        <v>99.870061325999956</v>
      </c>
      <c r="H249" t="s">
        <v>1755</v>
      </c>
      <c r="I249" t="s">
        <v>2106</v>
      </c>
      <c r="M249" t="s">
        <v>1757</v>
      </c>
    </row>
    <row r="250" spans="1:13" x14ac:dyDescent="0.45">
      <c r="A250" t="s">
        <v>2107</v>
      </c>
      <c r="B250">
        <v>1</v>
      </c>
      <c r="C250" t="s">
        <v>1761</v>
      </c>
      <c r="D250" t="s">
        <v>2108</v>
      </c>
      <c r="E250" t="s">
        <v>2107</v>
      </c>
      <c r="F250" s="3">
        <v>66.251492692846639</v>
      </c>
      <c r="G250" s="3">
        <v>66.901522353636111</v>
      </c>
      <c r="H250" t="s">
        <v>73</v>
      </c>
      <c r="I250" t="s">
        <v>2107</v>
      </c>
      <c r="J250" s="3">
        <v>4.5475866278847779</v>
      </c>
      <c r="K250" s="3">
        <v>0.98115473986846191</v>
      </c>
    </row>
    <row r="251" spans="1:13" x14ac:dyDescent="0.45">
      <c r="A251" t="s">
        <v>2109</v>
      </c>
      <c r="B251">
        <v>1</v>
      </c>
      <c r="C251" t="s">
        <v>1761</v>
      </c>
      <c r="D251" t="s">
        <v>2110</v>
      </c>
      <c r="E251" t="s">
        <v>2109</v>
      </c>
      <c r="F251" s="3">
        <v>48.79658182657969</v>
      </c>
      <c r="G251" s="3">
        <v>51.92768305266042</v>
      </c>
      <c r="H251" t="s">
        <v>73</v>
      </c>
      <c r="I251" t="s">
        <v>2109</v>
      </c>
      <c r="J251" s="3">
        <v>10.6102203782883</v>
      </c>
      <c r="K251" s="3">
        <v>6.4166404876646714</v>
      </c>
    </row>
    <row r="252" spans="1:13" x14ac:dyDescent="0.45">
      <c r="A252" t="s">
        <v>2111</v>
      </c>
      <c r="B252">
        <v>3</v>
      </c>
      <c r="C252" t="s">
        <v>1761</v>
      </c>
      <c r="D252" t="s">
        <v>2112</v>
      </c>
      <c r="E252" t="s">
        <v>2111</v>
      </c>
      <c r="F252" s="3">
        <v>98.895179913004611</v>
      </c>
      <c r="G252" s="3">
        <v>96.741243194563239</v>
      </c>
      <c r="H252" t="s">
        <v>73</v>
      </c>
      <c r="I252" t="s">
        <v>2111</v>
      </c>
      <c r="J252" s="3">
        <v>6.7109643867115683</v>
      </c>
      <c r="K252" s="3">
        <v>2.1779996965839281</v>
      </c>
    </row>
    <row r="253" spans="1:13" x14ac:dyDescent="0.45">
      <c r="A253" t="s">
        <v>2113</v>
      </c>
      <c r="B253">
        <v>1</v>
      </c>
      <c r="C253" t="s">
        <v>1774</v>
      </c>
      <c r="G253" s="3">
        <v>2136.3666743737722</v>
      </c>
      <c r="H253" t="s">
        <v>1755</v>
      </c>
      <c r="I253" t="s">
        <v>2113</v>
      </c>
      <c r="M253" t="s">
        <v>1757</v>
      </c>
    </row>
    <row r="254" spans="1:13" x14ac:dyDescent="0.45">
      <c r="A254" t="s">
        <v>2114</v>
      </c>
      <c r="B254">
        <v>1</v>
      </c>
      <c r="C254" t="s">
        <v>1774</v>
      </c>
      <c r="G254" s="3">
        <v>493.04733463062382</v>
      </c>
      <c r="H254" t="s">
        <v>1755</v>
      </c>
      <c r="I254" t="s">
        <v>2114</v>
      </c>
      <c r="M254" t="s">
        <v>1757</v>
      </c>
    </row>
    <row r="255" spans="1:13" x14ac:dyDescent="0.45">
      <c r="A255" t="s">
        <v>2115</v>
      </c>
      <c r="B255">
        <v>1</v>
      </c>
      <c r="C255" t="s">
        <v>1774</v>
      </c>
      <c r="G255" s="3">
        <v>353.87966982266647</v>
      </c>
      <c r="H255" t="s">
        <v>1755</v>
      </c>
      <c r="I255" t="s">
        <v>2115</v>
      </c>
      <c r="M255" t="s">
        <v>1757</v>
      </c>
    </row>
    <row r="256" spans="1:13" x14ac:dyDescent="0.45">
      <c r="A256" t="s">
        <v>2116</v>
      </c>
      <c r="B256">
        <v>1</v>
      </c>
      <c r="C256" t="s">
        <v>1774</v>
      </c>
      <c r="G256" s="3">
        <v>155.0876837606892</v>
      </c>
      <c r="H256" t="s">
        <v>1755</v>
      </c>
      <c r="I256" t="s">
        <v>2116</v>
      </c>
      <c r="M256" t="s">
        <v>1757</v>
      </c>
    </row>
    <row r="257" spans="1:13" x14ac:dyDescent="0.45">
      <c r="A257" t="s">
        <v>2117</v>
      </c>
      <c r="B257">
        <v>1</v>
      </c>
      <c r="C257" t="s">
        <v>1774</v>
      </c>
      <c r="G257" s="3">
        <v>1186.1002832047091</v>
      </c>
      <c r="H257" t="s">
        <v>1755</v>
      </c>
      <c r="I257" t="s">
        <v>2117</v>
      </c>
      <c r="M257" t="s">
        <v>1757</v>
      </c>
    </row>
    <row r="258" spans="1:13" x14ac:dyDescent="0.45">
      <c r="A258" t="s">
        <v>2118</v>
      </c>
      <c r="B258">
        <v>1</v>
      </c>
      <c r="C258" t="s">
        <v>1774</v>
      </c>
      <c r="G258" s="3">
        <v>682.41372753296491</v>
      </c>
      <c r="H258" t="s">
        <v>1755</v>
      </c>
      <c r="I258" t="s">
        <v>2118</v>
      </c>
      <c r="M258" t="s">
        <v>1757</v>
      </c>
    </row>
    <row r="259" spans="1:13" x14ac:dyDescent="0.45">
      <c r="A259" t="s">
        <v>2119</v>
      </c>
      <c r="B259">
        <v>1</v>
      </c>
      <c r="C259" t="s">
        <v>1774</v>
      </c>
      <c r="G259" s="3">
        <v>239.6691648812168</v>
      </c>
      <c r="H259" t="s">
        <v>1755</v>
      </c>
      <c r="I259" t="s">
        <v>2119</v>
      </c>
      <c r="M259" t="s">
        <v>1757</v>
      </c>
    </row>
    <row r="260" spans="1:13" x14ac:dyDescent="0.45">
      <c r="A260" t="s">
        <v>2120</v>
      </c>
      <c r="B260">
        <v>1</v>
      </c>
      <c r="C260" t="s">
        <v>1774</v>
      </c>
      <c r="G260" s="3">
        <v>134.31543637666519</v>
      </c>
      <c r="H260" t="s">
        <v>1755</v>
      </c>
      <c r="I260" t="s">
        <v>2120</v>
      </c>
      <c r="M260" t="s">
        <v>1757</v>
      </c>
    </row>
    <row r="261" spans="1:13" x14ac:dyDescent="0.45">
      <c r="A261" t="s">
        <v>2121</v>
      </c>
      <c r="B261">
        <v>1</v>
      </c>
      <c r="C261" t="s">
        <v>1774</v>
      </c>
      <c r="G261" s="3">
        <v>4142.1859970026399</v>
      </c>
      <c r="H261" t="s">
        <v>1755</v>
      </c>
      <c r="I261" t="s">
        <v>2121</v>
      </c>
      <c r="M261" t="s">
        <v>1757</v>
      </c>
    </row>
    <row r="262" spans="1:13" x14ac:dyDescent="0.45">
      <c r="A262" t="s">
        <v>2122</v>
      </c>
      <c r="B262">
        <v>1</v>
      </c>
      <c r="C262" t="s">
        <v>1774</v>
      </c>
      <c r="G262" s="3">
        <v>14122.57115513499</v>
      </c>
      <c r="H262" t="s">
        <v>1755</v>
      </c>
      <c r="I262" t="s">
        <v>2122</v>
      </c>
      <c r="M262" t="s">
        <v>1757</v>
      </c>
    </row>
    <row r="263" spans="1:13" x14ac:dyDescent="0.45">
      <c r="A263" t="s">
        <v>2123</v>
      </c>
      <c r="B263">
        <v>1</v>
      </c>
      <c r="C263" t="s">
        <v>1761</v>
      </c>
      <c r="D263" t="s">
        <v>2124</v>
      </c>
      <c r="E263" t="s">
        <v>2123</v>
      </c>
      <c r="F263" s="3">
        <v>49.238523718385878</v>
      </c>
      <c r="G263" s="3">
        <v>48.775055505650379</v>
      </c>
      <c r="H263" t="s">
        <v>73</v>
      </c>
      <c r="I263" t="s">
        <v>2123</v>
      </c>
      <c r="J263" s="3">
        <v>25.665682874590459</v>
      </c>
      <c r="K263" s="3">
        <v>0.94127154458620488</v>
      </c>
    </row>
    <row r="264" spans="1:13" x14ac:dyDescent="0.45">
      <c r="A264" t="s">
        <v>2125</v>
      </c>
      <c r="B264">
        <v>1</v>
      </c>
      <c r="C264" t="s">
        <v>1761</v>
      </c>
      <c r="D264" t="s">
        <v>2126</v>
      </c>
      <c r="E264" t="s">
        <v>2125</v>
      </c>
      <c r="F264" s="3">
        <v>38.393824159304152</v>
      </c>
      <c r="G264" s="3">
        <v>38.918283614672681</v>
      </c>
      <c r="H264" t="s">
        <v>73</v>
      </c>
      <c r="I264" t="s">
        <v>2125</v>
      </c>
      <c r="J264" s="3">
        <v>2.4440302209659488</v>
      </c>
      <c r="K264" s="3">
        <v>1.365999524278773</v>
      </c>
    </row>
    <row r="265" spans="1:13" x14ac:dyDescent="0.45">
      <c r="A265" t="s">
        <v>2127</v>
      </c>
      <c r="B265">
        <v>1</v>
      </c>
      <c r="C265" t="s">
        <v>1761</v>
      </c>
      <c r="D265" t="s">
        <v>2128</v>
      </c>
      <c r="E265" t="s">
        <v>2127</v>
      </c>
      <c r="F265" s="3">
        <v>32.48582753334307</v>
      </c>
      <c r="G265" s="3">
        <v>32.135535583675278</v>
      </c>
      <c r="H265" t="s">
        <v>73</v>
      </c>
      <c r="I265" t="s">
        <v>2127</v>
      </c>
      <c r="J265" s="3">
        <v>14.83386458899135</v>
      </c>
      <c r="K265" s="3">
        <v>1.078291600570271</v>
      </c>
    </row>
    <row r="266" spans="1:13" x14ac:dyDescent="0.45">
      <c r="A266" t="s">
        <v>1021</v>
      </c>
      <c r="B266">
        <v>1</v>
      </c>
      <c r="C266" t="s">
        <v>1751</v>
      </c>
      <c r="D266" t="s">
        <v>1023</v>
      </c>
      <c r="E266" t="s">
        <v>1021</v>
      </c>
      <c r="F266" s="3">
        <v>26.373004702175869</v>
      </c>
      <c r="G266" s="3">
        <v>26.605488968212359</v>
      </c>
      <c r="H266" t="s">
        <v>73</v>
      </c>
      <c r="I266" t="s">
        <v>1021</v>
      </c>
      <c r="J266" s="3">
        <v>21.25470175609949</v>
      </c>
      <c r="K266" s="3">
        <v>0.88152362107345761</v>
      </c>
    </row>
    <row r="267" spans="1:13" x14ac:dyDescent="0.45">
      <c r="A267" t="s">
        <v>198</v>
      </c>
      <c r="B267">
        <v>1</v>
      </c>
      <c r="C267" t="s">
        <v>1751</v>
      </c>
      <c r="D267" t="s">
        <v>163</v>
      </c>
      <c r="E267" t="s">
        <v>196</v>
      </c>
      <c r="F267" s="3">
        <v>11.640847277088289</v>
      </c>
      <c r="G267" s="3">
        <v>11.485270684917401</v>
      </c>
      <c r="H267" t="s">
        <v>73</v>
      </c>
      <c r="I267" t="s">
        <v>198</v>
      </c>
      <c r="J267" s="3">
        <v>37.998398882554191</v>
      </c>
      <c r="K267" s="3">
        <v>1.336471379339337</v>
      </c>
    </row>
    <row r="268" spans="1:13" x14ac:dyDescent="0.45">
      <c r="A268" t="s">
        <v>158</v>
      </c>
      <c r="B268">
        <v>1</v>
      </c>
      <c r="C268" t="s">
        <v>1751</v>
      </c>
      <c r="D268" t="s">
        <v>157</v>
      </c>
      <c r="E268" t="s">
        <v>154</v>
      </c>
      <c r="F268" s="3">
        <v>11.2670720682249</v>
      </c>
      <c r="G268" s="3">
        <v>22.316783741648031</v>
      </c>
      <c r="H268" t="s">
        <v>73</v>
      </c>
      <c r="I268" t="s">
        <v>158</v>
      </c>
      <c r="J268" s="3">
        <v>6.2036936055562952</v>
      </c>
      <c r="K268" s="3">
        <v>98.07083514256766</v>
      </c>
      <c r="M268" t="s">
        <v>1752</v>
      </c>
    </row>
    <row r="269" spans="1:13" x14ac:dyDescent="0.45">
      <c r="A269" t="s">
        <v>2129</v>
      </c>
      <c r="B269">
        <v>1</v>
      </c>
      <c r="C269" t="s">
        <v>1761</v>
      </c>
      <c r="D269" t="s">
        <v>2130</v>
      </c>
      <c r="E269" t="s">
        <v>2131</v>
      </c>
      <c r="F269" s="3">
        <v>37.793370267927642</v>
      </c>
      <c r="G269" s="3">
        <v>39.823693719214361</v>
      </c>
      <c r="H269" t="s">
        <v>73</v>
      </c>
      <c r="I269" t="s">
        <v>2129</v>
      </c>
      <c r="J269" s="3">
        <v>20.237115273709922</v>
      </c>
      <c r="K269" s="3">
        <v>5.3721682847896481</v>
      </c>
    </row>
    <row r="270" spans="1:13" x14ac:dyDescent="0.45">
      <c r="A270" t="s">
        <v>1076</v>
      </c>
      <c r="B270">
        <v>1</v>
      </c>
      <c r="C270" t="s">
        <v>1751</v>
      </c>
      <c r="D270" t="s">
        <v>1075</v>
      </c>
      <c r="E270" t="s">
        <v>1073</v>
      </c>
      <c r="F270" s="3">
        <v>26.86419620701728</v>
      </c>
      <c r="G270" s="3">
        <v>26.854607209512409</v>
      </c>
      <c r="H270" t="s">
        <v>73</v>
      </c>
      <c r="I270" t="s">
        <v>1076</v>
      </c>
      <c r="J270" s="3">
        <v>38.021487812466901</v>
      </c>
      <c r="K270" s="3">
        <v>3.5694339897516372E-2</v>
      </c>
    </row>
    <row r="271" spans="1:13" x14ac:dyDescent="0.45">
      <c r="A271" t="s">
        <v>2132</v>
      </c>
      <c r="B271">
        <v>1</v>
      </c>
      <c r="C271" t="s">
        <v>1774</v>
      </c>
      <c r="G271" s="3">
        <v>518.52014773030146</v>
      </c>
      <c r="H271" t="s">
        <v>1755</v>
      </c>
      <c r="I271" t="s">
        <v>2132</v>
      </c>
      <c r="M271" t="s">
        <v>1757</v>
      </c>
    </row>
    <row r="272" spans="1:13" x14ac:dyDescent="0.45">
      <c r="A272" t="s">
        <v>2133</v>
      </c>
      <c r="B272">
        <v>2</v>
      </c>
      <c r="C272" t="s">
        <v>1774</v>
      </c>
      <c r="G272" s="3">
        <v>123.17197757559499</v>
      </c>
      <c r="H272" t="s">
        <v>1755</v>
      </c>
      <c r="I272" t="s">
        <v>2133</v>
      </c>
      <c r="M272" t="s">
        <v>1757</v>
      </c>
    </row>
    <row r="273" spans="1:13" x14ac:dyDescent="0.45">
      <c r="A273" t="s">
        <v>2134</v>
      </c>
      <c r="B273">
        <v>1</v>
      </c>
      <c r="C273" t="s">
        <v>1774</v>
      </c>
      <c r="G273" s="3">
        <v>465.59149075442832</v>
      </c>
      <c r="H273" t="s">
        <v>1755</v>
      </c>
      <c r="I273" t="s">
        <v>2134</v>
      </c>
      <c r="M273" t="s">
        <v>1757</v>
      </c>
    </row>
    <row r="274" spans="1:13" x14ac:dyDescent="0.45">
      <c r="A274" t="s">
        <v>2135</v>
      </c>
      <c r="B274">
        <v>2</v>
      </c>
      <c r="C274" t="s">
        <v>1774</v>
      </c>
      <c r="G274" s="3">
        <v>804.9865558426942</v>
      </c>
      <c r="H274" t="s">
        <v>1755</v>
      </c>
      <c r="I274" t="s">
        <v>2135</v>
      </c>
      <c r="M274" t="s">
        <v>1757</v>
      </c>
    </row>
    <row r="275" spans="1:13" x14ac:dyDescent="0.45">
      <c r="A275" t="s">
        <v>2136</v>
      </c>
      <c r="B275">
        <v>1</v>
      </c>
      <c r="C275" t="s">
        <v>1774</v>
      </c>
      <c r="G275" s="3">
        <v>726.22957531543227</v>
      </c>
      <c r="H275" t="s">
        <v>1755</v>
      </c>
      <c r="I275" t="s">
        <v>2136</v>
      </c>
      <c r="M275" t="s">
        <v>1757</v>
      </c>
    </row>
    <row r="276" spans="1:13" x14ac:dyDescent="0.45">
      <c r="A276" t="s">
        <v>2137</v>
      </c>
      <c r="B276">
        <v>1</v>
      </c>
      <c r="C276" t="s">
        <v>1774</v>
      </c>
      <c r="G276" s="3">
        <v>627.90321212516551</v>
      </c>
      <c r="H276" t="s">
        <v>1755</v>
      </c>
      <c r="I276" t="s">
        <v>2137</v>
      </c>
      <c r="M276" t="s">
        <v>1757</v>
      </c>
    </row>
    <row r="277" spans="1:13" x14ac:dyDescent="0.45">
      <c r="A277" t="s">
        <v>2138</v>
      </c>
      <c r="B277">
        <v>1</v>
      </c>
      <c r="C277" t="s">
        <v>1774</v>
      </c>
      <c r="G277" s="3">
        <v>739.19102976589556</v>
      </c>
      <c r="H277" t="s">
        <v>1755</v>
      </c>
      <c r="I277" t="s">
        <v>2138</v>
      </c>
      <c r="M277" t="s">
        <v>1757</v>
      </c>
    </row>
    <row r="278" spans="1:13" x14ac:dyDescent="0.45">
      <c r="A278" t="s">
        <v>2139</v>
      </c>
      <c r="B278">
        <v>2</v>
      </c>
      <c r="C278" t="s">
        <v>1774</v>
      </c>
      <c r="G278" s="3">
        <v>301.31337258243673</v>
      </c>
      <c r="H278" t="s">
        <v>1755</v>
      </c>
      <c r="I278" t="s">
        <v>2139</v>
      </c>
      <c r="M278" t="s">
        <v>1757</v>
      </c>
    </row>
    <row r="279" spans="1:13" x14ac:dyDescent="0.45">
      <c r="A279" t="s">
        <v>2140</v>
      </c>
      <c r="B279">
        <v>1</v>
      </c>
      <c r="C279" t="s">
        <v>1774</v>
      </c>
      <c r="G279" s="3">
        <v>526.41639363482375</v>
      </c>
      <c r="H279" t="s">
        <v>1755</v>
      </c>
      <c r="I279" t="s">
        <v>2140</v>
      </c>
      <c r="M279" t="s">
        <v>1757</v>
      </c>
    </row>
    <row r="280" spans="1:13" x14ac:dyDescent="0.45">
      <c r="A280" t="s">
        <v>2141</v>
      </c>
      <c r="B280">
        <v>1</v>
      </c>
      <c r="C280" t="s">
        <v>1774</v>
      </c>
      <c r="G280" s="3">
        <v>659.09028496244059</v>
      </c>
      <c r="H280" t="s">
        <v>1755</v>
      </c>
      <c r="I280" t="s">
        <v>2141</v>
      </c>
      <c r="M280" t="s">
        <v>1757</v>
      </c>
    </row>
    <row r="281" spans="1:13" x14ac:dyDescent="0.45">
      <c r="A281" t="s">
        <v>2142</v>
      </c>
      <c r="B281">
        <v>2</v>
      </c>
      <c r="C281" t="s">
        <v>1774</v>
      </c>
      <c r="G281" s="3">
        <v>416.7430500637916</v>
      </c>
      <c r="H281" t="s">
        <v>1755</v>
      </c>
      <c r="I281" t="s">
        <v>2142</v>
      </c>
      <c r="M281" t="s">
        <v>1757</v>
      </c>
    </row>
    <row r="282" spans="1:13" x14ac:dyDescent="0.45">
      <c r="A282" t="s">
        <v>2143</v>
      </c>
      <c r="B282">
        <v>1</v>
      </c>
      <c r="C282" t="s">
        <v>1774</v>
      </c>
      <c r="G282" s="3">
        <v>231.6930106641538</v>
      </c>
      <c r="H282" t="s">
        <v>1755</v>
      </c>
      <c r="I282" t="s">
        <v>2143</v>
      </c>
      <c r="M282" t="s">
        <v>1757</v>
      </c>
    </row>
    <row r="283" spans="1:13" x14ac:dyDescent="0.45">
      <c r="A283" t="s">
        <v>2144</v>
      </c>
      <c r="B283">
        <v>1</v>
      </c>
      <c r="C283" t="s">
        <v>1774</v>
      </c>
      <c r="G283" s="3">
        <v>904.35988100543159</v>
      </c>
      <c r="H283" t="s">
        <v>1755</v>
      </c>
      <c r="I283" t="s">
        <v>2144</v>
      </c>
      <c r="M283" t="s">
        <v>1757</v>
      </c>
    </row>
    <row r="284" spans="1:13" x14ac:dyDescent="0.45">
      <c r="A284" t="s">
        <v>2145</v>
      </c>
      <c r="B284">
        <v>1</v>
      </c>
      <c r="C284" t="s">
        <v>1774</v>
      </c>
      <c r="G284" s="3">
        <v>266.68078377096202</v>
      </c>
      <c r="H284" t="s">
        <v>1755</v>
      </c>
      <c r="I284" t="s">
        <v>2145</v>
      </c>
      <c r="M284" t="s">
        <v>1757</v>
      </c>
    </row>
    <row r="285" spans="1:13" x14ac:dyDescent="0.45">
      <c r="A285" t="s">
        <v>2146</v>
      </c>
      <c r="B285">
        <v>1</v>
      </c>
      <c r="C285" t="s">
        <v>1774</v>
      </c>
      <c r="G285" s="3">
        <v>1189.860866239783</v>
      </c>
      <c r="H285" t="s">
        <v>1755</v>
      </c>
      <c r="I285" t="s">
        <v>2146</v>
      </c>
      <c r="M285" t="s">
        <v>1757</v>
      </c>
    </row>
    <row r="286" spans="1:13" x14ac:dyDescent="0.45">
      <c r="A286" t="s">
        <v>2147</v>
      </c>
      <c r="B286">
        <v>1</v>
      </c>
      <c r="C286" t="s">
        <v>1774</v>
      </c>
      <c r="G286" s="3">
        <v>1354.6709454638301</v>
      </c>
      <c r="H286" t="s">
        <v>1755</v>
      </c>
      <c r="I286" t="s">
        <v>2147</v>
      </c>
      <c r="M286" t="s">
        <v>1757</v>
      </c>
    </row>
    <row r="287" spans="1:13" x14ac:dyDescent="0.45">
      <c r="A287" t="s">
        <v>2148</v>
      </c>
      <c r="B287">
        <v>1</v>
      </c>
      <c r="C287" t="s">
        <v>1774</v>
      </c>
      <c r="G287" s="3">
        <v>979.72157364066231</v>
      </c>
      <c r="H287" t="s">
        <v>1755</v>
      </c>
      <c r="I287" t="s">
        <v>2148</v>
      </c>
      <c r="M287" t="s">
        <v>1757</v>
      </c>
    </row>
    <row r="288" spans="1:13" x14ac:dyDescent="0.45">
      <c r="A288" t="s">
        <v>2149</v>
      </c>
      <c r="B288">
        <v>1</v>
      </c>
      <c r="C288" t="s">
        <v>1774</v>
      </c>
      <c r="G288" s="3">
        <v>462.61042146209718</v>
      </c>
      <c r="H288" t="s">
        <v>1755</v>
      </c>
      <c r="I288" t="s">
        <v>2149</v>
      </c>
      <c r="M288" t="s">
        <v>1757</v>
      </c>
    </row>
    <row r="289" spans="1:13" x14ac:dyDescent="0.45">
      <c r="A289" t="s">
        <v>2150</v>
      </c>
      <c r="B289">
        <v>1</v>
      </c>
      <c r="C289" t="s">
        <v>1774</v>
      </c>
      <c r="G289" s="3">
        <v>649.61544218976917</v>
      </c>
      <c r="H289" t="s">
        <v>1755</v>
      </c>
      <c r="I289" t="s">
        <v>2150</v>
      </c>
      <c r="M289" t="s">
        <v>1757</v>
      </c>
    </row>
    <row r="290" spans="1:13" x14ac:dyDescent="0.45">
      <c r="A290" t="s">
        <v>2151</v>
      </c>
      <c r="B290">
        <v>1</v>
      </c>
      <c r="C290" t="s">
        <v>1774</v>
      </c>
      <c r="G290" s="3">
        <v>1308.927513489057</v>
      </c>
      <c r="H290" t="s">
        <v>1755</v>
      </c>
      <c r="I290" t="s">
        <v>2151</v>
      </c>
      <c r="M290" t="s">
        <v>1757</v>
      </c>
    </row>
    <row r="291" spans="1:13" x14ac:dyDescent="0.45">
      <c r="A291" t="s">
        <v>2152</v>
      </c>
      <c r="B291">
        <v>1</v>
      </c>
      <c r="C291" t="s">
        <v>1774</v>
      </c>
      <c r="G291" s="3">
        <v>1022.748122989055</v>
      </c>
      <c r="H291" t="s">
        <v>1755</v>
      </c>
      <c r="I291" t="s">
        <v>2152</v>
      </c>
      <c r="M291" t="s">
        <v>1757</v>
      </c>
    </row>
    <row r="292" spans="1:13" x14ac:dyDescent="0.45">
      <c r="A292" t="s">
        <v>2153</v>
      </c>
      <c r="B292">
        <v>1</v>
      </c>
      <c r="C292" t="s">
        <v>1774</v>
      </c>
      <c r="G292" s="3">
        <v>438.8564524729868</v>
      </c>
      <c r="H292" t="s">
        <v>1755</v>
      </c>
      <c r="I292" t="s">
        <v>2153</v>
      </c>
      <c r="M292" t="s">
        <v>1757</v>
      </c>
    </row>
    <row r="293" spans="1:13" x14ac:dyDescent="0.45">
      <c r="A293" t="s">
        <v>2154</v>
      </c>
      <c r="B293">
        <v>1</v>
      </c>
      <c r="C293" t="s">
        <v>1774</v>
      </c>
      <c r="G293" s="3">
        <v>697.92572485717324</v>
      </c>
      <c r="H293" t="s">
        <v>1755</v>
      </c>
      <c r="I293" t="s">
        <v>2154</v>
      </c>
      <c r="M293" t="s">
        <v>1757</v>
      </c>
    </row>
    <row r="294" spans="1:13" x14ac:dyDescent="0.45">
      <c r="A294" t="s">
        <v>2155</v>
      </c>
      <c r="B294">
        <v>1</v>
      </c>
      <c r="C294" t="s">
        <v>1774</v>
      </c>
      <c r="G294" s="3">
        <v>1122.1410175344549</v>
      </c>
      <c r="H294" t="s">
        <v>1755</v>
      </c>
      <c r="I294" t="s">
        <v>2155</v>
      </c>
      <c r="M294" t="s">
        <v>1757</v>
      </c>
    </row>
    <row r="295" spans="1:13" x14ac:dyDescent="0.45">
      <c r="A295" t="s">
        <v>2156</v>
      </c>
      <c r="B295">
        <v>1</v>
      </c>
      <c r="C295" t="s">
        <v>1774</v>
      </c>
      <c r="G295" s="3">
        <v>943.26055217570752</v>
      </c>
      <c r="H295" t="s">
        <v>1755</v>
      </c>
      <c r="I295" t="s">
        <v>2156</v>
      </c>
      <c r="M295" t="s">
        <v>1757</v>
      </c>
    </row>
    <row r="296" spans="1:13" x14ac:dyDescent="0.45">
      <c r="A296" t="s">
        <v>2157</v>
      </c>
      <c r="B296">
        <v>1</v>
      </c>
      <c r="C296" t="s">
        <v>1774</v>
      </c>
      <c r="G296" s="3">
        <v>1291.9380277737921</v>
      </c>
      <c r="H296" t="s">
        <v>1755</v>
      </c>
      <c r="I296" t="s">
        <v>2157</v>
      </c>
      <c r="M296" t="s">
        <v>1757</v>
      </c>
    </row>
    <row r="297" spans="1:13" x14ac:dyDescent="0.45">
      <c r="A297" t="s">
        <v>2158</v>
      </c>
      <c r="B297">
        <v>1</v>
      </c>
      <c r="C297" t="s">
        <v>1774</v>
      </c>
      <c r="G297" s="3">
        <v>813.18938874227024</v>
      </c>
      <c r="H297" t="s">
        <v>1755</v>
      </c>
      <c r="I297" t="s">
        <v>2158</v>
      </c>
      <c r="M297" t="s">
        <v>1757</v>
      </c>
    </row>
    <row r="298" spans="1:13" x14ac:dyDescent="0.45">
      <c r="A298" t="s">
        <v>2159</v>
      </c>
      <c r="B298">
        <v>1</v>
      </c>
      <c r="C298" t="s">
        <v>1774</v>
      </c>
      <c r="G298" s="3">
        <v>1653.4986802916881</v>
      </c>
      <c r="H298" t="s">
        <v>1755</v>
      </c>
      <c r="I298" t="s">
        <v>2159</v>
      </c>
      <c r="M298" t="s">
        <v>1757</v>
      </c>
    </row>
    <row r="299" spans="1:13" x14ac:dyDescent="0.45">
      <c r="A299" t="s">
        <v>2160</v>
      </c>
      <c r="B299">
        <v>1</v>
      </c>
      <c r="C299" t="s">
        <v>1774</v>
      </c>
      <c r="G299" s="3">
        <v>960.26634570985846</v>
      </c>
      <c r="H299" t="s">
        <v>1755</v>
      </c>
      <c r="I299" t="s">
        <v>2160</v>
      </c>
      <c r="M299" t="s">
        <v>1757</v>
      </c>
    </row>
    <row r="300" spans="1:13" x14ac:dyDescent="0.45">
      <c r="A300" t="s">
        <v>2161</v>
      </c>
      <c r="B300">
        <v>1</v>
      </c>
      <c r="C300" t="s">
        <v>1774</v>
      </c>
      <c r="G300" s="3">
        <v>1273.947241978937</v>
      </c>
      <c r="H300" t="s">
        <v>1755</v>
      </c>
      <c r="I300" t="s">
        <v>2161</v>
      </c>
      <c r="M300" t="s">
        <v>1757</v>
      </c>
    </row>
    <row r="301" spans="1:13" x14ac:dyDescent="0.45">
      <c r="A301" t="s">
        <v>2162</v>
      </c>
      <c r="B301">
        <v>1</v>
      </c>
      <c r="C301" t="s">
        <v>1774</v>
      </c>
      <c r="G301" s="3">
        <v>832.37064531579199</v>
      </c>
      <c r="H301" t="s">
        <v>1755</v>
      </c>
      <c r="I301" t="s">
        <v>2162</v>
      </c>
      <c r="M301" t="s">
        <v>1757</v>
      </c>
    </row>
    <row r="302" spans="1:13" x14ac:dyDescent="0.45">
      <c r="A302" t="s">
        <v>2163</v>
      </c>
      <c r="B302">
        <v>1</v>
      </c>
      <c r="C302" t="s">
        <v>1774</v>
      </c>
      <c r="G302" s="3">
        <v>2273.3229989408101</v>
      </c>
      <c r="H302" t="s">
        <v>1755</v>
      </c>
      <c r="I302" t="s">
        <v>2163</v>
      </c>
      <c r="M302" t="s">
        <v>1757</v>
      </c>
    </row>
    <row r="303" spans="1:13" x14ac:dyDescent="0.45">
      <c r="A303" t="s">
        <v>2164</v>
      </c>
      <c r="B303">
        <v>1</v>
      </c>
      <c r="C303" t="s">
        <v>1774</v>
      </c>
      <c r="G303" s="3">
        <v>1045.171373957081</v>
      </c>
      <c r="H303" t="s">
        <v>1755</v>
      </c>
      <c r="I303" t="s">
        <v>2164</v>
      </c>
      <c r="M303" t="s">
        <v>1757</v>
      </c>
    </row>
    <row r="304" spans="1:13" x14ac:dyDescent="0.45">
      <c r="A304" t="s">
        <v>2165</v>
      </c>
      <c r="B304">
        <v>1</v>
      </c>
      <c r="C304" t="s">
        <v>1774</v>
      </c>
      <c r="G304" s="3">
        <v>1514.895266017181</v>
      </c>
      <c r="H304" t="s">
        <v>1755</v>
      </c>
      <c r="I304" t="s">
        <v>2165</v>
      </c>
      <c r="M304" t="s">
        <v>1757</v>
      </c>
    </row>
    <row r="305" spans="1:13" x14ac:dyDescent="0.45">
      <c r="A305" t="s">
        <v>2166</v>
      </c>
      <c r="B305">
        <v>1</v>
      </c>
      <c r="C305" t="s">
        <v>1774</v>
      </c>
      <c r="G305" s="3">
        <v>1135.6275837530429</v>
      </c>
      <c r="H305" t="s">
        <v>1755</v>
      </c>
      <c r="I305" t="s">
        <v>2166</v>
      </c>
      <c r="M305" t="s">
        <v>1757</v>
      </c>
    </row>
    <row r="306" spans="1:13" x14ac:dyDescent="0.45">
      <c r="A306" t="s">
        <v>2167</v>
      </c>
      <c r="B306">
        <v>1</v>
      </c>
      <c r="C306" t="s">
        <v>1774</v>
      </c>
      <c r="G306" s="3">
        <v>1321.709581931776</v>
      </c>
      <c r="H306" t="s">
        <v>1755</v>
      </c>
      <c r="I306" t="s">
        <v>2167</v>
      </c>
      <c r="M306" t="s">
        <v>1757</v>
      </c>
    </row>
    <row r="307" spans="1:13" x14ac:dyDescent="0.45">
      <c r="A307" t="s">
        <v>2168</v>
      </c>
      <c r="B307">
        <v>1</v>
      </c>
      <c r="C307" t="s">
        <v>1774</v>
      </c>
      <c r="G307" s="3">
        <v>1724.7964644605679</v>
      </c>
      <c r="H307" t="s">
        <v>1755</v>
      </c>
      <c r="I307" t="s">
        <v>2168</v>
      </c>
      <c r="M307" t="s">
        <v>1757</v>
      </c>
    </row>
    <row r="308" spans="1:13" x14ac:dyDescent="0.45">
      <c r="A308" t="s">
        <v>2169</v>
      </c>
      <c r="B308">
        <v>2</v>
      </c>
      <c r="C308" t="s">
        <v>1774</v>
      </c>
      <c r="G308" s="3">
        <v>1134.5349598876919</v>
      </c>
      <c r="H308" t="s">
        <v>1755</v>
      </c>
      <c r="I308" t="s">
        <v>2169</v>
      </c>
      <c r="M308" t="s">
        <v>1757</v>
      </c>
    </row>
    <row r="309" spans="1:13" x14ac:dyDescent="0.45">
      <c r="A309" t="s">
        <v>2170</v>
      </c>
      <c r="B309">
        <v>1</v>
      </c>
      <c r="C309" t="s">
        <v>1774</v>
      </c>
      <c r="G309" s="3">
        <v>974.03340641328225</v>
      </c>
      <c r="H309" t="s">
        <v>1755</v>
      </c>
      <c r="I309" t="s">
        <v>2170</v>
      </c>
      <c r="M309" t="s">
        <v>1757</v>
      </c>
    </row>
    <row r="310" spans="1:13" x14ac:dyDescent="0.45">
      <c r="A310" t="s">
        <v>2171</v>
      </c>
      <c r="B310">
        <v>1</v>
      </c>
      <c r="C310" t="s">
        <v>1774</v>
      </c>
      <c r="G310" s="3">
        <v>948.25400631855086</v>
      </c>
      <c r="H310" t="s">
        <v>1755</v>
      </c>
      <c r="I310" t="s">
        <v>2171</v>
      </c>
      <c r="M310" t="s">
        <v>1757</v>
      </c>
    </row>
    <row r="311" spans="1:13" x14ac:dyDescent="0.45">
      <c r="A311" t="s">
        <v>2172</v>
      </c>
      <c r="B311">
        <v>1</v>
      </c>
      <c r="C311" t="s">
        <v>1774</v>
      </c>
      <c r="G311" s="3">
        <v>920.07409528382425</v>
      </c>
      <c r="H311" t="s">
        <v>1755</v>
      </c>
      <c r="I311" t="s">
        <v>2172</v>
      </c>
      <c r="M311" t="s">
        <v>1757</v>
      </c>
    </row>
    <row r="312" spans="1:13" x14ac:dyDescent="0.45">
      <c r="A312" t="s">
        <v>2173</v>
      </c>
      <c r="B312">
        <v>1</v>
      </c>
      <c r="C312" t="s">
        <v>1774</v>
      </c>
      <c r="G312" s="3">
        <v>1142.692130894387</v>
      </c>
      <c r="H312" t="s">
        <v>1755</v>
      </c>
      <c r="I312" t="s">
        <v>2173</v>
      </c>
      <c r="M312" t="s">
        <v>1757</v>
      </c>
    </row>
    <row r="313" spans="1:13" x14ac:dyDescent="0.45">
      <c r="A313" t="s">
        <v>2174</v>
      </c>
      <c r="B313">
        <v>1</v>
      </c>
      <c r="C313" t="s">
        <v>1774</v>
      </c>
      <c r="G313" s="3">
        <v>989.34970991086061</v>
      </c>
      <c r="H313" t="s">
        <v>1755</v>
      </c>
      <c r="I313" t="s">
        <v>2174</v>
      </c>
      <c r="M313" t="s">
        <v>1757</v>
      </c>
    </row>
    <row r="314" spans="1:13" x14ac:dyDescent="0.45">
      <c r="A314" t="s">
        <v>2175</v>
      </c>
      <c r="B314">
        <v>1</v>
      </c>
      <c r="C314" t="s">
        <v>1774</v>
      </c>
      <c r="G314" s="3">
        <v>1681.199141451171</v>
      </c>
      <c r="H314" t="s">
        <v>1755</v>
      </c>
      <c r="I314" t="s">
        <v>2175</v>
      </c>
      <c r="M314" t="s">
        <v>1757</v>
      </c>
    </row>
    <row r="315" spans="1:13" x14ac:dyDescent="0.45">
      <c r="A315" t="s">
        <v>2176</v>
      </c>
      <c r="B315">
        <v>1</v>
      </c>
      <c r="C315" t="s">
        <v>1774</v>
      </c>
      <c r="G315" s="3">
        <v>1435.3783411298391</v>
      </c>
      <c r="H315" t="s">
        <v>1755</v>
      </c>
      <c r="I315" t="s">
        <v>2176</v>
      </c>
      <c r="M315" t="s">
        <v>1757</v>
      </c>
    </row>
    <row r="316" spans="1:13" x14ac:dyDescent="0.45">
      <c r="A316" t="s">
        <v>2177</v>
      </c>
      <c r="B316">
        <v>1</v>
      </c>
      <c r="C316" t="s">
        <v>1774</v>
      </c>
      <c r="G316" s="3">
        <v>1177.9300659429041</v>
      </c>
      <c r="H316" t="s">
        <v>1755</v>
      </c>
      <c r="I316" t="s">
        <v>2177</v>
      </c>
      <c r="M316" t="s">
        <v>1757</v>
      </c>
    </row>
    <row r="317" spans="1:13" x14ac:dyDescent="0.45">
      <c r="A317" t="s">
        <v>2178</v>
      </c>
      <c r="B317">
        <v>1</v>
      </c>
      <c r="C317" t="s">
        <v>1774</v>
      </c>
      <c r="G317" s="3">
        <v>2174.817249742799</v>
      </c>
      <c r="H317" t="s">
        <v>1755</v>
      </c>
      <c r="I317" t="s">
        <v>2178</v>
      </c>
      <c r="M317" t="s">
        <v>1757</v>
      </c>
    </row>
    <row r="318" spans="1:13" x14ac:dyDescent="0.45">
      <c r="A318" t="s">
        <v>2179</v>
      </c>
      <c r="B318">
        <v>1</v>
      </c>
      <c r="C318" t="s">
        <v>1774</v>
      </c>
      <c r="G318" s="3">
        <v>468.52689815387902</v>
      </c>
      <c r="H318" t="s">
        <v>1755</v>
      </c>
      <c r="I318" t="s">
        <v>2179</v>
      </c>
      <c r="M318" t="s">
        <v>1757</v>
      </c>
    </row>
    <row r="319" spans="1:13" x14ac:dyDescent="0.45">
      <c r="A319" t="s">
        <v>2180</v>
      </c>
      <c r="B319">
        <v>1</v>
      </c>
      <c r="C319" t="s">
        <v>1774</v>
      </c>
      <c r="G319" s="3">
        <v>1667.9245768780991</v>
      </c>
      <c r="H319" t="s">
        <v>1755</v>
      </c>
      <c r="I319" t="s">
        <v>2180</v>
      </c>
      <c r="M319" t="s">
        <v>1757</v>
      </c>
    </row>
    <row r="320" spans="1:13" x14ac:dyDescent="0.45">
      <c r="A320" t="s">
        <v>2181</v>
      </c>
      <c r="B320">
        <v>1</v>
      </c>
      <c r="C320" t="s">
        <v>1774</v>
      </c>
      <c r="G320" s="3">
        <v>1045.7845479471889</v>
      </c>
      <c r="H320" t="s">
        <v>1755</v>
      </c>
      <c r="I320" t="s">
        <v>2181</v>
      </c>
      <c r="M320" t="s">
        <v>1757</v>
      </c>
    </row>
    <row r="321" spans="1:13" x14ac:dyDescent="0.45">
      <c r="A321" t="s">
        <v>2182</v>
      </c>
      <c r="B321">
        <v>1</v>
      </c>
      <c r="C321" t="s">
        <v>1774</v>
      </c>
      <c r="G321" s="3">
        <v>912.7812386780779</v>
      </c>
      <c r="H321" t="s">
        <v>1755</v>
      </c>
      <c r="I321" t="s">
        <v>2182</v>
      </c>
      <c r="M321" t="s">
        <v>1757</v>
      </c>
    </row>
    <row r="322" spans="1:13" x14ac:dyDescent="0.45">
      <c r="A322" t="s">
        <v>2183</v>
      </c>
      <c r="B322">
        <v>1</v>
      </c>
      <c r="C322" t="s">
        <v>1774</v>
      </c>
      <c r="G322" s="3">
        <v>1681.629667869757</v>
      </c>
      <c r="H322" t="s">
        <v>1755</v>
      </c>
      <c r="I322" t="s">
        <v>2183</v>
      </c>
      <c r="M322" t="s">
        <v>1757</v>
      </c>
    </row>
    <row r="323" spans="1:13" x14ac:dyDescent="0.45">
      <c r="A323" t="s">
        <v>2184</v>
      </c>
      <c r="B323">
        <v>1</v>
      </c>
      <c r="C323" t="s">
        <v>1774</v>
      </c>
      <c r="G323" s="3">
        <v>865.8505974884157</v>
      </c>
      <c r="H323" t="s">
        <v>1755</v>
      </c>
      <c r="I323" t="s">
        <v>2184</v>
      </c>
      <c r="M323" t="s">
        <v>1757</v>
      </c>
    </row>
    <row r="324" spans="1:13" x14ac:dyDescent="0.45">
      <c r="A324" t="s">
        <v>2185</v>
      </c>
      <c r="B324">
        <v>1</v>
      </c>
      <c r="C324" t="s">
        <v>1774</v>
      </c>
      <c r="G324" s="3">
        <v>898.09767855327016</v>
      </c>
      <c r="H324" t="s">
        <v>1755</v>
      </c>
      <c r="I324" t="s">
        <v>2185</v>
      </c>
      <c r="M324" t="s">
        <v>1757</v>
      </c>
    </row>
    <row r="325" spans="1:13" x14ac:dyDescent="0.45">
      <c r="A325" t="s">
        <v>2186</v>
      </c>
      <c r="B325">
        <v>1</v>
      </c>
      <c r="C325" t="s">
        <v>1774</v>
      </c>
      <c r="G325" s="3">
        <v>760.66190411098876</v>
      </c>
      <c r="H325" t="s">
        <v>1755</v>
      </c>
      <c r="I325" t="s">
        <v>2186</v>
      </c>
      <c r="M325" t="s">
        <v>1757</v>
      </c>
    </row>
    <row r="326" spans="1:13" x14ac:dyDescent="0.45">
      <c r="A326" t="s">
        <v>2187</v>
      </c>
      <c r="B326">
        <v>1</v>
      </c>
      <c r="C326" t="s">
        <v>1774</v>
      </c>
      <c r="G326" s="3">
        <v>1105.1482702554131</v>
      </c>
      <c r="H326" t="s">
        <v>1755</v>
      </c>
      <c r="I326" t="s">
        <v>2187</v>
      </c>
      <c r="M326" t="s">
        <v>1757</v>
      </c>
    </row>
    <row r="327" spans="1:13" x14ac:dyDescent="0.45">
      <c r="A327" t="s">
        <v>2188</v>
      </c>
      <c r="B327">
        <v>1</v>
      </c>
      <c r="C327" t="s">
        <v>1774</v>
      </c>
      <c r="G327" s="3">
        <v>1137.6823689326579</v>
      </c>
      <c r="H327" t="s">
        <v>1755</v>
      </c>
      <c r="I327" t="s">
        <v>2188</v>
      </c>
      <c r="M327" t="s">
        <v>1757</v>
      </c>
    </row>
    <row r="328" spans="1:13" x14ac:dyDescent="0.45">
      <c r="A328" t="s">
        <v>2189</v>
      </c>
      <c r="B328">
        <v>1</v>
      </c>
      <c r="C328" t="s">
        <v>1774</v>
      </c>
      <c r="G328" s="3">
        <v>1315.9039984084179</v>
      </c>
      <c r="H328" t="s">
        <v>1755</v>
      </c>
      <c r="I328" t="s">
        <v>2189</v>
      </c>
      <c r="M328" t="s">
        <v>1757</v>
      </c>
    </row>
    <row r="329" spans="1:13" x14ac:dyDescent="0.45">
      <c r="A329" t="s">
        <v>2190</v>
      </c>
      <c r="B329">
        <v>1</v>
      </c>
      <c r="C329" t="s">
        <v>1774</v>
      </c>
      <c r="G329" s="3">
        <v>2126.2036416441179</v>
      </c>
      <c r="H329" t="s">
        <v>1755</v>
      </c>
      <c r="I329" t="s">
        <v>2190</v>
      </c>
      <c r="M329" t="s">
        <v>1757</v>
      </c>
    </row>
    <row r="330" spans="1:13" x14ac:dyDescent="0.45">
      <c r="A330" t="s">
        <v>2191</v>
      </c>
      <c r="B330">
        <v>1</v>
      </c>
      <c r="C330" t="s">
        <v>1774</v>
      </c>
      <c r="G330" s="3">
        <v>2408.7268191499161</v>
      </c>
      <c r="H330" t="s">
        <v>1755</v>
      </c>
      <c r="I330" t="s">
        <v>2191</v>
      </c>
      <c r="M330" t="s">
        <v>1757</v>
      </c>
    </row>
    <row r="331" spans="1:13" x14ac:dyDescent="0.45">
      <c r="A331" t="s">
        <v>2192</v>
      </c>
      <c r="B331">
        <v>1</v>
      </c>
      <c r="C331" t="s">
        <v>1774</v>
      </c>
      <c r="G331" s="3">
        <v>3051.049404733938</v>
      </c>
      <c r="H331" t="s">
        <v>1755</v>
      </c>
      <c r="I331" t="s">
        <v>2192</v>
      </c>
      <c r="M331" t="s">
        <v>1757</v>
      </c>
    </row>
    <row r="332" spans="1:13" x14ac:dyDescent="0.45">
      <c r="A332" t="s">
        <v>2193</v>
      </c>
      <c r="B332">
        <v>1</v>
      </c>
      <c r="C332" t="s">
        <v>1774</v>
      </c>
      <c r="G332" s="3">
        <v>1212.2775940802551</v>
      </c>
      <c r="H332" t="s">
        <v>1755</v>
      </c>
      <c r="I332" t="s">
        <v>2193</v>
      </c>
      <c r="M332" t="s">
        <v>1757</v>
      </c>
    </row>
    <row r="333" spans="1:13" x14ac:dyDescent="0.45">
      <c r="A333" t="s">
        <v>2194</v>
      </c>
      <c r="B333">
        <v>1</v>
      </c>
      <c r="C333" t="s">
        <v>1774</v>
      </c>
      <c r="G333" s="3">
        <v>659.33164068195094</v>
      </c>
      <c r="H333" t="s">
        <v>1755</v>
      </c>
      <c r="I333" t="s">
        <v>2194</v>
      </c>
      <c r="M333" t="s">
        <v>1757</v>
      </c>
    </row>
    <row r="334" spans="1:13" x14ac:dyDescent="0.45">
      <c r="A334" t="s">
        <v>2195</v>
      </c>
      <c r="B334">
        <v>1</v>
      </c>
      <c r="C334" t="s">
        <v>1774</v>
      </c>
      <c r="G334" s="3">
        <v>1113.0510392874901</v>
      </c>
      <c r="H334" t="s">
        <v>1755</v>
      </c>
      <c r="I334" t="s">
        <v>2195</v>
      </c>
      <c r="M334" t="s">
        <v>1757</v>
      </c>
    </row>
    <row r="335" spans="1:13" x14ac:dyDescent="0.45">
      <c r="A335" t="s">
        <v>2196</v>
      </c>
      <c r="B335">
        <v>1</v>
      </c>
      <c r="C335" t="s">
        <v>1774</v>
      </c>
      <c r="G335" s="3">
        <v>1112.4509115524911</v>
      </c>
      <c r="H335" t="s">
        <v>1755</v>
      </c>
      <c r="I335" t="s">
        <v>2196</v>
      </c>
      <c r="M335" t="s">
        <v>1757</v>
      </c>
    </row>
    <row r="336" spans="1:13" x14ac:dyDescent="0.45">
      <c r="A336" t="s">
        <v>2197</v>
      </c>
      <c r="B336">
        <v>1</v>
      </c>
      <c r="C336" t="s">
        <v>1774</v>
      </c>
      <c r="G336" s="3">
        <v>1078.7263420965801</v>
      </c>
      <c r="H336" t="s">
        <v>1755</v>
      </c>
      <c r="I336" t="s">
        <v>2197</v>
      </c>
      <c r="M336" t="s">
        <v>1757</v>
      </c>
    </row>
    <row r="337" spans="1:13" x14ac:dyDescent="0.45">
      <c r="A337" t="s">
        <v>2198</v>
      </c>
      <c r="B337">
        <v>1</v>
      </c>
      <c r="C337" t="s">
        <v>1774</v>
      </c>
      <c r="G337" s="3">
        <v>689.99360175110201</v>
      </c>
      <c r="H337" t="s">
        <v>1755</v>
      </c>
      <c r="I337" t="s">
        <v>2198</v>
      </c>
      <c r="M337" t="s">
        <v>1757</v>
      </c>
    </row>
    <row r="338" spans="1:13" x14ac:dyDescent="0.45">
      <c r="A338" t="s">
        <v>2199</v>
      </c>
      <c r="B338">
        <v>1</v>
      </c>
      <c r="C338" t="s">
        <v>1774</v>
      </c>
      <c r="G338" s="3">
        <v>1484.6736160579469</v>
      </c>
      <c r="H338" t="s">
        <v>1755</v>
      </c>
      <c r="I338" t="s">
        <v>2199</v>
      </c>
      <c r="M338" t="s">
        <v>1757</v>
      </c>
    </row>
    <row r="339" spans="1:13" x14ac:dyDescent="0.45">
      <c r="A339" t="s">
        <v>2200</v>
      </c>
      <c r="B339">
        <v>1</v>
      </c>
      <c r="C339" t="s">
        <v>1774</v>
      </c>
      <c r="G339" s="3">
        <v>926.18952736601318</v>
      </c>
      <c r="H339" t="s">
        <v>1755</v>
      </c>
      <c r="I339" t="s">
        <v>2200</v>
      </c>
      <c r="M339" t="s">
        <v>1757</v>
      </c>
    </row>
    <row r="340" spans="1:13" x14ac:dyDescent="0.45">
      <c r="A340" t="s">
        <v>2201</v>
      </c>
      <c r="B340">
        <v>1</v>
      </c>
      <c r="C340" t="s">
        <v>1774</v>
      </c>
      <c r="G340" s="3">
        <v>1744.574587205311</v>
      </c>
      <c r="H340" t="s">
        <v>1755</v>
      </c>
      <c r="I340" t="s">
        <v>2201</v>
      </c>
      <c r="M340" t="s">
        <v>1757</v>
      </c>
    </row>
    <row r="341" spans="1:13" x14ac:dyDescent="0.45">
      <c r="A341" t="s">
        <v>2202</v>
      </c>
      <c r="B341">
        <v>1</v>
      </c>
      <c r="C341" t="s">
        <v>1774</v>
      </c>
      <c r="G341" s="3">
        <v>3080.8829286036889</v>
      </c>
      <c r="H341" t="s">
        <v>1755</v>
      </c>
      <c r="I341" t="s">
        <v>2202</v>
      </c>
      <c r="M341" t="s">
        <v>1757</v>
      </c>
    </row>
    <row r="342" spans="1:13" x14ac:dyDescent="0.45">
      <c r="A342" t="s">
        <v>2203</v>
      </c>
      <c r="B342">
        <v>1</v>
      </c>
      <c r="C342" t="s">
        <v>1774</v>
      </c>
      <c r="G342" s="3">
        <v>2433.576673568155</v>
      </c>
      <c r="H342" t="s">
        <v>1755</v>
      </c>
      <c r="I342" t="s">
        <v>2203</v>
      </c>
      <c r="M342" t="s">
        <v>1757</v>
      </c>
    </row>
    <row r="343" spans="1:13" x14ac:dyDescent="0.45">
      <c r="A343" t="s">
        <v>2204</v>
      </c>
      <c r="B343">
        <v>1</v>
      </c>
      <c r="C343" t="s">
        <v>1774</v>
      </c>
      <c r="G343" s="3">
        <v>1375.906987216968</v>
      </c>
      <c r="H343" t="s">
        <v>1755</v>
      </c>
      <c r="I343" t="s">
        <v>2204</v>
      </c>
      <c r="M343" t="s">
        <v>1757</v>
      </c>
    </row>
    <row r="344" spans="1:13" x14ac:dyDescent="0.45">
      <c r="A344" t="s">
        <v>2205</v>
      </c>
      <c r="B344">
        <v>1</v>
      </c>
      <c r="C344" t="s">
        <v>1774</v>
      </c>
      <c r="G344" s="3">
        <v>1673.218094888442</v>
      </c>
      <c r="H344" t="s">
        <v>1755</v>
      </c>
      <c r="I344" t="s">
        <v>2205</v>
      </c>
      <c r="M344" t="s">
        <v>1757</v>
      </c>
    </row>
    <row r="345" spans="1:13" x14ac:dyDescent="0.45">
      <c r="A345" t="s">
        <v>2206</v>
      </c>
      <c r="B345">
        <v>1</v>
      </c>
      <c r="C345" t="s">
        <v>1774</v>
      </c>
      <c r="G345" s="3">
        <v>3716.715002271148</v>
      </c>
      <c r="H345" t="s">
        <v>1755</v>
      </c>
      <c r="I345" t="s">
        <v>2206</v>
      </c>
      <c r="M345" t="s">
        <v>1757</v>
      </c>
    </row>
    <row r="346" spans="1:13" x14ac:dyDescent="0.45">
      <c r="A346" t="s">
        <v>2207</v>
      </c>
      <c r="B346">
        <v>1</v>
      </c>
      <c r="C346" t="s">
        <v>1774</v>
      </c>
      <c r="G346" s="3">
        <v>2469.147288121942</v>
      </c>
      <c r="H346" t="s">
        <v>1755</v>
      </c>
      <c r="I346" t="s">
        <v>2207</v>
      </c>
      <c r="M346" t="s">
        <v>1757</v>
      </c>
    </row>
    <row r="347" spans="1:13" x14ac:dyDescent="0.45">
      <c r="A347" t="s">
        <v>2208</v>
      </c>
      <c r="B347">
        <v>1</v>
      </c>
      <c r="C347" t="s">
        <v>1774</v>
      </c>
      <c r="G347" s="3">
        <v>1305.7050884772159</v>
      </c>
      <c r="H347" t="s">
        <v>1755</v>
      </c>
      <c r="I347" t="s">
        <v>2208</v>
      </c>
      <c r="M347" t="s">
        <v>1757</v>
      </c>
    </row>
    <row r="348" spans="1:13" x14ac:dyDescent="0.45">
      <c r="A348" t="s">
        <v>2209</v>
      </c>
      <c r="B348">
        <v>1</v>
      </c>
      <c r="C348" t="s">
        <v>1774</v>
      </c>
      <c r="G348" s="3">
        <v>2036.416052422476</v>
      </c>
      <c r="H348" t="s">
        <v>1755</v>
      </c>
      <c r="I348" t="s">
        <v>2209</v>
      </c>
      <c r="M348" t="s">
        <v>1757</v>
      </c>
    </row>
    <row r="349" spans="1:13" x14ac:dyDescent="0.45">
      <c r="A349" t="s">
        <v>2210</v>
      </c>
      <c r="B349">
        <v>1</v>
      </c>
      <c r="C349" t="s">
        <v>1774</v>
      </c>
      <c r="G349" s="3">
        <v>1115.2101945079751</v>
      </c>
      <c r="H349" t="s">
        <v>1755</v>
      </c>
      <c r="I349" t="s">
        <v>2210</v>
      </c>
      <c r="M349" t="s">
        <v>1757</v>
      </c>
    </row>
    <row r="350" spans="1:13" x14ac:dyDescent="0.45">
      <c r="A350" t="s">
        <v>2211</v>
      </c>
      <c r="B350">
        <v>1</v>
      </c>
      <c r="C350" t="s">
        <v>1774</v>
      </c>
      <c r="G350" s="3">
        <v>748.58759500791496</v>
      </c>
      <c r="H350" t="s">
        <v>1755</v>
      </c>
      <c r="I350" t="s">
        <v>2211</v>
      </c>
      <c r="M350" t="s">
        <v>1757</v>
      </c>
    </row>
    <row r="351" spans="1:13" x14ac:dyDescent="0.45">
      <c r="A351" t="s">
        <v>2212</v>
      </c>
      <c r="B351">
        <v>1</v>
      </c>
      <c r="C351" t="s">
        <v>1774</v>
      </c>
      <c r="G351" s="3">
        <v>2084.152299865098</v>
      </c>
      <c r="H351" t="s">
        <v>1755</v>
      </c>
      <c r="I351" t="s">
        <v>2212</v>
      </c>
      <c r="M351" t="s">
        <v>1757</v>
      </c>
    </row>
    <row r="352" spans="1:13" x14ac:dyDescent="0.45">
      <c r="A352" t="s">
        <v>2213</v>
      </c>
      <c r="B352">
        <v>1</v>
      </c>
      <c r="C352" t="s">
        <v>1774</v>
      </c>
      <c r="G352" s="3">
        <v>1611.806110528157</v>
      </c>
      <c r="H352" t="s">
        <v>1755</v>
      </c>
      <c r="I352" t="s">
        <v>2213</v>
      </c>
      <c r="M352" t="s">
        <v>1757</v>
      </c>
    </row>
    <row r="353" spans="1:13" x14ac:dyDescent="0.45">
      <c r="A353" t="s">
        <v>2214</v>
      </c>
      <c r="B353">
        <v>1</v>
      </c>
      <c r="C353" t="s">
        <v>1774</v>
      </c>
      <c r="G353" s="3">
        <v>1536.7118661226541</v>
      </c>
      <c r="H353" t="s">
        <v>1755</v>
      </c>
      <c r="I353" t="s">
        <v>2214</v>
      </c>
      <c r="M353" t="s">
        <v>1757</v>
      </c>
    </row>
    <row r="354" spans="1:13" x14ac:dyDescent="0.45">
      <c r="A354" t="s">
        <v>2215</v>
      </c>
      <c r="B354">
        <v>1</v>
      </c>
      <c r="C354" t="s">
        <v>1774</v>
      </c>
      <c r="G354" s="3">
        <v>2810.9559104053119</v>
      </c>
      <c r="H354" t="s">
        <v>1755</v>
      </c>
      <c r="I354" t="s">
        <v>2215</v>
      </c>
      <c r="M354" t="s">
        <v>1757</v>
      </c>
    </row>
    <row r="355" spans="1:13" x14ac:dyDescent="0.45">
      <c r="A355" t="s">
        <v>2216</v>
      </c>
      <c r="B355">
        <v>1</v>
      </c>
      <c r="C355" t="s">
        <v>1774</v>
      </c>
      <c r="G355" s="3">
        <v>2664.6584671804671</v>
      </c>
      <c r="H355" t="s">
        <v>1755</v>
      </c>
      <c r="I355" t="s">
        <v>2216</v>
      </c>
      <c r="M355" t="s">
        <v>1757</v>
      </c>
    </row>
    <row r="356" spans="1:13" x14ac:dyDescent="0.45">
      <c r="A356" t="s">
        <v>2217</v>
      </c>
      <c r="B356">
        <v>1</v>
      </c>
      <c r="C356" t="s">
        <v>1774</v>
      </c>
      <c r="G356" s="3">
        <v>1746.185799711232</v>
      </c>
      <c r="H356" t="s">
        <v>1755</v>
      </c>
      <c r="I356" t="s">
        <v>2217</v>
      </c>
      <c r="M356" t="s">
        <v>1757</v>
      </c>
    </row>
    <row r="357" spans="1:13" x14ac:dyDescent="0.45">
      <c r="A357" t="s">
        <v>2218</v>
      </c>
      <c r="B357">
        <v>1</v>
      </c>
      <c r="C357" t="s">
        <v>1774</v>
      </c>
      <c r="G357" s="3">
        <v>1154.2380666655599</v>
      </c>
      <c r="H357" t="s">
        <v>1755</v>
      </c>
      <c r="I357" t="s">
        <v>2218</v>
      </c>
      <c r="M357" t="s">
        <v>1757</v>
      </c>
    </row>
    <row r="358" spans="1:13" x14ac:dyDescent="0.45">
      <c r="A358" t="s">
        <v>2219</v>
      </c>
      <c r="B358">
        <v>1</v>
      </c>
      <c r="C358" t="s">
        <v>1774</v>
      </c>
      <c r="G358" s="3">
        <v>1341.1909023727969</v>
      </c>
      <c r="H358" t="s">
        <v>1755</v>
      </c>
      <c r="I358" t="s">
        <v>2219</v>
      </c>
      <c r="M358" t="s">
        <v>1757</v>
      </c>
    </row>
    <row r="359" spans="1:13" x14ac:dyDescent="0.45">
      <c r="A359" t="s">
        <v>2220</v>
      </c>
      <c r="B359">
        <v>1</v>
      </c>
      <c r="C359" t="s">
        <v>1774</v>
      </c>
      <c r="G359" s="3">
        <v>1115.911430720065</v>
      </c>
      <c r="H359" t="s">
        <v>1755</v>
      </c>
      <c r="I359" t="s">
        <v>2220</v>
      </c>
      <c r="M359" t="s">
        <v>1757</v>
      </c>
    </row>
    <row r="360" spans="1:13" x14ac:dyDescent="0.45">
      <c r="A360" t="s">
        <v>2221</v>
      </c>
      <c r="B360">
        <v>1</v>
      </c>
      <c r="C360" t="s">
        <v>1774</v>
      </c>
      <c r="G360" s="3">
        <v>2524.3655628693868</v>
      </c>
      <c r="H360" t="s">
        <v>1755</v>
      </c>
      <c r="I360" t="s">
        <v>2221</v>
      </c>
      <c r="M360" t="s">
        <v>1757</v>
      </c>
    </row>
    <row r="361" spans="1:13" x14ac:dyDescent="0.45">
      <c r="A361" t="s">
        <v>2222</v>
      </c>
      <c r="B361">
        <v>1</v>
      </c>
      <c r="C361" t="s">
        <v>1774</v>
      </c>
      <c r="G361" s="3">
        <v>2430.2433553878891</v>
      </c>
      <c r="H361" t="s">
        <v>1755</v>
      </c>
      <c r="I361" t="s">
        <v>2222</v>
      </c>
      <c r="M361" t="s">
        <v>1757</v>
      </c>
    </row>
    <row r="362" spans="1:13" x14ac:dyDescent="0.45">
      <c r="A362" t="s">
        <v>2223</v>
      </c>
      <c r="B362">
        <v>1</v>
      </c>
      <c r="C362" t="s">
        <v>1774</v>
      </c>
      <c r="G362" s="3">
        <v>810.36813607502052</v>
      </c>
      <c r="H362" t="s">
        <v>1755</v>
      </c>
      <c r="I362" t="s">
        <v>2223</v>
      </c>
      <c r="M362" t="s">
        <v>1757</v>
      </c>
    </row>
    <row r="363" spans="1:13" x14ac:dyDescent="0.45">
      <c r="A363" t="s">
        <v>2224</v>
      </c>
      <c r="B363">
        <v>1</v>
      </c>
      <c r="C363" t="s">
        <v>1774</v>
      </c>
      <c r="G363" s="3">
        <v>1659.620635501431</v>
      </c>
      <c r="H363" t="s">
        <v>1755</v>
      </c>
      <c r="I363" t="s">
        <v>2224</v>
      </c>
      <c r="M363" t="s">
        <v>1757</v>
      </c>
    </row>
    <row r="364" spans="1:13" x14ac:dyDescent="0.45">
      <c r="A364" t="s">
        <v>2225</v>
      </c>
      <c r="B364">
        <v>1</v>
      </c>
      <c r="C364" t="s">
        <v>1774</v>
      </c>
      <c r="G364" s="3">
        <v>1678.253949360389</v>
      </c>
      <c r="H364" t="s">
        <v>1755</v>
      </c>
      <c r="I364" t="s">
        <v>2225</v>
      </c>
      <c r="M364" t="s">
        <v>1757</v>
      </c>
    </row>
    <row r="365" spans="1:13" x14ac:dyDescent="0.45">
      <c r="A365" t="s">
        <v>2226</v>
      </c>
      <c r="B365">
        <v>1</v>
      </c>
      <c r="C365" t="s">
        <v>1774</v>
      </c>
      <c r="G365" s="3">
        <v>2793.3206350621681</v>
      </c>
      <c r="H365" t="s">
        <v>1755</v>
      </c>
      <c r="I365" t="s">
        <v>2226</v>
      </c>
      <c r="M365" t="s">
        <v>1757</v>
      </c>
    </row>
    <row r="366" spans="1:13" x14ac:dyDescent="0.45">
      <c r="A366" t="s">
        <v>2227</v>
      </c>
      <c r="B366">
        <v>1</v>
      </c>
      <c r="C366" t="s">
        <v>1774</v>
      </c>
      <c r="G366" s="3">
        <v>691.1123181266704</v>
      </c>
      <c r="H366" t="s">
        <v>1755</v>
      </c>
      <c r="I366" t="s">
        <v>2227</v>
      </c>
      <c r="M366" t="s">
        <v>1757</v>
      </c>
    </row>
    <row r="367" spans="1:13" x14ac:dyDescent="0.45">
      <c r="A367" t="s">
        <v>2228</v>
      </c>
      <c r="B367">
        <v>1</v>
      </c>
      <c r="C367" t="s">
        <v>1774</v>
      </c>
      <c r="G367" s="3">
        <v>1120.428696551442</v>
      </c>
      <c r="H367" t="s">
        <v>1755</v>
      </c>
      <c r="I367" t="s">
        <v>2228</v>
      </c>
      <c r="M367" t="s">
        <v>1757</v>
      </c>
    </row>
    <row r="368" spans="1:13" x14ac:dyDescent="0.45">
      <c r="A368" t="s">
        <v>2229</v>
      </c>
      <c r="B368">
        <v>1</v>
      </c>
      <c r="C368" t="s">
        <v>1774</v>
      </c>
      <c r="G368" s="3">
        <v>2865.3522710809111</v>
      </c>
      <c r="H368" t="s">
        <v>1755</v>
      </c>
      <c r="I368" t="s">
        <v>2229</v>
      </c>
      <c r="M368" t="s">
        <v>1757</v>
      </c>
    </row>
    <row r="369" spans="1:13" x14ac:dyDescent="0.45">
      <c r="A369" t="s">
        <v>2230</v>
      </c>
      <c r="B369">
        <v>1</v>
      </c>
      <c r="C369" t="s">
        <v>1774</v>
      </c>
      <c r="G369" s="3">
        <v>1358.3075890753721</v>
      </c>
      <c r="H369" t="s">
        <v>1755</v>
      </c>
      <c r="I369" t="s">
        <v>2230</v>
      </c>
      <c r="M369" t="s">
        <v>1757</v>
      </c>
    </row>
    <row r="370" spans="1:13" x14ac:dyDescent="0.45">
      <c r="A370" t="s">
        <v>2231</v>
      </c>
      <c r="B370">
        <v>1</v>
      </c>
      <c r="C370" t="s">
        <v>1774</v>
      </c>
      <c r="G370" s="3">
        <v>4377.9644424540738</v>
      </c>
      <c r="H370" t="s">
        <v>1755</v>
      </c>
      <c r="I370" t="s">
        <v>2231</v>
      </c>
      <c r="M370" t="s">
        <v>1757</v>
      </c>
    </row>
    <row r="371" spans="1:13" x14ac:dyDescent="0.45">
      <c r="A371" t="s">
        <v>2232</v>
      </c>
      <c r="B371">
        <v>1</v>
      </c>
      <c r="C371" t="s">
        <v>1774</v>
      </c>
      <c r="G371" s="3">
        <v>2405.9512283755462</v>
      </c>
      <c r="H371" t="s">
        <v>1755</v>
      </c>
      <c r="I371" t="s">
        <v>2232</v>
      </c>
      <c r="M371" t="s">
        <v>1757</v>
      </c>
    </row>
    <row r="372" spans="1:13" x14ac:dyDescent="0.45">
      <c r="A372" t="s">
        <v>2233</v>
      </c>
      <c r="B372">
        <v>1</v>
      </c>
      <c r="C372" t="s">
        <v>1774</v>
      </c>
      <c r="G372" s="3">
        <v>2610.4806312779392</v>
      </c>
      <c r="H372" t="s">
        <v>1755</v>
      </c>
      <c r="I372" t="s">
        <v>2233</v>
      </c>
      <c r="M372" t="s">
        <v>1757</v>
      </c>
    </row>
    <row r="373" spans="1:13" x14ac:dyDescent="0.45">
      <c r="A373" t="s">
        <v>2234</v>
      </c>
      <c r="B373">
        <v>1</v>
      </c>
      <c r="C373" t="s">
        <v>1774</v>
      </c>
      <c r="G373" s="3">
        <v>1181.5764942457779</v>
      </c>
      <c r="H373" t="s">
        <v>1755</v>
      </c>
      <c r="I373" t="s">
        <v>2234</v>
      </c>
      <c r="M373" t="s">
        <v>1757</v>
      </c>
    </row>
    <row r="374" spans="1:13" x14ac:dyDescent="0.45">
      <c r="A374" t="s">
        <v>2235</v>
      </c>
      <c r="B374">
        <v>1</v>
      </c>
      <c r="C374" t="s">
        <v>1774</v>
      </c>
      <c r="G374" s="3">
        <v>1454.771599348876</v>
      </c>
      <c r="H374" t="s">
        <v>1755</v>
      </c>
      <c r="I374" t="s">
        <v>2235</v>
      </c>
      <c r="M374" t="s">
        <v>1757</v>
      </c>
    </row>
    <row r="375" spans="1:13" x14ac:dyDescent="0.45">
      <c r="A375" t="s">
        <v>2236</v>
      </c>
      <c r="B375">
        <v>1</v>
      </c>
      <c r="C375" t="s">
        <v>1774</v>
      </c>
      <c r="G375" s="3">
        <v>2518.2860079887469</v>
      </c>
      <c r="H375" t="s">
        <v>1755</v>
      </c>
      <c r="I375" t="s">
        <v>2236</v>
      </c>
      <c r="M375" t="s">
        <v>1757</v>
      </c>
    </row>
    <row r="376" spans="1:13" x14ac:dyDescent="0.45">
      <c r="A376" t="s">
        <v>2237</v>
      </c>
      <c r="B376">
        <v>1</v>
      </c>
      <c r="C376" t="s">
        <v>1774</v>
      </c>
      <c r="G376" s="3">
        <v>1480.123734588798</v>
      </c>
      <c r="H376" t="s">
        <v>1755</v>
      </c>
      <c r="I376" t="s">
        <v>2237</v>
      </c>
      <c r="M376" t="s">
        <v>1757</v>
      </c>
    </row>
    <row r="377" spans="1:13" x14ac:dyDescent="0.45">
      <c r="A377" t="s">
        <v>2238</v>
      </c>
      <c r="B377">
        <v>1</v>
      </c>
      <c r="C377" t="s">
        <v>1774</v>
      </c>
      <c r="G377" s="3">
        <v>980.65438088093219</v>
      </c>
      <c r="H377" t="s">
        <v>1755</v>
      </c>
      <c r="I377" t="s">
        <v>2238</v>
      </c>
      <c r="M377" t="s">
        <v>1757</v>
      </c>
    </row>
    <row r="378" spans="1:13" x14ac:dyDescent="0.45">
      <c r="A378" t="s">
        <v>2239</v>
      </c>
      <c r="B378">
        <v>1</v>
      </c>
      <c r="C378" t="s">
        <v>1774</v>
      </c>
      <c r="G378" s="3">
        <v>859.77756573532986</v>
      </c>
      <c r="H378" t="s">
        <v>1755</v>
      </c>
      <c r="I378" t="s">
        <v>2239</v>
      </c>
      <c r="M378" t="s">
        <v>1757</v>
      </c>
    </row>
    <row r="379" spans="1:13" x14ac:dyDescent="0.45">
      <c r="A379" t="s">
        <v>2240</v>
      </c>
      <c r="B379">
        <v>1</v>
      </c>
      <c r="C379" t="s">
        <v>1774</v>
      </c>
      <c r="G379" s="3">
        <v>1058.093689642219</v>
      </c>
      <c r="H379" t="s">
        <v>1755</v>
      </c>
      <c r="I379" t="s">
        <v>2240</v>
      </c>
      <c r="M379" t="s">
        <v>1757</v>
      </c>
    </row>
    <row r="380" spans="1:13" x14ac:dyDescent="0.45">
      <c r="A380" t="s">
        <v>2241</v>
      </c>
      <c r="B380">
        <v>1</v>
      </c>
      <c r="C380" t="s">
        <v>1774</v>
      </c>
      <c r="G380" s="3">
        <v>803.59712967362088</v>
      </c>
      <c r="H380" t="s">
        <v>1755</v>
      </c>
      <c r="I380" t="s">
        <v>2241</v>
      </c>
      <c r="M380" t="s">
        <v>1757</v>
      </c>
    </row>
    <row r="381" spans="1:13" x14ac:dyDescent="0.45">
      <c r="A381" t="s">
        <v>2242</v>
      </c>
      <c r="B381">
        <v>1</v>
      </c>
      <c r="C381" t="s">
        <v>1774</v>
      </c>
      <c r="G381" s="3">
        <v>2468.162295861237</v>
      </c>
      <c r="H381" t="s">
        <v>1755</v>
      </c>
      <c r="I381" t="s">
        <v>2242</v>
      </c>
      <c r="M381" t="s">
        <v>1757</v>
      </c>
    </row>
    <row r="382" spans="1:13" x14ac:dyDescent="0.45">
      <c r="A382" t="s">
        <v>2243</v>
      </c>
      <c r="B382">
        <v>1</v>
      </c>
      <c r="C382" t="s">
        <v>1774</v>
      </c>
      <c r="G382" s="3">
        <v>1270.6074006711169</v>
      </c>
      <c r="H382" t="s">
        <v>1755</v>
      </c>
      <c r="I382" t="s">
        <v>2243</v>
      </c>
      <c r="M382" t="s">
        <v>1757</v>
      </c>
    </row>
    <row r="383" spans="1:13" x14ac:dyDescent="0.45">
      <c r="A383" t="s">
        <v>2244</v>
      </c>
      <c r="B383">
        <v>1</v>
      </c>
      <c r="C383" t="s">
        <v>1774</v>
      </c>
      <c r="G383" s="3">
        <v>1810.6049458740661</v>
      </c>
      <c r="H383" t="s">
        <v>1755</v>
      </c>
      <c r="I383" t="s">
        <v>2244</v>
      </c>
      <c r="M383" t="s">
        <v>1757</v>
      </c>
    </row>
    <row r="384" spans="1:13" x14ac:dyDescent="0.45">
      <c r="A384" t="s">
        <v>2245</v>
      </c>
      <c r="B384">
        <v>1</v>
      </c>
      <c r="C384" t="s">
        <v>1774</v>
      </c>
      <c r="G384" s="3">
        <v>1910.5262137513671</v>
      </c>
      <c r="H384" t="s">
        <v>1755</v>
      </c>
      <c r="I384" t="s">
        <v>2245</v>
      </c>
      <c r="M384" t="s">
        <v>1757</v>
      </c>
    </row>
    <row r="385" spans="1:13" x14ac:dyDescent="0.45">
      <c r="A385" t="s">
        <v>2246</v>
      </c>
      <c r="B385">
        <v>1</v>
      </c>
      <c r="C385" t="s">
        <v>1774</v>
      </c>
      <c r="G385" s="3">
        <v>2441.5577201308829</v>
      </c>
      <c r="H385" t="s">
        <v>1755</v>
      </c>
      <c r="I385" t="s">
        <v>2246</v>
      </c>
      <c r="M385" t="s">
        <v>1757</v>
      </c>
    </row>
    <row r="386" spans="1:13" x14ac:dyDescent="0.45">
      <c r="A386" t="s">
        <v>2247</v>
      </c>
      <c r="B386">
        <v>1</v>
      </c>
      <c r="C386" t="s">
        <v>1774</v>
      </c>
      <c r="G386" s="3">
        <v>1989.0255307402331</v>
      </c>
      <c r="H386" t="s">
        <v>1755</v>
      </c>
      <c r="I386" t="s">
        <v>2247</v>
      </c>
      <c r="M386" t="s">
        <v>1757</v>
      </c>
    </row>
    <row r="387" spans="1:13" x14ac:dyDescent="0.45">
      <c r="A387" t="s">
        <v>2248</v>
      </c>
      <c r="B387">
        <v>1</v>
      </c>
      <c r="C387" t="s">
        <v>1774</v>
      </c>
      <c r="G387" s="3">
        <v>1840.855949907294</v>
      </c>
      <c r="H387" t="s">
        <v>1755</v>
      </c>
      <c r="I387" t="s">
        <v>2248</v>
      </c>
      <c r="M387" t="s">
        <v>1757</v>
      </c>
    </row>
    <row r="388" spans="1:13" x14ac:dyDescent="0.45">
      <c r="A388" t="s">
        <v>2249</v>
      </c>
      <c r="B388">
        <v>1</v>
      </c>
      <c r="C388" t="s">
        <v>1774</v>
      </c>
      <c r="G388" s="3">
        <v>911.55815226164009</v>
      </c>
      <c r="H388" t="s">
        <v>1755</v>
      </c>
      <c r="I388" t="s">
        <v>2249</v>
      </c>
      <c r="M388" t="s">
        <v>1757</v>
      </c>
    </row>
    <row r="389" spans="1:13" x14ac:dyDescent="0.45">
      <c r="A389" t="s">
        <v>2250</v>
      </c>
      <c r="B389">
        <v>1</v>
      </c>
      <c r="C389" t="s">
        <v>1774</v>
      </c>
      <c r="G389" s="3">
        <v>1316.337786390782</v>
      </c>
      <c r="H389" t="s">
        <v>1755</v>
      </c>
      <c r="I389" t="s">
        <v>2250</v>
      </c>
      <c r="M389" t="s">
        <v>1757</v>
      </c>
    </row>
    <row r="390" spans="1:13" x14ac:dyDescent="0.45">
      <c r="A390" t="s">
        <v>2251</v>
      </c>
      <c r="B390">
        <v>2</v>
      </c>
      <c r="C390" t="s">
        <v>1774</v>
      </c>
      <c r="G390" s="3">
        <v>2096.8071673205081</v>
      </c>
      <c r="H390" t="s">
        <v>1755</v>
      </c>
      <c r="I390" t="s">
        <v>2251</v>
      </c>
      <c r="M390" t="s">
        <v>1757</v>
      </c>
    </row>
    <row r="391" spans="1:13" x14ac:dyDescent="0.45">
      <c r="A391" t="s">
        <v>2252</v>
      </c>
      <c r="B391">
        <v>1</v>
      </c>
      <c r="C391" t="s">
        <v>1774</v>
      </c>
      <c r="G391" s="3">
        <v>552.24145562243552</v>
      </c>
      <c r="H391" t="s">
        <v>1755</v>
      </c>
      <c r="I391" t="s">
        <v>2252</v>
      </c>
      <c r="M391" t="s">
        <v>1757</v>
      </c>
    </row>
    <row r="392" spans="1:13" x14ac:dyDescent="0.45">
      <c r="A392" t="s">
        <v>2253</v>
      </c>
      <c r="B392">
        <v>1</v>
      </c>
      <c r="C392" t="s">
        <v>1774</v>
      </c>
      <c r="G392" s="3">
        <v>1586.66597693375</v>
      </c>
      <c r="H392" t="s">
        <v>1755</v>
      </c>
      <c r="I392" t="s">
        <v>2253</v>
      </c>
      <c r="M392" t="s">
        <v>1757</v>
      </c>
    </row>
    <row r="393" spans="1:13" x14ac:dyDescent="0.45">
      <c r="A393" t="s">
        <v>2254</v>
      </c>
      <c r="B393">
        <v>1</v>
      </c>
      <c r="C393" t="s">
        <v>1774</v>
      </c>
      <c r="G393" s="3">
        <v>2217.0838547311109</v>
      </c>
      <c r="H393" t="s">
        <v>1755</v>
      </c>
      <c r="I393" t="s">
        <v>2254</v>
      </c>
      <c r="M393" t="s">
        <v>1757</v>
      </c>
    </row>
    <row r="394" spans="1:13" x14ac:dyDescent="0.45">
      <c r="A394" t="s">
        <v>2255</v>
      </c>
      <c r="B394">
        <v>1</v>
      </c>
      <c r="C394" t="s">
        <v>1774</v>
      </c>
      <c r="G394" s="3">
        <v>1706.0163802316381</v>
      </c>
      <c r="H394" t="s">
        <v>1755</v>
      </c>
      <c r="I394" t="s">
        <v>2255</v>
      </c>
      <c r="M394" t="s">
        <v>1757</v>
      </c>
    </row>
    <row r="395" spans="1:13" x14ac:dyDescent="0.45">
      <c r="A395" t="s">
        <v>2256</v>
      </c>
      <c r="B395">
        <v>1</v>
      </c>
      <c r="C395" t="s">
        <v>1774</v>
      </c>
      <c r="G395" s="3">
        <v>2032.710915971614</v>
      </c>
      <c r="H395" t="s">
        <v>1755</v>
      </c>
      <c r="I395" t="s">
        <v>2256</v>
      </c>
      <c r="M395" t="s">
        <v>1757</v>
      </c>
    </row>
    <row r="396" spans="1:13" x14ac:dyDescent="0.45">
      <c r="A396" t="s">
        <v>2257</v>
      </c>
      <c r="B396">
        <v>1</v>
      </c>
      <c r="C396" t="s">
        <v>1774</v>
      </c>
      <c r="G396" s="3">
        <v>3522.978113907403</v>
      </c>
      <c r="H396" t="s">
        <v>1755</v>
      </c>
      <c r="I396" t="s">
        <v>2257</v>
      </c>
      <c r="M396" t="s">
        <v>1757</v>
      </c>
    </row>
    <row r="397" spans="1:13" x14ac:dyDescent="0.45">
      <c r="A397" t="s">
        <v>2258</v>
      </c>
      <c r="B397">
        <v>1</v>
      </c>
      <c r="C397" t="s">
        <v>1774</v>
      </c>
      <c r="G397" s="3">
        <v>1608.994642552238</v>
      </c>
      <c r="H397" t="s">
        <v>1755</v>
      </c>
      <c r="I397" t="s">
        <v>2258</v>
      </c>
      <c r="M397" t="s">
        <v>1757</v>
      </c>
    </row>
    <row r="398" spans="1:13" x14ac:dyDescent="0.45">
      <c r="A398" t="s">
        <v>2259</v>
      </c>
      <c r="B398">
        <v>1</v>
      </c>
      <c r="C398" t="s">
        <v>1774</v>
      </c>
      <c r="G398" s="3">
        <v>4820.5260313779227</v>
      </c>
      <c r="H398" t="s">
        <v>1755</v>
      </c>
      <c r="I398" t="s">
        <v>2259</v>
      </c>
      <c r="M398" t="s">
        <v>1757</v>
      </c>
    </row>
    <row r="399" spans="1:13" x14ac:dyDescent="0.45">
      <c r="A399" t="s">
        <v>2260</v>
      </c>
      <c r="B399">
        <v>1</v>
      </c>
      <c r="C399" t="s">
        <v>1774</v>
      </c>
      <c r="G399" s="3">
        <v>3131.4567365324469</v>
      </c>
      <c r="H399" t="s">
        <v>1755</v>
      </c>
      <c r="I399" t="s">
        <v>2260</v>
      </c>
      <c r="M399" t="s">
        <v>1757</v>
      </c>
    </row>
    <row r="400" spans="1:13" x14ac:dyDescent="0.45">
      <c r="A400" t="s">
        <v>2261</v>
      </c>
      <c r="B400">
        <v>1</v>
      </c>
      <c r="C400" t="s">
        <v>1774</v>
      </c>
      <c r="G400" s="3">
        <v>1969.837751039157</v>
      </c>
      <c r="H400" t="s">
        <v>1755</v>
      </c>
      <c r="I400" t="s">
        <v>2261</v>
      </c>
      <c r="M400" t="s">
        <v>1757</v>
      </c>
    </row>
    <row r="401" spans="1:13" x14ac:dyDescent="0.45">
      <c r="A401" t="s">
        <v>2262</v>
      </c>
      <c r="B401">
        <v>1</v>
      </c>
      <c r="C401" t="s">
        <v>1774</v>
      </c>
      <c r="G401" s="3">
        <v>1352.038863495656</v>
      </c>
      <c r="H401" t="s">
        <v>1755</v>
      </c>
      <c r="I401" t="s">
        <v>2262</v>
      </c>
      <c r="M401" t="s">
        <v>1757</v>
      </c>
    </row>
    <row r="402" spans="1:13" x14ac:dyDescent="0.45">
      <c r="A402" t="s">
        <v>2263</v>
      </c>
      <c r="B402">
        <v>1</v>
      </c>
      <c r="C402" t="s">
        <v>1774</v>
      </c>
      <c r="G402" s="3">
        <v>785.08123211064139</v>
      </c>
      <c r="H402" t="s">
        <v>1755</v>
      </c>
      <c r="I402" t="s">
        <v>2263</v>
      </c>
      <c r="M402" t="s">
        <v>1757</v>
      </c>
    </row>
    <row r="403" spans="1:13" x14ac:dyDescent="0.45">
      <c r="A403" t="s">
        <v>2264</v>
      </c>
      <c r="B403">
        <v>1</v>
      </c>
      <c r="C403" t="s">
        <v>1774</v>
      </c>
      <c r="G403" s="3">
        <v>4758.0670850451661</v>
      </c>
      <c r="H403" t="s">
        <v>1755</v>
      </c>
      <c r="I403" t="s">
        <v>2264</v>
      </c>
      <c r="M403" t="s">
        <v>1757</v>
      </c>
    </row>
    <row r="404" spans="1:13" x14ac:dyDescent="0.45">
      <c r="A404" t="s">
        <v>2265</v>
      </c>
      <c r="B404">
        <v>1</v>
      </c>
      <c r="C404" t="s">
        <v>1774</v>
      </c>
      <c r="G404" s="3">
        <v>457.35278065330328</v>
      </c>
      <c r="H404" t="s">
        <v>1755</v>
      </c>
      <c r="I404" t="s">
        <v>2265</v>
      </c>
      <c r="M404" t="s">
        <v>1757</v>
      </c>
    </row>
    <row r="405" spans="1:13" x14ac:dyDescent="0.45">
      <c r="A405" t="s">
        <v>2266</v>
      </c>
      <c r="B405">
        <v>1</v>
      </c>
      <c r="C405" t="s">
        <v>1774</v>
      </c>
      <c r="G405" s="3">
        <v>416.13966076501572</v>
      </c>
      <c r="H405" t="s">
        <v>1755</v>
      </c>
      <c r="I405" t="s">
        <v>2266</v>
      </c>
      <c r="M405" t="s">
        <v>1757</v>
      </c>
    </row>
    <row r="406" spans="1:13" x14ac:dyDescent="0.45">
      <c r="A406" t="s">
        <v>2267</v>
      </c>
      <c r="B406">
        <v>1</v>
      </c>
      <c r="C406" t="s">
        <v>1774</v>
      </c>
      <c r="G406" s="3">
        <v>976.47631768238068</v>
      </c>
      <c r="H406" t="s">
        <v>1755</v>
      </c>
      <c r="I406" t="s">
        <v>2267</v>
      </c>
      <c r="M406" t="s">
        <v>1757</v>
      </c>
    </row>
    <row r="407" spans="1:13" x14ac:dyDescent="0.45">
      <c r="A407" t="s">
        <v>2268</v>
      </c>
      <c r="B407">
        <v>1</v>
      </c>
      <c r="C407" t="s">
        <v>1774</v>
      </c>
      <c r="G407" s="3">
        <v>635.8875202516715</v>
      </c>
      <c r="H407" t="s">
        <v>1755</v>
      </c>
      <c r="I407" t="s">
        <v>2268</v>
      </c>
      <c r="M407" t="s">
        <v>1757</v>
      </c>
    </row>
    <row r="408" spans="1:13" x14ac:dyDescent="0.45">
      <c r="A408" t="s">
        <v>2269</v>
      </c>
      <c r="B408">
        <v>1</v>
      </c>
      <c r="C408" t="s">
        <v>1774</v>
      </c>
      <c r="G408" s="3">
        <v>1257.9492716519301</v>
      </c>
      <c r="H408" t="s">
        <v>1755</v>
      </c>
      <c r="I408" t="s">
        <v>2269</v>
      </c>
      <c r="M408" t="s">
        <v>1757</v>
      </c>
    </row>
    <row r="409" spans="1:13" x14ac:dyDescent="0.45">
      <c r="A409" t="s">
        <v>2270</v>
      </c>
      <c r="B409">
        <v>1</v>
      </c>
      <c r="C409" t="s">
        <v>1774</v>
      </c>
      <c r="G409" s="3">
        <v>1422.615842069782</v>
      </c>
      <c r="H409" t="s">
        <v>1755</v>
      </c>
      <c r="I409" t="s">
        <v>2270</v>
      </c>
      <c r="M409" t="s">
        <v>1757</v>
      </c>
    </row>
    <row r="410" spans="1:13" x14ac:dyDescent="0.45">
      <c r="A410" t="s">
        <v>2271</v>
      </c>
      <c r="B410">
        <v>1</v>
      </c>
      <c r="C410" t="s">
        <v>1774</v>
      </c>
      <c r="G410" s="3">
        <v>2591.7592551969969</v>
      </c>
      <c r="H410" t="s">
        <v>1755</v>
      </c>
      <c r="I410" t="s">
        <v>2271</v>
      </c>
      <c r="M410" t="s">
        <v>1757</v>
      </c>
    </row>
    <row r="411" spans="1:13" x14ac:dyDescent="0.45">
      <c r="A411" t="s">
        <v>2272</v>
      </c>
      <c r="B411">
        <v>1</v>
      </c>
      <c r="C411" t="s">
        <v>1774</v>
      </c>
      <c r="G411" s="3">
        <v>2083.16078447684</v>
      </c>
      <c r="H411" t="s">
        <v>1755</v>
      </c>
      <c r="I411" t="s">
        <v>2272</v>
      </c>
      <c r="M411" t="s">
        <v>1757</v>
      </c>
    </row>
    <row r="412" spans="1:13" x14ac:dyDescent="0.45">
      <c r="A412" t="s">
        <v>2273</v>
      </c>
      <c r="B412">
        <v>1</v>
      </c>
      <c r="C412" t="s">
        <v>1761</v>
      </c>
      <c r="D412" t="s">
        <v>2274</v>
      </c>
      <c r="E412" t="s">
        <v>2275</v>
      </c>
      <c r="F412" s="3">
        <v>107.0768126480291</v>
      </c>
      <c r="G412" s="3">
        <v>106.8318692083639</v>
      </c>
      <c r="H412" t="s">
        <v>73</v>
      </c>
      <c r="I412" t="s">
        <v>2273</v>
      </c>
      <c r="J412" s="3">
        <v>5.9179209192098847</v>
      </c>
      <c r="K412" s="3">
        <v>0.22875488502858379</v>
      </c>
    </row>
    <row r="413" spans="1:13" x14ac:dyDescent="0.45">
      <c r="A413" t="s">
        <v>2276</v>
      </c>
      <c r="B413">
        <v>1</v>
      </c>
      <c r="C413" t="s">
        <v>1761</v>
      </c>
      <c r="D413" t="s">
        <v>2277</v>
      </c>
      <c r="E413" t="s">
        <v>2278</v>
      </c>
      <c r="F413" s="3">
        <v>316.04292075650261</v>
      </c>
      <c r="G413" s="3">
        <v>357.71853038839259</v>
      </c>
      <c r="H413" t="s">
        <v>73</v>
      </c>
      <c r="I413" t="s">
        <v>2276</v>
      </c>
      <c r="J413" s="3">
        <v>0.82139331179544839</v>
      </c>
      <c r="K413" s="3">
        <v>13.18669297579342</v>
      </c>
    </row>
    <row r="414" spans="1:13" x14ac:dyDescent="0.45">
      <c r="A414" t="s">
        <v>2279</v>
      </c>
      <c r="B414">
        <v>1</v>
      </c>
      <c r="C414" t="s">
        <v>1761</v>
      </c>
      <c r="D414" t="s">
        <v>2280</v>
      </c>
      <c r="E414" t="s">
        <v>2281</v>
      </c>
      <c r="F414" s="3">
        <v>398.7242148204524</v>
      </c>
      <c r="G414" s="3">
        <v>447.41479582427422</v>
      </c>
      <c r="H414" t="s">
        <v>73</v>
      </c>
      <c r="I414" t="s">
        <v>2279</v>
      </c>
      <c r="J414" s="3">
        <v>0.98477285019891492</v>
      </c>
      <c r="K414" s="3">
        <v>12.211593676533379</v>
      </c>
    </row>
    <row r="415" spans="1:13" x14ac:dyDescent="0.45">
      <c r="A415" t="s">
        <v>2282</v>
      </c>
      <c r="B415">
        <v>1</v>
      </c>
      <c r="C415" t="s">
        <v>1761</v>
      </c>
      <c r="D415" t="s">
        <v>2283</v>
      </c>
      <c r="E415" t="s">
        <v>2284</v>
      </c>
      <c r="F415" s="3">
        <v>161.7840003515916</v>
      </c>
      <c r="G415" s="3">
        <v>161.55699551270081</v>
      </c>
      <c r="H415" t="s">
        <v>73</v>
      </c>
      <c r="I415" t="s">
        <v>2282</v>
      </c>
      <c r="J415" s="3">
        <v>0.57885723461586791</v>
      </c>
      <c r="K415" s="3">
        <v>0.14031352815947601</v>
      </c>
    </row>
    <row r="416" spans="1:13" x14ac:dyDescent="0.45">
      <c r="A416" t="s">
        <v>2285</v>
      </c>
      <c r="B416">
        <v>6</v>
      </c>
      <c r="C416" t="s">
        <v>1761</v>
      </c>
      <c r="D416" t="s">
        <v>2286</v>
      </c>
      <c r="E416" t="s">
        <v>2287</v>
      </c>
      <c r="F416" s="3">
        <v>127.25578158098629</v>
      </c>
      <c r="G416" s="3">
        <v>127.0728078530872</v>
      </c>
      <c r="H416" t="s">
        <v>73</v>
      </c>
      <c r="I416" t="s">
        <v>2285</v>
      </c>
      <c r="J416" s="3">
        <v>0.30311564650943601</v>
      </c>
      <c r="K416" s="3">
        <v>0.14378421603001959</v>
      </c>
    </row>
    <row r="417" spans="1:13" x14ac:dyDescent="0.45">
      <c r="A417" t="s">
        <v>2288</v>
      </c>
      <c r="B417">
        <v>1</v>
      </c>
      <c r="C417" t="s">
        <v>1761</v>
      </c>
      <c r="D417" t="s">
        <v>2289</v>
      </c>
      <c r="E417" t="s">
        <v>2290</v>
      </c>
      <c r="F417" s="3">
        <v>95.255927050441187</v>
      </c>
      <c r="G417" s="3">
        <v>97.936280162517392</v>
      </c>
      <c r="H417" t="s">
        <v>73</v>
      </c>
      <c r="I417" t="s">
        <v>2288</v>
      </c>
      <c r="J417" s="3">
        <v>5.4359445162435964</v>
      </c>
      <c r="K417" s="3">
        <v>2.8138439203440422</v>
      </c>
    </row>
    <row r="418" spans="1:13" x14ac:dyDescent="0.45">
      <c r="A418" t="s">
        <v>2291</v>
      </c>
      <c r="B418">
        <v>1</v>
      </c>
      <c r="C418" t="s">
        <v>1761</v>
      </c>
      <c r="D418" t="s">
        <v>2292</v>
      </c>
      <c r="E418" t="s">
        <v>2293</v>
      </c>
      <c r="F418" s="3">
        <v>129.4785372951259</v>
      </c>
      <c r="G418" s="3">
        <v>129.0900850492653</v>
      </c>
      <c r="H418" t="s">
        <v>73</v>
      </c>
      <c r="I418" t="s">
        <v>2291</v>
      </c>
      <c r="J418" s="3">
        <v>1.669200216764672</v>
      </c>
      <c r="K418" s="3">
        <v>0.30001284689773389</v>
      </c>
    </row>
    <row r="419" spans="1:13" x14ac:dyDescent="0.45">
      <c r="A419" t="s">
        <v>2294</v>
      </c>
      <c r="B419">
        <v>1</v>
      </c>
      <c r="C419" t="s">
        <v>1761</v>
      </c>
      <c r="D419" t="s">
        <v>2295</v>
      </c>
      <c r="E419" t="s">
        <v>2296</v>
      </c>
      <c r="F419" s="3">
        <v>96.66753185319925</v>
      </c>
      <c r="G419" s="3">
        <v>95.689715032804457</v>
      </c>
      <c r="H419" t="s">
        <v>73</v>
      </c>
      <c r="I419" t="s">
        <v>2294</v>
      </c>
      <c r="J419" s="3">
        <v>3.419755387544269</v>
      </c>
      <c r="K419" s="3">
        <v>1.0115255884258301</v>
      </c>
    </row>
    <row r="420" spans="1:13" x14ac:dyDescent="0.45">
      <c r="A420" t="s">
        <v>2297</v>
      </c>
      <c r="B420">
        <v>1</v>
      </c>
      <c r="C420" t="s">
        <v>1761</v>
      </c>
      <c r="D420" t="s">
        <v>2298</v>
      </c>
      <c r="E420" t="s">
        <v>2299</v>
      </c>
      <c r="F420" s="3">
        <v>795.50323300420223</v>
      </c>
      <c r="G420" s="3">
        <v>1132.079002363485</v>
      </c>
      <c r="H420" t="s">
        <v>73</v>
      </c>
      <c r="I420" t="s">
        <v>2297</v>
      </c>
      <c r="J420" s="3">
        <v>0.15779922579853869</v>
      </c>
      <c r="K420" s="3">
        <v>42.309792769566833</v>
      </c>
      <c r="M420" t="s">
        <v>1752</v>
      </c>
    </row>
    <row r="421" spans="1:13" x14ac:dyDescent="0.45">
      <c r="A421" t="s">
        <v>2300</v>
      </c>
      <c r="B421">
        <v>2</v>
      </c>
      <c r="C421" t="s">
        <v>1761</v>
      </c>
      <c r="D421" t="s">
        <v>2301</v>
      </c>
      <c r="E421" t="s">
        <v>2302</v>
      </c>
      <c r="F421" s="3">
        <v>515.25499623297912</v>
      </c>
      <c r="G421" s="3">
        <v>708.10832696948989</v>
      </c>
      <c r="H421" t="s">
        <v>73</v>
      </c>
      <c r="I421" t="s">
        <v>2300</v>
      </c>
      <c r="J421" s="3">
        <v>0.78355054868660268</v>
      </c>
      <c r="K421" s="3">
        <v>37.428716295127352</v>
      </c>
      <c r="M421" t="s">
        <v>1752</v>
      </c>
    </row>
    <row r="422" spans="1:13" x14ac:dyDescent="0.45">
      <c r="A422" t="s">
        <v>2303</v>
      </c>
      <c r="B422">
        <v>1</v>
      </c>
      <c r="C422" t="s">
        <v>1761</v>
      </c>
      <c r="D422" t="s">
        <v>2304</v>
      </c>
      <c r="E422" t="s">
        <v>2305</v>
      </c>
      <c r="F422" s="3">
        <v>170.67306626988369</v>
      </c>
      <c r="G422" s="3">
        <v>204.6892195274738</v>
      </c>
      <c r="H422" t="s">
        <v>73</v>
      </c>
      <c r="I422" t="s">
        <v>2303</v>
      </c>
      <c r="J422" s="3">
        <v>6.2787814947656351</v>
      </c>
      <c r="K422" s="3">
        <v>19.930592448488969</v>
      </c>
    </row>
    <row r="423" spans="1:13" x14ac:dyDescent="0.45">
      <c r="A423" t="s">
        <v>2306</v>
      </c>
      <c r="B423">
        <v>1</v>
      </c>
      <c r="C423" t="s">
        <v>1761</v>
      </c>
      <c r="D423" t="s">
        <v>2307</v>
      </c>
      <c r="E423" t="s">
        <v>2308</v>
      </c>
      <c r="F423" s="3">
        <v>504.10566661710988</v>
      </c>
      <c r="G423" s="3">
        <v>412.53563279124558</v>
      </c>
      <c r="H423" t="s">
        <v>73</v>
      </c>
      <c r="I423" t="s">
        <v>2306</v>
      </c>
      <c r="J423" s="3">
        <v>1.3436474031154051</v>
      </c>
      <c r="K423" s="3">
        <v>18.164849135769732</v>
      </c>
    </row>
    <row r="424" spans="1:13" x14ac:dyDescent="0.45">
      <c r="A424" t="s">
        <v>2309</v>
      </c>
      <c r="B424">
        <v>1</v>
      </c>
      <c r="C424" t="s">
        <v>1761</v>
      </c>
      <c r="D424" t="s">
        <v>2310</v>
      </c>
      <c r="E424" t="s">
        <v>2311</v>
      </c>
      <c r="F424" s="3">
        <v>411.81352257098081</v>
      </c>
      <c r="G424" s="3">
        <v>397.55200879893852</v>
      </c>
      <c r="H424" t="s">
        <v>73</v>
      </c>
      <c r="I424" t="s">
        <v>2309</v>
      </c>
      <c r="J424" s="3">
        <v>0.37036588211727228</v>
      </c>
      <c r="K424" s="3">
        <v>3.4630999203247881</v>
      </c>
    </row>
    <row r="425" spans="1:13" x14ac:dyDescent="0.45">
      <c r="A425" t="s">
        <v>2312</v>
      </c>
      <c r="B425">
        <v>1</v>
      </c>
      <c r="C425" t="s">
        <v>1761</v>
      </c>
      <c r="D425" t="s">
        <v>2313</v>
      </c>
      <c r="E425" t="s">
        <v>2314</v>
      </c>
      <c r="F425" s="3">
        <v>173.30319129979159</v>
      </c>
      <c r="G425" s="3">
        <v>186.38630207914329</v>
      </c>
      <c r="H425" t="s">
        <v>73</v>
      </c>
      <c r="I425" t="s">
        <v>2312</v>
      </c>
      <c r="J425" s="3">
        <v>1.5057271764044999</v>
      </c>
      <c r="K425" s="3">
        <v>7.5492613155170769</v>
      </c>
    </row>
    <row r="426" spans="1:13" x14ac:dyDescent="0.45">
      <c r="A426" t="s">
        <v>2315</v>
      </c>
      <c r="B426">
        <v>1</v>
      </c>
      <c r="C426" t="s">
        <v>1761</v>
      </c>
      <c r="D426" t="s">
        <v>2316</v>
      </c>
      <c r="E426" t="s">
        <v>2317</v>
      </c>
      <c r="F426" s="3">
        <v>135.61582185462191</v>
      </c>
      <c r="G426" s="3">
        <v>148.5159589060745</v>
      </c>
      <c r="H426" t="s">
        <v>73</v>
      </c>
      <c r="I426" t="s">
        <v>2315</v>
      </c>
      <c r="J426" s="3">
        <v>1.207353717035371</v>
      </c>
      <c r="K426" s="3">
        <v>9.5122655122655253</v>
      </c>
    </row>
    <row r="427" spans="1:13" x14ac:dyDescent="0.45">
      <c r="A427" t="s">
        <v>2318</v>
      </c>
      <c r="B427">
        <v>1</v>
      </c>
      <c r="C427" t="s">
        <v>1761</v>
      </c>
      <c r="D427" t="s">
        <v>2319</v>
      </c>
      <c r="E427" t="s">
        <v>2320</v>
      </c>
      <c r="F427" s="3">
        <v>180.8964379294151</v>
      </c>
      <c r="G427" s="3">
        <v>183.98122494986001</v>
      </c>
      <c r="H427" t="s">
        <v>73</v>
      </c>
      <c r="I427" t="s">
        <v>2318</v>
      </c>
      <c r="J427" s="3">
        <v>1.967908793590919</v>
      </c>
      <c r="K427" s="3">
        <v>1.705277923520333</v>
      </c>
    </row>
    <row r="428" spans="1:13" x14ac:dyDescent="0.45">
      <c r="A428" t="s">
        <v>2321</v>
      </c>
      <c r="B428">
        <v>1</v>
      </c>
      <c r="C428" t="s">
        <v>1761</v>
      </c>
      <c r="D428" t="s">
        <v>2322</v>
      </c>
      <c r="E428" t="s">
        <v>2323</v>
      </c>
      <c r="F428" s="3">
        <v>186.37521276230089</v>
      </c>
      <c r="G428" s="3">
        <v>181.08626094124619</v>
      </c>
      <c r="H428" t="s">
        <v>73</v>
      </c>
      <c r="I428" t="s">
        <v>2321</v>
      </c>
      <c r="J428" s="3">
        <v>1.704280148340094</v>
      </c>
      <c r="K428" s="3">
        <v>2.8377978716515981</v>
      </c>
    </row>
    <row r="429" spans="1:13" x14ac:dyDescent="0.45">
      <c r="A429" t="s">
        <v>2324</v>
      </c>
      <c r="B429">
        <v>1</v>
      </c>
      <c r="C429" t="s">
        <v>1761</v>
      </c>
      <c r="D429" t="s">
        <v>2325</v>
      </c>
      <c r="E429" t="s">
        <v>2326</v>
      </c>
      <c r="F429" s="3">
        <v>83.587030324869261</v>
      </c>
      <c r="G429" s="3">
        <v>86.430461625803829</v>
      </c>
      <c r="H429" t="s">
        <v>73</v>
      </c>
      <c r="I429" t="s">
        <v>2324</v>
      </c>
      <c r="J429" s="3">
        <v>2.9513314394189631</v>
      </c>
      <c r="K429" s="3">
        <v>3.4017613616410252</v>
      </c>
    </row>
    <row r="430" spans="1:13" x14ac:dyDescent="0.45">
      <c r="A430" t="s">
        <v>2327</v>
      </c>
      <c r="B430">
        <v>2</v>
      </c>
      <c r="C430" t="s">
        <v>1761</v>
      </c>
      <c r="D430" t="s">
        <v>2328</v>
      </c>
      <c r="E430" t="s">
        <v>2329</v>
      </c>
      <c r="F430" s="3">
        <v>68.707776373431429</v>
      </c>
      <c r="G430" s="3">
        <v>66.415875507215873</v>
      </c>
      <c r="H430" t="s">
        <v>73</v>
      </c>
      <c r="I430" t="s">
        <v>2327</v>
      </c>
      <c r="J430" s="3">
        <v>6.9557515713123532</v>
      </c>
      <c r="K430" s="3">
        <v>3.3357226607930359</v>
      </c>
    </row>
    <row r="431" spans="1:13" x14ac:dyDescent="0.45">
      <c r="A431" t="s">
        <v>2330</v>
      </c>
      <c r="B431">
        <v>1</v>
      </c>
      <c r="C431" t="s">
        <v>1774</v>
      </c>
      <c r="G431" s="3">
        <v>441.53093477026408</v>
      </c>
      <c r="H431" t="s">
        <v>1755</v>
      </c>
      <c r="I431" t="s">
        <v>2330</v>
      </c>
      <c r="M431" t="s">
        <v>1757</v>
      </c>
    </row>
    <row r="432" spans="1:13" x14ac:dyDescent="0.45">
      <c r="A432" t="s">
        <v>2331</v>
      </c>
      <c r="B432">
        <v>1</v>
      </c>
      <c r="C432" t="s">
        <v>1761</v>
      </c>
      <c r="D432" t="s">
        <v>2332</v>
      </c>
      <c r="E432" t="s">
        <v>2333</v>
      </c>
      <c r="F432" s="3">
        <v>316.65674705936539</v>
      </c>
      <c r="G432" s="3">
        <v>328.03503845239169</v>
      </c>
      <c r="H432" t="s">
        <v>73</v>
      </c>
      <c r="I432" t="s">
        <v>2331</v>
      </c>
      <c r="J432" s="3">
        <v>3.5785747283682641</v>
      </c>
      <c r="K432" s="3">
        <v>3.5932572094834052</v>
      </c>
    </row>
    <row r="433" spans="1:13" x14ac:dyDescent="0.45">
      <c r="A433" t="s">
        <v>2334</v>
      </c>
      <c r="B433">
        <v>2</v>
      </c>
      <c r="C433" t="s">
        <v>1761</v>
      </c>
      <c r="D433" t="s">
        <v>2335</v>
      </c>
      <c r="E433" t="s">
        <v>2336</v>
      </c>
      <c r="F433" s="3">
        <v>196.36146873523219</v>
      </c>
      <c r="G433" s="3">
        <v>228.58245728986921</v>
      </c>
      <c r="H433" t="s">
        <v>73</v>
      </c>
      <c r="I433" t="s">
        <v>2334</v>
      </c>
      <c r="J433" s="3">
        <v>1.6464570717071341</v>
      </c>
      <c r="K433" s="3">
        <v>16.409017900595789</v>
      </c>
    </row>
    <row r="434" spans="1:13" x14ac:dyDescent="0.45">
      <c r="A434" t="s">
        <v>2337</v>
      </c>
      <c r="B434">
        <v>1</v>
      </c>
      <c r="C434" t="s">
        <v>1761</v>
      </c>
      <c r="D434" t="s">
        <v>2338</v>
      </c>
      <c r="E434" t="s">
        <v>2339</v>
      </c>
      <c r="F434" s="3">
        <v>169.7846162969833</v>
      </c>
      <c r="G434" s="3">
        <v>180.1723707708839</v>
      </c>
      <c r="H434" t="s">
        <v>73</v>
      </c>
      <c r="I434" t="s">
        <v>2337</v>
      </c>
      <c r="J434" s="3">
        <v>3.8051549769361581</v>
      </c>
      <c r="K434" s="3">
        <v>6.1181953350417544</v>
      </c>
    </row>
    <row r="435" spans="1:13" x14ac:dyDescent="0.45">
      <c r="A435" t="s">
        <v>2340</v>
      </c>
      <c r="B435">
        <v>1</v>
      </c>
      <c r="C435" t="s">
        <v>1761</v>
      </c>
      <c r="D435" t="s">
        <v>2341</v>
      </c>
      <c r="E435" t="s">
        <v>2342</v>
      </c>
      <c r="F435" s="3">
        <v>122.9850899711633</v>
      </c>
      <c r="G435" s="3">
        <v>124.54281283113841</v>
      </c>
      <c r="H435" t="s">
        <v>73</v>
      </c>
      <c r="I435" t="s">
        <v>2340</v>
      </c>
      <c r="J435" s="3">
        <v>4.3620206128580614</v>
      </c>
      <c r="K435" s="3">
        <v>1.2665948858844751</v>
      </c>
    </row>
    <row r="436" spans="1:13" x14ac:dyDescent="0.45">
      <c r="A436" t="s">
        <v>2343</v>
      </c>
      <c r="B436">
        <v>1</v>
      </c>
      <c r="C436" t="s">
        <v>1761</v>
      </c>
      <c r="D436" t="s">
        <v>2344</v>
      </c>
      <c r="E436" t="s">
        <v>2345</v>
      </c>
      <c r="F436" s="3">
        <v>276.87284441823249</v>
      </c>
      <c r="G436" s="3">
        <v>305.96077480852261</v>
      </c>
      <c r="H436" t="s">
        <v>73</v>
      </c>
      <c r="I436" t="s">
        <v>2343</v>
      </c>
      <c r="J436" s="3">
        <v>1.677197329268002</v>
      </c>
      <c r="K436" s="3">
        <v>10.50588057901086</v>
      </c>
    </row>
    <row r="437" spans="1:13" x14ac:dyDescent="0.45">
      <c r="A437" t="s">
        <v>2346</v>
      </c>
      <c r="B437">
        <v>2</v>
      </c>
      <c r="C437" t="s">
        <v>1774</v>
      </c>
      <c r="G437" s="3">
        <v>356.66178372459029</v>
      </c>
      <c r="H437" t="s">
        <v>1755</v>
      </c>
      <c r="I437" t="s">
        <v>2346</v>
      </c>
      <c r="M437" t="s">
        <v>1757</v>
      </c>
    </row>
    <row r="438" spans="1:13" x14ac:dyDescent="0.45">
      <c r="A438" t="s">
        <v>2347</v>
      </c>
      <c r="B438">
        <v>1</v>
      </c>
      <c r="C438" t="s">
        <v>1761</v>
      </c>
      <c r="D438" t="s">
        <v>2348</v>
      </c>
      <c r="E438" t="s">
        <v>2349</v>
      </c>
      <c r="F438" s="3">
        <v>56.8614505783816</v>
      </c>
      <c r="G438" s="3">
        <v>56.541491171841471</v>
      </c>
      <c r="H438" t="s">
        <v>73</v>
      </c>
      <c r="I438" t="s">
        <v>2347</v>
      </c>
      <c r="J438" s="3">
        <v>3.5406352286740859</v>
      </c>
      <c r="K438" s="3">
        <v>0.56270004244629568</v>
      </c>
    </row>
    <row r="439" spans="1:13" x14ac:dyDescent="0.45">
      <c r="A439" t="s">
        <v>2350</v>
      </c>
      <c r="B439">
        <v>1</v>
      </c>
      <c r="C439" t="s">
        <v>1774</v>
      </c>
      <c r="G439" s="3">
        <v>111.1916015093036</v>
      </c>
      <c r="H439" t="s">
        <v>1755</v>
      </c>
      <c r="I439" t="s">
        <v>2350</v>
      </c>
      <c r="M439" t="s">
        <v>1757</v>
      </c>
    </row>
    <row r="440" spans="1:13" x14ac:dyDescent="0.45">
      <c r="A440" t="s">
        <v>2351</v>
      </c>
      <c r="B440">
        <v>1</v>
      </c>
      <c r="C440" t="s">
        <v>1761</v>
      </c>
      <c r="D440" t="s">
        <v>2352</v>
      </c>
      <c r="E440" t="s">
        <v>2353</v>
      </c>
      <c r="F440" s="3">
        <v>300.32805416535439</v>
      </c>
      <c r="G440" s="3">
        <v>336.03565439778339</v>
      </c>
      <c r="H440" t="s">
        <v>73</v>
      </c>
      <c r="I440" t="s">
        <v>2351</v>
      </c>
      <c r="J440" s="3">
        <v>0.78954681693024298</v>
      </c>
      <c r="K440" s="3">
        <v>11.889532042440891</v>
      </c>
    </row>
    <row r="441" spans="1:13" x14ac:dyDescent="0.45">
      <c r="A441" t="s">
        <v>2354</v>
      </c>
      <c r="B441">
        <v>1</v>
      </c>
      <c r="C441" t="s">
        <v>1761</v>
      </c>
      <c r="D441" t="s">
        <v>2355</v>
      </c>
      <c r="E441" t="s">
        <v>2356</v>
      </c>
      <c r="F441" s="3">
        <v>106.239895382808</v>
      </c>
      <c r="G441" s="3">
        <v>108.02462308167399</v>
      </c>
      <c r="H441" t="s">
        <v>73</v>
      </c>
      <c r="I441" t="s">
        <v>2354</v>
      </c>
      <c r="J441" s="3">
        <v>1.770546697321197</v>
      </c>
      <c r="K441" s="3">
        <v>1.679903479229911</v>
      </c>
    </row>
    <row r="442" spans="1:13" x14ac:dyDescent="0.45">
      <c r="A442" t="s">
        <v>2357</v>
      </c>
      <c r="B442">
        <v>2</v>
      </c>
      <c r="C442" t="s">
        <v>1761</v>
      </c>
      <c r="D442" t="s">
        <v>2358</v>
      </c>
      <c r="E442" t="s">
        <v>2359</v>
      </c>
      <c r="F442" s="3">
        <v>167.0028285514372</v>
      </c>
      <c r="G442" s="3">
        <v>161.172130986995</v>
      </c>
      <c r="H442" t="s">
        <v>73</v>
      </c>
      <c r="I442" t="s">
        <v>2357</v>
      </c>
      <c r="J442" s="3">
        <v>1.1122857195070921</v>
      </c>
      <c r="K442" s="3">
        <v>3.4913765323719388</v>
      </c>
    </row>
    <row r="443" spans="1:13" x14ac:dyDescent="0.45">
      <c r="A443" t="s">
        <v>2360</v>
      </c>
      <c r="B443">
        <v>1</v>
      </c>
      <c r="C443" t="s">
        <v>1761</v>
      </c>
      <c r="D443" t="s">
        <v>2361</v>
      </c>
      <c r="E443" t="s">
        <v>2362</v>
      </c>
      <c r="F443" s="3">
        <v>124.2026317291799</v>
      </c>
      <c r="G443" s="3">
        <v>126.9400622073565</v>
      </c>
      <c r="H443" t="s">
        <v>73</v>
      </c>
      <c r="I443" t="s">
        <v>2360</v>
      </c>
      <c r="J443" s="3">
        <v>3.8533845621198952</v>
      </c>
      <c r="K443" s="3">
        <v>2.204003602874951</v>
      </c>
    </row>
    <row r="444" spans="1:13" x14ac:dyDescent="0.45">
      <c r="A444" t="s">
        <v>2363</v>
      </c>
      <c r="B444">
        <v>1</v>
      </c>
      <c r="C444" t="s">
        <v>1761</v>
      </c>
      <c r="D444" t="s">
        <v>2364</v>
      </c>
      <c r="E444" t="s">
        <v>2365</v>
      </c>
      <c r="F444" s="3">
        <v>121.7456957358396</v>
      </c>
      <c r="G444" s="3">
        <v>126.17229009421131</v>
      </c>
      <c r="H444" t="s">
        <v>73</v>
      </c>
      <c r="I444" t="s">
        <v>2363</v>
      </c>
      <c r="J444" s="3">
        <v>4.9198186218267983</v>
      </c>
      <c r="K444" s="3">
        <v>3.63593499681201</v>
      </c>
    </row>
    <row r="445" spans="1:13" x14ac:dyDescent="0.45">
      <c r="A445" t="s">
        <v>2366</v>
      </c>
      <c r="B445">
        <v>5</v>
      </c>
      <c r="C445" t="s">
        <v>1761</v>
      </c>
      <c r="D445" t="s">
        <v>2367</v>
      </c>
      <c r="E445" t="s">
        <v>2368</v>
      </c>
      <c r="F445" s="3">
        <v>215.5694701317266</v>
      </c>
      <c r="G445" s="3">
        <v>210.68984456470639</v>
      </c>
      <c r="H445" t="s">
        <v>73</v>
      </c>
      <c r="I445" t="s">
        <v>2366</v>
      </c>
      <c r="J445" s="3">
        <v>1.531936947579241</v>
      </c>
      <c r="K445" s="3">
        <v>2.2635976996364242</v>
      </c>
    </row>
    <row r="446" spans="1:13" x14ac:dyDescent="0.45">
      <c r="A446" t="s">
        <v>2369</v>
      </c>
      <c r="B446">
        <v>1</v>
      </c>
      <c r="C446" t="s">
        <v>1761</v>
      </c>
      <c r="D446" t="s">
        <v>2370</v>
      </c>
      <c r="E446" t="s">
        <v>2371</v>
      </c>
      <c r="F446" s="3">
        <v>161.22398985105201</v>
      </c>
      <c r="G446" s="3">
        <v>159.52373665401461</v>
      </c>
      <c r="H446" t="s">
        <v>73</v>
      </c>
      <c r="I446" t="s">
        <v>2369</v>
      </c>
      <c r="J446" s="3">
        <v>3.127767369591544</v>
      </c>
      <c r="K446" s="3">
        <v>1.054590696215969</v>
      </c>
    </row>
    <row r="447" spans="1:13" x14ac:dyDescent="0.45">
      <c r="A447" t="s">
        <v>2372</v>
      </c>
      <c r="B447">
        <v>1</v>
      </c>
      <c r="C447" t="s">
        <v>1761</v>
      </c>
      <c r="D447" t="s">
        <v>2373</v>
      </c>
      <c r="E447" t="s">
        <v>2374</v>
      </c>
      <c r="F447" s="3">
        <v>454.256904316016</v>
      </c>
      <c r="G447" s="3">
        <v>537.31653977811732</v>
      </c>
      <c r="H447" t="s">
        <v>73</v>
      </c>
      <c r="I447" t="s">
        <v>2372</v>
      </c>
      <c r="J447" s="3">
        <v>1.302041676833422</v>
      </c>
      <c r="K447" s="3">
        <v>18.28472713852657</v>
      </c>
    </row>
    <row r="448" spans="1:13" x14ac:dyDescent="0.45">
      <c r="A448" t="s">
        <v>2375</v>
      </c>
      <c r="B448">
        <v>2</v>
      </c>
      <c r="C448" t="s">
        <v>1761</v>
      </c>
      <c r="D448" t="s">
        <v>2376</v>
      </c>
      <c r="E448" t="s">
        <v>2377</v>
      </c>
      <c r="F448" s="3">
        <v>204.23064366040401</v>
      </c>
      <c r="G448" s="3">
        <v>194.12012210756271</v>
      </c>
      <c r="H448" t="s">
        <v>73</v>
      </c>
      <c r="I448" t="s">
        <v>2375</v>
      </c>
      <c r="J448" s="3">
        <v>2.4687221190069879</v>
      </c>
      <c r="K448" s="3">
        <v>4.9505409039659982</v>
      </c>
    </row>
    <row r="449" spans="1:13" x14ac:dyDescent="0.45">
      <c r="A449" t="s">
        <v>2378</v>
      </c>
      <c r="B449">
        <v>1</v>
      </c>
      <c r="C449" t="s">
        <v>1761</v>
      </c>
      <c r="D449" t="s">
        <v>2379</v>
      </c>
      <c r="E449" t="s">
        <v>2380</v>
      </c>
      <c r="F449" s="3">
        <v>215.42693979466441</v>
      </c>
      <c r="G449" s="3">
        <v>221.24785266777511</v>
      </c>
      <c r="H449" t="s">
        <v>73</v>
      </c>
      <c r="I449" t="s">
        <v>2378</v>
      </c>
      <c r="J449" s="3">
        <v>3.8377540482221622</v>
      </c>
      <c r="K449" s="3">
        <v>2.7020357243430011</v>
      </c>
    </row>
    <row r="450" spans="1:13" x14ac:dyDescent="0.45">
      <c r="A450" t="s">
        <v>2381</v>
      </c>
      <c r="B450">
        <v>2</v>
      </c>
      <c r="C450" t="s">
        <v>1761</v>
      </c>
      <c r="D450" t="s">
        <v>2382</v>
      </c>
      <c r="E450" t="s">
        <v>2383</v>
      </c>
      <c r="F450" s="3">
        <v>201.20684788259209</v>
      </c>
      <c r="G450" s="3">
        <v>182.22878673238799</v>
      </c>
      <c r="H450" t="s">
        <v>73</v>
      </c>
      <c r="I450" t="s">
        <v>2381</v>
      </c>
      <c r="J450" s="3">
        <v>2.9512821532605402</v>
      </c>
      <c r="K450" s="3">
        <v>9.4321149354112404</v>
      </c>
    </row>
    <row r="451" spans="1:13" x14ac:dyDescent="0.45">
      <c r="A451" t="s">
        <v>2384</v>
      </c>
      <c r="B451">
        <v>1</v>
      </c>
      <c r="C451" t="s">
        <v>1761</v>
      </c>
      <c r="D451" t="s">
        <v>2385</v>
      </c>
      <c r="E451" t="s">
        <v>2386</v>
      </c>
      <c r="F451" s="3">
        <v>186.0562318248939</v>
      </c>
      <c r="G451" s="3">
        <v>180.7415136499996</v>
      </c>
      <c r="H451" t="s">
        <v>73</v>
      </c>
      <c r="I451" t="s">
        <v>2384</v>
      </c>
      <c r="J451" s="3">
        <v>0.2046682043949912</v>
      </c>
      <c r="K451" s="3">
        <v>2.8565117775233979</v>
      </c>
    </row>
    <row r="452" spans="1:13" x14ac:dyDescent="0.45">
      <c r="A452" t="s">
        <v>2387</v>
      </c>
      <c r="B452">
        <v>1</v>
      </c>
      <c r="C452" t="s">
        <v>1761</v>
      </c>
      <c r="D452" t="s">
        <v>2388</v>
      </c>
      <c r="E452" t="s">
        <v>2389</v>
      </c>
      <c r="F452" s="3">
        <v>183.5431969345864</v>
      </c>
      <c r="G452" s="3">
        <v>205.74629234765371</v>
      </c>
      <c r="H452" t="s">
        <v>73</v>
      </c>
      <c r="I452" t="s">
        <v>2387</v>
      </c>
      <c r="J452" s="3">
        <v>2.7570161016494068</v>
      </c>
      <c r="K452" s="3">
        <v>12.096931830701591</v>
      </c>
    </row>
    <row r="453" spans="1:13" x14ac:dyDescent="0.45">
      <c r="A453" t="s">
        <v>2390</v>
      </c>
      <c r="B453">
        <v>1</v>
      </c>
      <c r="C453" t="s">
        <v>1761</v>
      </c>
      <c r="D453" t="s">
        <v>2391</v>
      </c>
      <c r="E453" t="s">
        <v>2392</v>
      </c>
      <c r="F453" s="3">
        <v>341.16772500115638</v>
      </c>
      <c r="G453" s="3">
        <v>379.99174942266899</v>
      </c>
      <c r="H453" t="s">
        <v>73</v>
      </c>
      <c r="I453" t="s">
        <v>2390</v>
      </c>
      <c r="J453" s="3">
        <v>1.9817314618006461</v>
      </c>
      <c r="K453" s="3">
        <v>11.379747137974711</v>
      </c>
    </row>
    <row r="454" spans="1:13" x14ac:dyDescent="0.45">
      <c r="A454" t="s">
        <v>2393</v>
      </c>
      <c r="B454">
        <v>2</v>
      </c>
      <c r="C454" t="s">
        <v>1761</v>
      </c>
      <c r="D454" t="s">
        <v>2394</v>
      </c>
      <c r="E454" t="s">
        <v>2395</v>
      </c>
      <c r="F454" s="3">
        <v>242.6760005273874</v>
      </c>
      <c r="G454" s="3">
        <v>259.47729401270999</v>
      </c>
      <c r="H454" t="s">
        <v>73</v>
      </c>
      <c r="I454" t="s">
        <v>2393</v>
      </c>
      <c r="J454" s="3">
        <v>1.111945840074456</v>
      </c>
      <c r="K454" s="3">
        <v>6.9233436552480567</v>
      </c>
    </row>
    <row r="455" spans="1:13" x14ac:dyDescent="0.45">
      <c r="A455" t="s">
        <v>2396</v>
      </c>
      <c r="B455">
        <v>1</v>
      </c>
      <c r="C455" t="s">
        <v>1761</v>
      </c>
      <c r="D455" t="s">
        <v>2397</v>
      </c>
      <c r="E455" t="s">
        <v>2398</v>
      </c>
      <c r="F455" s="3">
        <v>147.64903525410341</v>
      </c>
      <c r="G455" s="3">
        <v>138.70745815899889</v>
      </c>
      <c r="H455" t="s">
        <v>73</v>
      </c>
      <c r="I455" t="s">
        <v>2396</v>
      </c>
      <c r="J455" s="3">
        <v>1.2398079259611161</v>
      </c>
      <c r="K455" s="3">
        <v>6.0559671654583349</v>
      </c>
    </row>
    <row r="456" spans="1:13" x14ac:dyDescent="0.45">
      <c r="A456" t="s">
        <v>2399</v>
      </c>
      <c r="B456">
        <v>1</v>
      </c>
      <c r="C456" t="s">
        <v>1761</v>
      </c>
      <c r="D456" t="s">
        <v>2400</v>
      </c>
      <c r="E456" t="s">
        <v>2401</v>
      </c>
      <c r="F456" s="3">
        <v>293.5700940190635</v>
      </c>
      <c r="G456" s="3">
        <v>328.62864305983618</v>
      </c>
      <c r="H456" t="s">
        <v>73</v>
      </c>
      <c r="I456" t="s">
        <v>2399</v>
      </c>
      <c r="J456" s="3">
        <v>1.2590732466579331</v>
      </c>
      <c r="K456" s="3">
        <v>11.942139119421389</v>
      </c>
    </row>
    <row r="457" spans="1:13" x14ac:dyDescent="0.45">
      <c r="A457" t="s">
        <v>2402</v>
      </c>
      <c r="B457">
        <v>6</v>
      </c>
      <c r="C457" t="s">
        <v>1774</v>
      </c>
      <c r="G457" s="3">
        <v>104.8869987280389</v>
      </c>
      <c r="H457" t="s">
        <v>1755</v>
      </c>
      <c r="I457" t="s">
        <v>2402</v>
      </c>
      <c r="M457" t="s">
        <v>1757</v>
      </c>
    </row>
    <row r="458" spans="1:13" x14ac:dyDescent="0.45">
      <c r="A458" t="s">
        <v>2403</v>
      </c>
      <c r="B458">
        <v>1</v>
      </c>
      <c r="C458" t="s">
        <v>1761</v>
      </c>
      <c r="D458" t="s">
        <v>2404</v>
      </c>
      <c r="E458" t="s">
        <v>2405</v>
      </c>
      <c r="F458" s="3">
        <v>379.69299018068051</v>
      </c>
      <c r="G458" s="3">
        <v>342.77730672518862</v>
      </c>
      <c r="H458" t="s">
        <v>73</v>
      </c>
      <c r="I458" t="s">
        <v>2403</v>
      </c>
      <c r="J458" s="3">
        <v>0.52478294533217618</v>
      </c>
      <c r="K458" s="3">
        <v>9.7225085556425981</v>
      </c>
    </row>
    <row r="459" spans="1:13" x14ac:dyDescent="0.45">
      <c r="A459" t="s">
        <v>2406</v>
      </c>
      <c r="B459">
        <v>2</v>
      </c>
      <c r="C459" t="s">
        <v>1761</v>
      </c>
      <c r="D459" t="s">
        <v>2407</v>
      </c>
      <c r="E459" t="s">
        <v>2408</v>
      </c>
      <c r="F459" s="3">
        <v>371.90013584789432</v>
      </c>
      <c r="G459" s="3">
        <v>346.72706045933842</v>
      </c>
      <c r="H459" t="s">
        <v>73</v>
      </c>
      <c r="I459" t="s">
        <v>2406</v>
      </c>
      <c r="J459" s="3">
        <v>0.24264474420778601</v>
      </c>
      <c r="K459" s="3">
        <v>6.7687728403658429</v>
      </c>
    </row>
    <row r="460" spans="1:13" x14ac:dyDescent="0.45">
      <c r="A460" t="s">
        <v>2409</v>
      </c>
      <c r="B460">
        <v>1</v>
      </c>
      <c r="C460" t="s">
        <v>1761</v>
      </c>
      <c r="D460" t="s">
        <v>2410</v>
      </c>
      <c r="E460" t="s">
        <v>2411</v>
      </c>
      <c r="F460" s="3">
        <v>139.20452047863921</v>
      </c>
      <c r="G460" s="3">
        <v>147.0502121446155</v>
      </c>
      <c r="H460" t="s">
        <v>73</v>
      </c>
      <c r="I460" t="s">
        <v>2409</v>
      </c>
      <c r="J460" s="3">
        <v>4.3919064761740314</v>
      </c>
      <c r="K460" s="3">
        <v>5.63608971820722</v>
      </c>
    </row>
    <row r="461" spans="1:13" x14ac:dyDescent="0.45">
      <c r="A461" t="s">
        <v>2412</v>
      </c>
      <c r="B461">
        <v>1</v>
      </c>
      <c r="C461" t="s">
        <v>1761</v>
      </c>
      <c r="D461" t="s">
        <v>2413</v>
      </c>
      <c r="E461" t="s">
        <v>2414</v>
      </c>
      <c r="F461" s="3">
        <v>147.78275936896731</v>
      </c>
      <c r="G461" s="3">
        <v>144.7495050562016</v>
      </c>
      <c r="H461" t="s">
        <v>73</v>
      </c>
      <c r="I461" t="s">
        <v>2412</v>
      </c>
      <c r="J461" s="3">
        <v>7.6892448852458797</v>
      </c>
      <c r="K461" s="3">
        <v>2.0525089162752921</v>
      </c>
    </row>
    <row r="462" spans="1:13" x14ac:dyDescent="0.45">
      <c r="A462" t="s">
        <v>2415</v>
      </c>
      <c r="B462">
        <v>2</v>
      </c>
      <c r="C462" t="s">
        <v>1761</v>
      </c>
      <c r="D462" t="s">
        <v>2416</v>
      </c>
      <c r="E462" t="s">
        <v>2417</v>
      </c>
      <c r="F462" s="3">
        <v>95.703087444290844</v>
      </c>
      <c r="G462" s="3">
        <v>94.44542845181509</v>
      </c>
      <c r="H462" t="s">
        <v>73</v>
      </c>
      <c r="I462" t="s">
        <v>2415</v>
      </c>
      <c r="J462" s="3">
        <v>1.832140346738161</v>
      </c>
      <c r="K462" s="3">
        <v>1.314125830274651</v>
      </c>
    </row>
    <row r="463" spans="1:13" x14ac:dyDescent="0.45">
      <c r="A463" t="s">
        <v>2418</v>
      </c>
      <c r="B463">
        <v>1</v>
      </c>
      <c r="C463" t="s">
        <v>1761</v>
      </c>
      <c r="D463" t="s">
        <v>2419</v>
      </c>
      <c r="E463" t="s">
        <v>2420</v>
      </c>
      <c r="F463" s="3">
        <v>353.7488811152021</v>
      </c>
      <c r="G463" s="3">
        <v>372.35969018409719</v>
      </c>
      <c r="H463" t="s">
        <v>73</v>
      </c>
      <c r="I463" t="s">
        <v>2418</v>
      </c>
      <c r="J463" s="3">
        <v>1.9635228208392359</v>
      </c>
      <c r="K463" s="3">
        <v>5.2610227374356713</v>
      </c>
    </row>
    <row r="464" spans="1:13" x14ac:dyDescent="0.45">
      <c r="A464" t="s">
        <v>2421</v>
      </c>
      <c r="B464">
        <v>1</v>
      </c>
      <c r="C464" t="s">
        <v>1761</v>
      </c>
      <c r="D464" t="s">
        <v>2422</v>
      </c>
      <c r="E464" t="s">
        <v>2423</v>
      </c>
      <c r="F464" s="3">
        <v>106.761419430777</v>
      </c>
      <c r="G464" s="3">
        <v>108.3612164634777</v>
      </c>
      <c r="H464" t="s">
        <v>73</v>
      </c>
      <c r="I464" t="s">
        <v>2421</v>
      </c>
      <c r="J464" s="3">
        <v>4.1069005360214694</v>
      </c>
      <c r="K464" s="3">
        <v>1.4984786088741839</v>
      </c>
    </row>
    <row r="465" spans="1:13" x14ac:dyDescent="0.45">
      <c r="A465" t="s">
        <v>2424</v>
      </c>
      <c r="B465">
        <v>1</v>
      </c>
      <c r="C465" t="s">
        <v>1761</v>
      </c>
      <c r="D465" t="s">
        <v>2425</v>
      </c>
      <c r="E465" t="s">
        <v>2426</v>
      </c>
      <c r="F465" s="3">
        <v>198.39211834289659</v>
      </c>
      <c r="G465" s="3">
        <v>202.45583111542061</v>
      </c>
      <c r="H465" t="s">
        <v>73</v>
      </c>
      <c r="I465" t="s">
        <v>2424</v>
      </c>
      <c r="J465" s="3">
        <v>7.3461879469325444</v>
      </c>
      <c r="K465" s="3">
        <v>2.048323696761154</v>
      </c>
    </row>
    <row r="466" spans="1:13" x14ac:dyDescent="0.45">
      <c r="A466" t="s">
        <v>2427</v>
      </c>
      <c r="B466">
        <v>1</v>
      </c>
      <c r="C466" t="s">
        <v>1761</v>
      </c>
      <c r="D466" t="s">
        <v>2428</v>
      </c>
      <c r="E466" t="s">
        <v>2429</v>
      </c>
      <c r="F466" s="3">
        <v>340.45539947222312</v>
      </c>
      <c r="G466" s="3">
        <v>329.95936108092047</v>
      </c>
      <c r="H466" t="s">
        <v>73</v>
      </c>
      <c r="I466" t="s">
        <v>2427</v>
      </c>
      <c r="J466" s="3">
        <v>0.82617207308808915</v>
      </c>
      <c r="K466" s="3">
        <v>3.0829407927069421</v>
      </c>
    </row>
    <row r="467" spans="1:13" x14ac:dyDescent="0.45">
      <c r="A467" t="s">
        <v>2430</v>
      </c>
      <c r="B467">
        <v>1</v>
      </c>
      <c r="C467" t="s">
        <v>1761</v>
      </c>
      <c r="D467" t="s">
        <v>2431</v>
      </c>
      <c r="E467" t="s">
        <v>2432</v>
      </c>
      <c r="F467" s="3">
        <v>967.82306282517777</v>
      </c>
      <c r="G467" s="3">
        <v>1054.577723890432</v>
      </c>
      <c r="H467" t="s">
        <v>73</v>
      </c>
      <c r="I467" t="s">
        <v>2430</v>
      </c>
      <c r="J467" s="3">
        <v>0.44468081280491539</v>
      </c>
      <c r="K467" s="3">
        <v>8.9638968523862328</v>
      </c>
    </row>
    <row r="468" spans="1:13" x14ac:dyDescent="0.45">
      <c r="A468" t="s">
        <v>2433</v>
      </c>
      <c r="B468">
        <v>2</v>
      </c>
      <c r="C468" t="s">
        <v>1761</v>
      </c>
      <c r="D468" t="s">
        <v>2434</v>
      </c>
      <c r="E468" t="s">
        <v>2435</v>
      </c>
      <c r="F468" s="3">
        <v>120.30865073561969</v>
      </c>
      <c r="G468" s="3">
        <v>118.00337745791769</v>
      </c>
      <c r="H468" t="s">
        <v>73</v>
      </c>
      <c r="I468" t="s">
        <v>2433</v>
      </c>
      <c r="J468" s="3">
        <v>3.5483063577123062</v>
      </c>
      <c r="K468" s="3">
        <v>1.9161326002797781</v>
      </c>
    </row>
    <row r="469" spans="1:13" x14ac:dyDescent="0.45">
      <c r="A469" t="s">
        <v>2436</v>
      </c>
      <c r="B469">
        <v>2</v>
      </c>
      <c r="C469" t="s">
        <v>1761</v>
      </c>
      <c r="D469" t="s">
        <v>2437</v>
      </c>
      <c r="E469" t="s">
        <v>2438</v>
      </c>
      <c r="F469" s="3">
        <v>51.746340106649917</v>
      </c>
      <c r="G469" s="3">
        <v>53.103802950706999</v>
      </c>
      <c r="H469" t="s">
        <v>73</v>
      </c>
      <c r="I469" t="s">
        <v>2436</v>
      </c>
      <c r="J469" s="3">
        <v>19.322631183474229</v>
      </c>
      <c r="K469" s="3">
        <v>2.62330213356024</v>
      </c>
    </row>
    <row r="470" spans="1:13" x14ac:dyDescent="0.45">
      <c r="A470" t="s">
        <v>2439</v>
      </c>
      <c r="B470">
        <v>1</v>
      </c>
      <c r="C470" t="s">
        <v>1761</v>
      </c>
      <c r="D470" t="s">
        <v>2440</v>
      </c>
      <c r="E470" t="s">
        <v>2441</v>
      </c>
      <c r="F470" s="3">
        <v>331.45968041841758</v>
      </c>
      <c r="G470" s="3">
        <v>379.4307604529962</v>
      </c>
      <c r="H470" t="s">
        <v>73</v>
      </c>
      <c r="I470" t="s">
        <v>2439</v>
      </c>
      <c r="J470" s="3">
        <v>1.2373942308765971</v>
      </c>
      <c r="K470" s="3">
        <v>14.47267431562789</v>
      </c>
    </row>
    <row r="471" spans="1:13" x14ac:dyDescent="0.45">
      <c r="A471" t="s">
        <v>2442</v>
      </c>
      <c r="B471">
        <v>1</v>
      </c>
      <c r="C471" t="s">
        <v>1761</v>
      </c>
      <c r="D471" t="s">
        <v>2443</v>
      </c>
      <c r="E471" t="s">
        <v>2444</v>
      </c>
      <c r="F471" s="3">
        <v>278.76618219087823</v>
      </c>
      <c r="G471" s="3">
        <v>311.12252564226782</v>
      </c>
      <c r="H471" t="s">
        <v>73</v>
      </c>
      <c r="I471" t="s">
        <v>2442</v>
      </c>
      <c r="J471" s="3">
        <v>0.83962749707698014</v>
      </c>
      <c r="K471" s="3">
        <v>11.606983026812889</v>
      </c>
    </row>
    <row r="472" spans="1:13" x14ac:dyDescent="0.45">
      <c r="A472" t="s">
        <v>2445</v>
      </c>
      <c r="B472">
        <v>2</v>
      </c>
      <c r="C472" t="s">
        <v>1761</v>
      </c>
      <c r="D472" t="s">
        <v>2446</v>
      </c>
      <c r="E472" t="s">
        <v>2447</v>
      </c>
      <c r="F472" s="3">
        <v>94.23766683920951</v>
      </c>
      <c r="G472" s="3">
        <v>91.076885382756558</v>
      </c>
      <c r="H472" t="s">
        <v>73</v>
      </c>
      <c r="I472" t="s">
        <v>2445</v>
      </c>
      <c r="J472" s="3">
        <v>5.5536459716188959</v>
      </c>
      <c r="K472" s="3">
        <v>3.354053174773481</v>
      </c>
    </row>
    <row r="473" spans="1:13" x14ac:dyDescent="0.45">
      <c r="A473" t="s">
        <v>2448</v>
      </c>
      <c r="B473">
        <v>1</v>
      </c>
      <c r="C473" t="s">
        <v>1761</v>
      </c>
      <c r="D473" t="s">
        <v>2449</v>
      </c>
      <c r="E473" t="s">
        <v>2450</v>
      </c>
      <c r="F473" s="3">
        <v>117.7884404050024</v>
      </c>
      <c r="G473" s="3">
        <v>123.30765862872509</v>
      </c>
      <c r="H473" t="s">
        <v>73</v>
      </c>
      <c r="I473" t="s">
        <v>2448</v>
      </c>
      <c r="J473" s="3">
        <v>5.8414888976608657</v>
      </c>
      <c r="K473" s="3">
        <v>4.6857044755372543</v>
      </c>
    </row>
    <row r="474" spans="1:13" x14ac:dyDescent="0.45">
      <c r="A474" t="s">
        <v>2451</v>
      </c>
      <c r="B474">
        <v>2</v>
      </c>
      <c r="C474" t="s">
        <v>1761</v>
      </c>
      <c r="D474" t="s">
        <v>2452</v>
      </c>
      <c r="E474" t="s">
        <v>2453</v>
      </c>
      <c r="F474" s="3">
        <v>66.86270974468782</v>
      </c>
      <c r="G474" s="3">
        <v>68.697665525722215</v>
      </c>
      <c r="H474" t="s">
        <v>73</v>
      </c>
      <c r="I474" t="s">
        <v>2451</v>
      </c>
      <c r="J474" s="3">
        <v>2.170210175853259</v>
      </c>
      <c r="K474" s="3">
        <v>2.7443634696246861</v>
      </c>
    </row>
    <row r="475" spans="1:13" x14ac:dyDescent="0.45">
      <c r="A475" t="s">
        <v>2454</v>
      </c>
      <c r="B475">
        <v>1</v>
      </c>
      <c r="C475" t="s">
        <v>1761</v>
      </c>
      <c r="D475" t="s">
        <v>2455</v>
      </c>
      <c r="E475" t="s">
        <v>2456</v>
      </c>
      <c r="F475" s="3">
        <v>119.7342893544605</v>
      </c>
      <c r="G475" s="3">
        <v>127.0962911122828</v>
      </c>
      <c r="H475" t="s">
        <v>73</v>
      </c>
      <c r="I475" t="s">
        <v>2454</v>
      </c>
      <c r="J475" s="3">
        <v>6.1094722723355881</v>
      </c>
      <c r="K475" s="3">
        <v>6.1486160710637421</v>
      </c>
    </row>
    <row r="476" spans="1:13" x14ac:dyDescent="0.45">
      <c r="A476" t="s">
        <v>2457</v>
      </c>
      <c r="B476">
        <v>3</v>
      </c>
      <c r="C476" t="s">
        <v>1761</v>
      </c>
      <c r="D476" t="s">
        <v>2458</v>
      </c>
      <c r="E476" t="s">
        <v>2459</v>
      </c>
      <c r="F476" s="3">
        <v>168.64339513135249</v>
      </c>
      <c r="G476" s="3">
        <v>167.19102078137979</v>
      </c>
      <c r="H476" t="s">
        <v>73</v>
      </c>
      <c r="I476" t="s">
        <v>2457</v>
      </c>
      <c r="J476" s="3">
        <v>1.5571561241160119</v>
      </c>
      <c r="K476" s="3">
        <v>0.86121033607122544</v>
      </c>
    </row>
    <row r="477" spans="1:13" x14ac:dyDescent="0.45">
      <c r="A477" t="s">
        <v>2460</v>
      </c>
      <c r="B477">
        <v>2</v>
      </c>
      <c r="C477" t="s">
        <v>1774</v>
      </c>
      <c r="G477" s="3">
        <v>35.817188775341883</v>
      </c>
      <c r="H477" t="s">
        <v>1755</v>
      </c>
      <c r="I477" t="s">
        <v>2460</v>
      </c>
      <c r="M477" t="s">
        <v>1757</v>
      </c>
    </row>
    <row r="478" spans="1:13" x14ac:dyDescent="0.45">
      <c r="A478" t="s">
        <v>2461</v>
      </c>
      <c r="B478">
        <v>1</v>
      </c>
      <c r="C478" t="s">
        <v>1761</v>
      </c>
      <c r="D478" t="s">
        <v>2462</v>
      </c>
      <c r="E478" t="s">
        <v>2463</v>
      </c>
      <c r="F478" s="3">
        <v>260.50827432267272</v>
      </c>
      <c r="G478" s="3">
        <v>285.85551721692929</v>
      </c>
      <c r="H478" t="s">
        <v>73</v>
      </c>
      <c r="I478" t="s">
        <v>2461</v>
      </c>
      <c r="J478" s="3">
        <v>1.355514223125232</v>
      </c>
      <c r="K478" s="3">
        <v>9.7299185448754244</v>
      </c>
    </row>
    <row r="479" spans="1:13" x14ac:dyDescent="0.45">
      <c r="A479" t="s">
        <v>2464</v>
      </c>
      <c r="B479">
        <v>2</v>
      </c>
      <c r="C479" t="s">
        <v>1761</v>
      </c>
      <c r="D479" t="s">
        <v>2465</v>
      </c>
      <c r="E479" t="s">
        <v>2466</v>
      </c>
      <c r="F479" s="3">
        <v>401.67038538036769</v>
      </c>
      <c r="G479" s="3">
        <v>401.97142771700032</v>
      </c>
      <c r="H479" t="s">
        <v>73</v>
      </c>
      <c r="I479" t="s">
        <v>2464</v>
      </c>
      <c r="J479" s="3">
        <v>0.83878376949729638</v>
      </c>
      <c r="K479" s="3">
        <v>7.4947605696025113E-2</v>
      </c>
    </row>
    <row r="480" spans="1:13" x14ac:dyDescent="0.45">
      <c r="A480" t="s">
        <v>2467</v>
      </c>
      <c r="B480">
        <v>1</v>
      </c>
      <c r="C480" t="s">
        <v>1761</v>
      </c>
      <c r="D480" t="s">
        <v>2468</v>
      </c>
      <c r="E480" t="s">
        <v>2469</v>
      </c>
      <c r="F480" s="3">
        <v>107.7845719876745</v>
      </c>
      <c r="G480" s="3">
        <v>105.5269175411192</v>
      </c>
      <c r="H480" t="s">
        <v>73</v>
      </c>
      <c r="I480" t="s">
        <v>2467</v>
      </c>
      <c r="J480" s="3">
        <v>3.709943392977944</v>
      </c>
      <c r="K480" s="3">
        <v>2.0945988882467028</v>
      </c>
    </row>
    <row r="481" spans="1:13" x14ac:dyDescent="0.45">
      <c r="A481" t="s">
        <v>2470</v>
      </c>
      <c r="B481">
        <v>1</v>
      </c>
      <c r="C481" t="s">
        <v>1761</v>
      </c>
      <c r="D481" t="s">
        <v>2471</v>
      </c>
      <c r="E481" t="s">
        <v>2472</v>
      </c>
      <c r="F481" s="3">
        <v>763.83214410239555</v>
      </c>
      <c r="G481" s="3">
        <v>766.61425800431937</v>
      </c>
      <c r="H481" t="s">
        <v>73</v>
      </c>
      <c r="I481" t="s">
        <v>2470</v>
      </c>
      <c r="J481" s="3">
        <v>1.5429390732152031</v>
      </c>
      <c r="K481" s="3">
        <v>0.36423105827696078</v>
      </c>
    </row>
    <row r="482" spans="1:13" x14ac:dyDescent="0.45">
      <c r="A482" t="s">
        <v>2473</v>
      </c>
      <c r="B482">
        <v>1</v>
      </c>
      <c r="C482" t="s">
        <v>1761</v>
      </c>
      <c r="D482" t="s">
        <v>2474</v>
      </c>
      <c r="E482" t="s">
        <v>2475</v>
      </c>
      <c r="F482" s="3">
        <v>123.82559495653931</v>
      </c>
      <c r="G482" s="3">
        <v>123.21568253020899</v>
      </c>
      <c r="H482" t="s">
        <v>73</v>
      </c>
      <c r="I482" t="s">
        <v>2473</v>
      </c>
      <c r="J482" s="3">
        <v>2.0063088946995178</v>
      </c>
      <c r="K482" s="3">
        <v>0.49255763846268708</v>
      </c>
    </row>
    <row r="483" spans="1:13" x14ac:dyDescent="0.45">
      <c r="A483" t="s">
        <v>2476</v>
      </c>
      <c r="B483">
        <v>2</v>
      </c>
      <c r="C483" t="s">
        <v>1761</v>
      </c>
      <c r="D483" t="s">
        <v>2477</v>
      </c>
      <c r="E483" t="s">
        <v>2478</v>
      </c>
      <c r="F483" s="3">
        <v>288.88974999882822</v>
      </c>
      <c r="G483" s="3">
        <v>300.90828636131249</v>
      </c>
      <c r="H483" t="s">
        <v>73</v>
      </c>
      <c r="I483" t="s">
        <v>2476</v>
      </c>
      <c r="J483" s="3">
        <v>2.030689005509656</v>
      </c>
      <c r="K483" s="3">
        <v>4.1602501862849133</v>
      </c>
    </row>
    <row r="484" spans="1:13" x14ac:dyDescent="0.45">
      <c r="A484" t="s">
        <v>2479</v>
      </c>
      <c r="B484">
        <v>2</v>
      </c>
      <c r="C484" t="s">
        <v>1761</v>
      </c>
      <c r="D484" t="s">
        <v>2480</v>
      </c>
      <c r="E484" t="s">
        <v>2481</v>
      </c>
      <c r="F484" s="3">
        <v>107.14726242561591</v>
      </c>
      <c r="G484" s="3">
        <v>109.3827382384865</v>
      </c>
      <c r="H484" t="s">
        <v>73</v>
      </c>
      <c r="I484" t="s">
        <v>2479</v>
      </c>
      <c r="J484" s="3">
        <v>6.8266303400130059</v>
      </c>
      <c r="K484" s="3">
        <v>2.0863583093618292</v>
      </c>
    </row>
    <row r="485" spans="1:13" x14ac:dyDescent="0.45">
      <c r="A485" t="s">
        <v>2482</v>
      </c>
      <c r="B485">
        <v>1</v>
      </c>
      <c r="C485" t="s">
        <v>1761</v>
      </c>
      <c r="D485" t="s">
        <v>2483</v>
      </c>
      <c r="E485" t="s">
        <v>2484</v>
      </c>
      <c r="F485" s="3">
        <v>218.75014712722029</v>
      </c>
      <c r="G485" s="3">
        <v>221.56813823069291</v>
      </c>
      <c r="H485" t="s">
        <v>73</v>
      </c>
      <c r="I485" t="s">
        <v>2482</v>
      </c>
      <c r="J485" s="3">
        <v>1.953691732428336</v>
      </c>
      <c r="K485" s="3">
        <v>1.288223638009143</v>
      </c>
    </row>
    <row r="486" spans="1:13" x14ac:dyDescent="0.45">
      <c r="A486" t="s">
        <v>2485</v>
      </c>
      <c r="B486">
        <v>1</v>
      </c>
      <c r="C486" t="s">
        <v>1761</v>
      </c>
      <c r="D486" t="s">
        <v>2486</v>
      </c>
      <c r="E486" t="s">
        <v>2487</v>
      </c>
      <c r="F486" s="3">
        <v>328.45545402326871</v>
      </c>
      <c r="G486" s="3">
        <v>336.08457785444102</v>
      </c>
      <c r="H486" t="s">
        <v>73</v>
      </c>
      <c r="I486" t="s">
        <v>2485</v>
      </c>
      <c r="J486" s="3">
        <v>1.6288335067023101</v>
      </c>
      <c r="K486" s="3">
        <v>2.3227270966953961</v>
      </c>
    </row>
    <row r="487" spans="1:13" x14ac:dyDescent="0.45">
      <c r="A487" t="s">
        <v>2488</v>
      </c>
      <c r="B487">
        <v>1</v>
      </c>
      <c r="C487" t="s">
        <v>1761</v>
      </c>
      <c r="D487" t="s">
        <v>2489</v>
      </c>
      <c r="E487" t="s">
        <v>2490</v>
      </c>
      <c r="F487" s="3">
        <v>147.11609573291429</v>
      </c>
      <c r="G487" s="3">
        <v>135.87413770577351</v>
      </c>
      <c r="H487" t="s">
        <v>73</v>
      </c>
      <c r="I487" t="s">
        <v>2488</v>
      </c>
      <c r="J487" s="3">
        <v>4.9905146741301287</v>
      </c>
      <c r="K487" s="3">
        <v>7.6415554471688969</v>
      </c>
    </row>
    <row r="488" spans="1:13" x14ac:dyDescent="0.45">
      <c r="A488" t="s">
        <v>2491</v>
      </c>
      <c r="B488">
        <v>2</v>
      </c>
      <c r="C488" t="s">
        <v>1761</v>
      </c>
      <c r="D488" t="s">
        <v>2492</v>
      </c>
      <c r="E488" t="s">
        <v>2493</v>
      </c>
      <c r="F488" s="3">
        <v>109.2649957861307</v>
      </c>
      <c r="G488" s="3">
        <v>103.596071785036</v>
      </c>
      <c r="H488" t="s">
        <v>73</v>
      </c>
      <c r="I488" t="s">
        <v>2491</v>
      </c>
      <c r="J488" s="3">
        <v>5.3623672031301153</v>
      </c>
      <c r="K488" s="3">
        <v>5.1882343108224269</v>
      </c>
    </row>
    <row r="489" spans="1:13" x14ac:dyDescent="0.45">
      <c r="A489" t="s">
        <v>2494</v>
      </c>
      <c r="B489">
        <v>1</v>
      </c>
      <c r="C489" t="s">
        <v>1761</v>
      </c>
      <c r="D489" t="s">
        <v>2495</v>
      </c>
      <c r="E489" t="s">
        <v>2496</v>
      </c>
      <c r="F489" s="3">
        <v>175.35275797736361</v>
      </c>
      <c r="G489" s="3">
        <v>173.68740351274189</v>
      </c>
      <c r="H489" t="s">
        <v>73</v>
      </c>
      <c r="I489" t="s">
        <v>2494</v>
      </c>
      <c r="J489" s="3">
        <v>2.045992789934354</v>
      </c>
      <c r="K489" s="3">
        <v>0.94971672178470234</v>
      </c>
    </row>
    <row r="490" spans="1:13" x14ac:dyDescent="0.45">
      <c r="A490" t="s">
        <v>2497</v>
      </c>
      <c r="B490">
        <v>1</v>
      </c>
      <c r="C490" t="s">
        <v>1761</v>
      </c>
      <c r="D490" t="s">
        <v>2498</v>
      </c>
      <c r="E490" t="s">
        <v>2499</v>
      </c>
      <c r="F490" s="3">
        <v>194.48802650162719</v>
      </c>
      <c r="G490" s="3">
        <v>196.338637788792</v>
      </c>
      <c r="H490" t="s">
        <v>73</v>
      </c>
      <c r="I490" t="s">
        <v>2497</v>
      </c>
      <c r="J490" s="3">
        <v>2.881301296908064</v>
      </c>
      <c r="K490" s="3">
        <v>0.9515296753496113</v>
      </c>
    </row>
    <row r="491" spans="1:13" x14ac:dyDescent="0.45">
      <c r="A491" t="s">
        <v>2500</v>
      </c>
      <c r="B491">
        <v>1</v>
      </c>
      <c r="C491" t="s">
        <v>1761</v>
      </c>
      <c r="D491" t="s">
        <v>2501</v>
      </c>
      <c r="E491" t="s">
        <v>2502</v>
      </c>
      <c r="F491" s="3">
        <v>166.32148787838699</v>
      </c>
      <c r="G491" s="3">
        <v>157.6532298278091</v>
      </c>
      <c r="H491" t="s">
        <v>73</v>
      </c>
      <c r="I491" t="s">
        <v>2500</v>
      </c>
      <c r="J491" s="3">
        <v>0.61164823988723915</v>
      </c>
      <c r="K491" s="3">
        <v>5.211748741038229</v>
      </c>
    </row>
    <row r="492" spans="1:13" x14ac:dyDescent="0.45">
      <c r="A492" t="s">
        <v>2503</v>
      </c>
      <c r="B492">
        <v>1</v>
      </c>
      <c r="C492" t="s">
        <v>1761</v>
      </c>
      <c r="D492" t="s">
        <v>2504</v>
      </c>
      <c r="E492" t="s">
        <v>2505</v>
      </c>
      <c r="F492" s="3">
        <v>383.26244557841238</v>
      </c>
      <c r="G492" s="3">
        <v>395.48743892799149</v>
      </c>
      <c r="H492" t="s">
        <v>73</v>
      </c>
      <c r="I492" t="s">
        <v>2503</v>
      </c>
      <c r="J492" s="3">
        <v>1.3925674399453969</v>
      </c>
      <c r="K492" s="3">
        <v>3.1897185572484879</v>
      </c>
    </row>
    <row r="493" spans="1:13" x14ac:dyDescent="0.45">
      <c r="A493" t="s">
        <v>2506</v>
      </c>
      <c r="B493">
        <v>1</v>
      </c>
      <c r="C493" t="s">
        <v>1761</v>
      </c>
      <c r="D493" t="s">
        <v>2507</v>
      </c>
      <c r="E493" t="s">
        <v>2508</v>
      </c>
      <c r="F493" s="3">
        <v>119.427376203029</v>
      </c>
      <c r="G493" s="3">
        <v>128.33144531469611</v>
      </c>
      <c r="H493" t="s">
        <v>73</v>
      </c>
      <c r="I493" t="s">
        <v>2506</v>
      </c>
      <c r="J493" s="3">
        <v>3.5932577488565989</v>
      </c>
      <c r="K493" s="3">
        <v>7.4556348759852202</v>
      </c>
    </row>
    <row r="494" spans="1:13" x14ac:dyDescent="0.45">
      <c r="A494" t="s">
        <v>2509</v>
      </c>
      <c r="B494">
        <v>1</v>
      </c>
      <c r="C494" t="s">
        <v>1761</v>
      </c>
      <c r="D494" t="s">
        <v>2510</v>
      </c>
      <c r="E494" t="s">
        <v>2511</v>
      </c>
      <c r="F494" s="3">
        <v>633.31349411873089</v>
      </c>
      <c r="G494" s="3">
        <v>501.12948967044463</v>
      </c>
      <c r="H494" t="s">
        <v>73</v>
      </c>
      <c r="I494" t="s">
        <v>2509</v>
      </c>
      <c r="J494" s="3">
        <v>0.33822027075162509</v>
      </c>
      <c r="K494" s="3">
        <v>20.871812408201279</v>
      </c>
      <c r="M494" t="s">
        <v>1752</v>
      </c>
    </row>
    <row r="495" spans="1:13" x14ac:dyDescent="0.45">
      <c r="A495" t="s">
        <v>2512</v>
      </c>
      <c r="B495">
        <v>1</v>
      </c>
      <c r="C495" t="s">
        <v>1761</v>
      </c>
      <c r="D495" t="s">
        <v>2513</v>
      </c>
      <c r="E495" t="s">
        <v>2514</v>
      </c>
      <c r="F495" s="3">
        <v>91.181581580003623</v>
      </c>
      <c r="G495" s="3">
        <v>91.972510795966727</v>
      </c>
      <c r="H495" t="s">
        <v>73</v>
      </c>
      <c r="I495" t="s">
        <v>2512</v>
      </c>
      <c r="J495" s="3">
        <v>9.9348013546754856</v>
      </c>
      <c r="K495" s="3">
        <v>0.86742212874332791</v>
      </c>
    </row>
    <row r="496" spans="1:13" x14ac:dyDescent="0.45">
      <c r="A496" t="s">
        <v>2515</v>
      </c>
      <c r="B496">
        <v>3</v>
      </c>
      <c r="C496" t="s">
        <v>1761</v>
      </c>
      <c r="D496" t="s">
        <v>2516</v>
      </c>
      <c r="E496" t="s">
        <v>2517</v>
      </c>
      <c r="F496" s="3">
        <v>176.77838750436351</v>
      </c>
      <c r="G496" s="3">
        <v>187.93358793503151</v>
      </c>
      <c r="H496" t="s">
        <v>73</v>
      </c>
      <c r="I496" t="s">
        <v>2515</v>
      </c>
      <c r="J496" s="3">
        <v>1.3987742921129549</v>
      </c>
      <c r="K496" s="3">
        <v>6.3102738904622671</v>
      </c>
    </row>
    <row r="497" spans="1:13" x14ac:dyDescent="0.45">
      <c r="A497" t="s">
        <v>2518</v>
      </c>
      <c r="B497">
        <v>1</v>
      </c>
      <c r="C497" t="s">
        <v>1761</v>
      </c>
      <c r="D497" t="s">
        <v>2519</v>
      </c>
      <c r="E497" t="s">
        <v>2520</v>
      </c>
      <c r="F497" s="3">
        <v>236.3453052359055</v>
      </c>
      <c r="G497" s="3">
        <v>270.32199357179178</v>
      </c>
      <c r="H497" t="s">
        <v>73</v>
      </c>
      <c r="I497" t="s">
        <v>2518</v>
      </c>
      <c r="J497" s="3">
        <v>1.030225517620931</v>
      </c>
      <c r="K497" s="3">
        <v>14.37586767461822</v>
      </c>
    </row>
    <row r="498" spans="1:13" x14ac:dyDescent="0.45">
      <c r="A498" t="s">
        <v>2521</v>
      </c>
      <c r="B498">
        <v>1</v>
      </c>
      <c r="C498" t="s">
        <v>1761</v>
      </c>
      <c r="D498" t="s">
        <v>2522</v>
      </c>
      <c r="E498" t="s">
        <v>2523</v>
      </c>
      <c r="F498" s="3">
        <v>518.53156320352139</v>
      </c>
      <c r="G498" s="3">
        <v>594.23082768968902</v>
      </c>
      <c r="H498" t="s">
        <v>73</v>
      </c>
      <c r="I498" t="s">
        <v>2521</v>
      </c>
      <c r="J498" s="3">
        <v>1.3772772824812169</v>
      </c>
      <c r="K498" s="3">
        <v>14.59877659490826</v>
      </c>
    </row>
    <row r="499" spans="1:13" x14ac:dyDescent="0.45">
      <c r="A499" t="s">
        <v>2524</v>
      </c>
      <c r="B499">
        <v>1</v>
      </c>
      <c r="C499" t="s">
        <v>1761</v>
      </c>
      <c r="D499" t="s">
        <v>2525</v>
      </c>
      <c r="E499" t="s">
        <v>2526</v>
      </c>
      <c r="F499" s="3">
        <v>124.2975432350954</v>
      </c>
      <c r="G499" s="3">
        <v>122.79983314862019</v>
      </c>
      <c r="H499" t="s">
        <v>73</v>
      </c>
      <c r="I499" t="s">
        <v>2524</v>
      </c>
      <c r="J499" s="3">
        <v>5.8013221075192556</v>
      </c>
      <c r="K499" s="3">
        <v>1.2049394119098049</v>
      </c>
    </row>
    <row r="500" spans="1:13" x14ac:dyDescent="0.45">
      <c r="A500" t="s">
        <v>2527</v>
      </c>
      <c r="B500">
        <v>2</v>
      </c>
      <c r="C500" t="s">
        <v>1761</v>
      </c>
      <c r="D500" t="s">
        <v>2528</v>
      </c>
      <c r="E500" t="s">
        <v>2529</v>
      </c>
      <c r="F500" s="3">
        <v>114.0007863905779</v>
      </c>
      <c r="G500" s="3">
        <v>123.4430135254776</v>
      </c>
      <c r="H500" t="s">
        <v>73</v>
      </c>
      <c r="I500" t="s">
        <v>2527</v>
      </c>
      <c r="J500" s="3">
        <v>3.2004991605138828</v>
      </c>
      <c r="K500" s="3">
        <v>8.2825982467785</v>
      </c>
    </row>
    <row r="501" spans="1:13" x14ac:dyDescent="0.45">
      <c r="A501" t="s">
        <v>2530</v>
      </c>
      <c r="B501">
        <v>1</v>
      </c>
      <c r="C501" t="s">
        <v>1761</v>
      </c>
      <c r="D501" t="s">
        <v>2531</v>
      </c>
      <c r="E501" t="s">
        <v>2532</v>
      </c>
      <c r="F501" s="3">
        <v>236.85997999994251</v>
      </c>
      <c r="G501" s="3">
        <v>238.40759201220851</v>
      </c>
      <c r="H501" t="s">
        <v>73</v>
      </c>
      <c r="I501" t="s">
        <v>2530</v>
      </c>
      <c r="J501" s="3">
        <v>3.270506997560815</v>
      </c>
      <c r="K501" s="3">
        <v>0.65338687112375127</v>
      </c>
    </row>
    <row r="502" spans="1:13" x14ac:dyDescent="0.45">
      <c r="A502" t="s">
        <v>2533</v>
      </c>
      <c r="B502">
        <v>2</v>
      </c>
      <c r="C502" t="s">
        <v>1761</v>
      </c>
      <c r="D502" t="s">
        <v>2534</v>
      </c>
      <c r="E502" t="s">
        <v>2535</v>
      </c>
      <c r="F502" s="3">
        <v>316.3495077515563</v>
      </c>
      <c r="G502" s="3">
        <v>276.30892004116032</v>
      </c>
      <c r="H502" t="s">
        <v>73</v>
      </c>
      <c r="I502" t="s">
        <v>2533</v>
      </c>
      <c r="J502" s="3">
        <v>1.468818693387361</v>
      </c>
      <c r="K502" s="3">
        <v>12.657072866963871</v>
      </c>
    </row>
    <row r="503" spans="1:13" x14ac:dyDescent="0.45">
      <c r="A503" t="s">
        <v>2536</v>
      </c>
      <c r="B503">
        <v>1</v>
      </c>
      <c r="C503" t="s">
        <v>1761</v>
      </c>
      <c r="D503" t="s">
        <v>2537</v>
      </c>
      <c r="E503" t="s">
        <v>2538</v>
      </c>
      <c r="F503" s="3">
        <v>74.109578301176143</v>
      </c>
      <c r="G503" s="3">
        <v>73.476182615650217</v>
      </c>
      <c r="H503" t="s">
        <v>73</v>
      </c>
      <c r="I503" t="s">
        <v>2536</v>
      </c>
      <c r="J503" s="3">
        <v>8.8391311334525131</v>
      </c>
      <c r="K503" s="3">
        <v>0.85467452392165399</v>
      </c>
    </row>
    <row r="504" spans="1:13" x14ac:dyDescent="0.45">
      <c r="A504" t="s">
        <v>2539</v>
      </c>
      <c r="B504">
        <v>2</v>
      </c>
      <c r="C504" t="s">
        <v>1761</v>
      </c>
      <c r="D504" t="s">
        <v>2540</v>
      </c>
      <c r="E504" t="s">
        <v>2541</v>
      </c>
      <c r="F504" s="3">
        <v>53.821346981683831</v>
      </c>
      <c r="G504" s="3">
        <v>53.258727230122453</v>
      </c>
      <c r="H504" t="s">
        <v>73</v>
      </c>
      <c r="I504" t="s">
        <v>2539</v>
      </c>
      <c r="J504" s="3">
        <v>5.0440390209912644</v>
      </c>
      <c r="K504" s="3">
        <v>1.045346843052531</v>
      </c>
    </row>
    <row r="505" spans="1:13" x14ac:dyDescent="0.45">
      <c r="A505" t="s">
        <v>2542</v>
      </c>
      <c r="B505">
        <v>1</v>
      </c>
      <c r="C505" t="s">
        <v>1761</v>
      </c>
      <c r="D505" t="s">
        <v>2543</v>
      </c>
      <c r="E505" t="s">
        <v>2544</v>
      </c>
      <c r="F505" s="3">
        <v>84.914486782176411</v>
      </c>
      <c r="G505" s="3">
        <v>85.305548279058783</v>
      </c>
      <c r="H505" t="s">
        <v>73</v>
      </c>
      <c r="I505" t="s">
        <v>2542</v>
      </c>
      <c r="J505" s="3">
        <v>2.21080639583439</v>
      </c>
      <c r="K505" s="3">
        <v>0.46053566558735087</v>
      </c>
    </row>
    <row r="506" spans="1:13" x14ac:dyDescent="0.45">
      <c r="A506" t="s">
        <v>2545</v>
      </c>
      <c r="B506">
        <v>1</v>
      </c>
      <c r="C506" t="s">
        <v>1761</v>
      </c>
      <c r="D506" t="s">
        <v>2546</v>
      </c>
      <c r="E506" t="s">
        <v>2547</v>
      </c>
      <c r="F506" s="3">
        <v>221.57368288911411</v>
      </c>
      <c r="G506" s="3">
        <v>240.16851029550111</v>
      </c>
      <c r="H506" t="s">
        <v>73</v>
      </c>
      <c r="I506" t="s">
        <v>2545</v>
      </c>
      <c r="J506" s="3">
        <v>1.9052477491279971</v>
      </c>
      <c r="K506" s="3">
        <v>8.3921642516059514</v>
      </c>
    </row>
    <row r="507" spans="1:13" x14ac:dyDescent="0.45">
      <c r="A507" t="s">
        <v>2548</v>
      </c>
      <c r="B507">
        <v>1</v>
      </c>
      <c r="C507" t="s">
        <v>1761</v>
      </c>
      <c r="D507" t="s">
        <v>2549</v>
      </c>
      <c r="E507" t="s">
        <v>2550</v>
      </c>
      <c r="F507" s="3">
        <v>213.7328835688036</v>
      </c>
      <c r="G507" s="3">
        <v>219.95529494288371</v>
      </c>
      <c r="H507" t="s">
        <v>73</v>
      </c>
      <c r="I507" t="s">
        <v>2548</v>
      </c>
      <c r="J507" s="3">
        <v>4.2499311988365038</v>
      </c>
      <c r="K507" s="3">
        <v>2.9113027767095701</v>
      </c>
    </row>
    <row r="508" spans="1:13" x14ac:dyDescent="0.45">
      <c r="A508" t="s">
        <v>2551</v>
      </c>
      <c r="B508">
        <v>1</v>
      </c>
      <c r="C508" t="s">
        <v>1761</v>
      </c>
      <c r="D508" t="s">
        <v>2552</v>
      </c>
      <c r="E508" t="s">
        <v>2553</v>
      </c>
      <c r="F508" s="3">
        <v>103.4104888061152</v>
      </c>
      <c r="G508" s="3">
        <v>103.9675638992554</v>
      </c>
      <c r="H508" t="s">
        <v>73</v>
      </c>
      <c r="I508" t="s">
        <v>2551</v>
      </c>
      <c r="J508" s="3">
        <v>2.966547311090475</v>
      </c>
      <c r="K508" s="3">
        <v>0.53870269792908498</v>
      </c>
    </row>
    <row r="509" spans="1:13" x14ac:dyDescent="0.45">
      <c r="A509" t="s">
        <v>2554</v>
      </c>
      <c r="B509">
        <v>1</v>
      </c>
      <c r="C509" t="s">
        <v>1761</v>
      </c>
      <c r="D509" t="s">
        <v>2555</v>
      </c>
      <c r="E509" t="s">
        <v>2556</v>
      </c>
      <c r="F509" s="3">
        <v>358.80789268996648</v>
      </c>
      <c r="G509" s="3">
        <v>430.03392245574889</v>
      </c>
      <c r="H509" t="s">
        <v>73</v>
      </c>
      <c r="I509" t="s">
        <v>2554</v>
      </c>
      <c r="J509" s="3">
        <v>0.84641869004927894</v>
      </c>
      <c r="K509" s="3">
        <v>19.850742198507419</v>
      </c>
    </row>
    <row r="510" spans="1:13" x14ac:dyDescent="0.45">
      <c r="A510" t="s">
        <v>2557</v>
      </c>
      <c r="B510">
        <v>1</v>
      </c>
      <c r="C510" t="s">
        <v>1761</v>
      </c>
      <c r="D510" t="s">
        <v>2558</v>
      </c>
      <c r="E510" t="s">
        <v>2559</v>
      </c>
      <c r="F510" s="3">
        <v>381.46956397010359</v>
      </c>
      <c r="G510" s="3">
        <v>485.75773958865449</v>
      </c>
      <c r="H510" t="s">
        <v>73</v>
      </c>
      <c r="I510" t="s">
        <v>2557</v>
      </c>
      <c r="J510" s="3">
        <v>0.93306435189923009</v>
      </c>
      <c r="K510" s="3">
        <v>27.33853116174798</v>
      </c>
      <c r="M510" t="s">
        <v>1752</v>
      </c>
    </row>
    <row r="511" spans="1:13" x14ac:dyDescent="0.45">
      <c r="A511" t="s">
        <v>2560</v>
      </c>
      <c r="B511">
        <v>1</v>
      </c>
      <c r="C511" t="s">
        <v>1761</v>
      </c>
      <c r="D511" t="s">
        <v>2561</v>
      </c>
      <c r="E511" t="s">
        <v>2562</v>
      </c>
      <c r="F511" s="3">
        <v>1832.339354572355</v>
      </c>
      <c r="G511" s="3">
        <v>1623.6814642408231</v>
      </c>
      <c r="H511" t="s">
        <v>73</v>
      </c>
      <c r="I511" t="s">
        <v>2560</v>
      </c>
      <c r="J511" s="3">
        <v>7.6049393240856494E-2</v>
      </c>
      <c r="K511" s="3">
        <v>11.38751344344888</v>
      </c>
    </row>
    <row r="512" spans="1:13" x14ac:dyDescent="0.45">
      <c r="A512" t="s">
        <v>2563</v>
      </c>
      <c r="B512">
        <v>1</v>
      </c>
      <c r="C512" t="s">
        <v>1761</v>
      </c>
      <c r="D512" t="s">
        <v>2564</v>
      </c>
      <c r="E512" t="s">
        <v>2565</v>
      </c>
      <c r="F512" s="3">
        <v>221.4233247989867</v>
      </c>
      <c r="G512" s="3">
        <v>230.86392115199791</v>
      </c>
      <c r="H512" t="s">
        <v>73</v>
      </c>
      <c r="I512" t="s">
        <v>2563</v>
      </c>
      <c r="J512" s="3">
        <v>4.3448889694573376</v>
      </c>
      <c r="K512" s="3">
        <v>4.2635961507585112</v>
      </c>
    </row>
    <row r="513" spans="1:13" x14ac:dyDescent="0.45">
      <c r="A513" t="s">
        <v>2566</v>
      </c>
      <c r="B513">
        <v>1</v>
      </c>
      <c r="C513" t="s">
        <v>1761</v>
      </c>
      <c r="D513" t="s">
        <v>2567</v>
      </c>
      <c r="E513" t="s">
        <v>2568</v>
      </c>
      <c r="F513" s="3">
        <v>313.3107087803694</v>
      </c>
      <c r="G513" s="3">
        <v>342.96973898804151</v>
      </c>
      <c r="H513" t="s">
        <v>73</v>
      </c>
      <c r="I513" t="s">
        <v>2566</v>
      </c>
      <c r="J513" s="3">
        <v>1.5270773839921441</v>
      </c>
      <c r="K513" s="3">
        <v>9.466331464738742</v>
      </c>
    </row>
    <row r="514" spans="1:13" x14ac:dyDescent="0.45">
      <c r="A514" t="s">
        <v>2569</v>
      </c>
      <c r="B514">
        <v>2</v>
      </c>
      <c r="C514" t="s">
        <v>1774</v>
      </c>
      <c r="G514" s="3">
        <v>167.88442924040561</v>
      </c>
      <c r="H514" t="s">
        <v>1755</v>
      </c>
      <c r="I514" t="s">
        <v>2569</v>
      </c>
      <c r="M514" t="s">
        <v>1757</v>
      </c>
    </row>
    <row r="515" spans="1:13" x14ac:dyDescent="0.45">
      <c r="A515" t="s">
        <v>2570</v>
      </c>
      <c r="B515">
        <v>1</v>
      </c>
      <c r="C515" t="s">
        <v>1774</v>
      </c>
      <c r="G515" s="3">
        <v>167.3159386740453</v>
      </c>
      <c r="H515" t="s">
        <v>1755</v>
      </c>
      <c r="I515" t="s">
        <v>2570</v>
      </c>
      <c r="M515" t="s">
        <v>1757</v>
      </c>
    </row>
    <row r="516" spans="1:13" x14ac:dyDescent="0.45">
      <c r="A516" t="s">
        <v>2571</v>
      </c>
      <c r="B516">
        <v>2</v>
      </c>
      <c r="C516" t="s">
        <v>1761</v>
      </c>
      <c r="D516" t="s">
        <v>2572</v>
      </c>
      <c r="E516" t="s">
        <v>2573</v>
      </c>
      <c r="F516" s="3">
        <v>78.934409596739926</v>
      </c>
      <c r="G516" s="3">
        <v>78.318300199232993</v>
      </c>
      <c r="H516" t="s">
        <v>73</v>
      </c>
      <c r="I516" t="s">
        <v>2571</v>
      </c>
      <c r="J516" s="3">
        <v>3.7270891847181589</v>
      </c>
      <c r="K516" s="3">
        <v>0.78053335757435638</v>
      </c>
    </row>
    <row r="517" spans="1:13" x14ac:dyDescent="0.45">
      <c r="A517" t="s">
        <v>2574</v>
      </c>
      <c r="B517">
        <v>5</v>
      </c>
      <c r="C517" t="s">
        <v>1761</v>
      </c>
      <c r="D517" t="s">
        <v>2575</v>
      </c>
      <c r="E517" t="s">
        <v>2576</v>
      </c>
      <c r="F517" s="3">
        <v>86.421981559983195</v>
      </c>
      <c r="G517" s="3">
        <v>87.380228997714994</v>
      </c>
      <c r="H517" t="s">
        <v>73</v>
      </c>
      <c r="I517" t="s">
        <v>2574</v>
      </c>
      <c r="J517" s="3">
        <v>4.5752364417847042</v>
      </c>
      <c r="K517" s="3">
        <v>1.1088005857244789</v>
      </c>
    </row>
    <row r="518" spans="1:13" x14ac:dyDescent="0.45">
      <c r="A518" t="s">
        <v>2577</v>
      </c>
      <c r="B518">
        <v>2</v>
      </c>
      <c r="C518" t="s">
        <v>1761</v>
      </c>
      <c r="D518" t="s">
        <v>2578</v>
      </c>
      <c r="E518" t="s">
        <v>2579</v>
      </c>
      <c r="F518" s="3">
        <v>85.470909562561175</v>
      </c>
      <c r="G518" s="3">
        <v>85.389044311754262</v>
      </c>
      <c r="H518" t="s">
        <v>73</v>
      </c>
      <c r="I518" t="s">
        <v>2577</v>
      </c>
      <c r="J518" s="3">
        <v>6.6622804191254534</v>
      </c>
      <c r="K518" s="3">
        <v>9.5781419930937778E-2</v>
      </c>
    </row>
    <row r="519" spans="1:13" x14ac:dyDescent="0.45">
      <c r="A519" t="s">
        <v>2580</v>
      </c>
      <c r="B519">
        <v>1</v>
      </c>
      <c r="C519" t="s">
        <v>1774</v>
      </c>
      <c r="G519" s="3">
        <v>461.82112302802273</v>
      </c>
      <c r="H519" t="s">
        <v>1755</v>
      </c>
      <c r="I519" t="s">
        <v>2580</v>
      </c>
      <c r="M519" t="s">
        <v>1757</v>
      </c>
    </row>
    <row r="520" spans="1:13" x14ac:dyDescent="0.45">
      <c r="A520" t="s">
        <v>2581</v>
      </c>
      <c r="B520">
        <v>1</v>
      </c>
      <c r="C520" t="s">
        <v>1761</v>
      </c>
      <c r="D520" t="s">
        <v>2582</v>
      </c>
      <c r="E520" t="s">
        <v>2583</v>
      </c>
      <c r="F520" s="3">
        <v>193.7946180426014</v>
      </c>
      <c r="G520" s="3">
        <v>184.337061557949</v>
      </c>
      <c r="H520" t="s">
        <v>73</v>
      </c>
      <c r="I520" t="s">
        <v>2581</v>
      </c>
      <c r="J520" s="3">
        <v>1.715045844156643</v>
      </c>
      <c r="K520" s="3">
        <v>4.8801956319413282</v>
      </c>
    </row>
    <row r="521" spans="1:13" x14ac:dyDescent="0.45">
      <c r="A521" t="s">
        <v>2584</v>
      </c>
      <c r="B521">
        <v>1</v>
      </c>
      <c r="C521" t="s">
        <v>1761</v>
      </c>
      <c r="D521" t="s">
        <v>2585</v>
      </c>
      <c r="E521" t="s">
        <v>2586</v>
      </c>
      <c r="F521" s="3">
        <v>232.13984490162579</v>
      </c>
      <c r="G521" s="3">
        <v>240.9359562522686</v>
      </c>
      <c r="H521" t="s">
        <v>73</v>
      </c>
      <c r="I521" t="s">
        <v>2584</v>
      </c>
      <c r="J521" s="3">
        <v>4.2459019275957592</v>
      </c>
      <c r="K521" s="3">
        <v>3.7891432874741469</v>
      </c>
    </row>
    <row r="522" spans="1:13" x14ac:dyDescent="0.45">
      <c r="A522" t="s">
        <v>2587</v>
      </c>
      <c r="B522">
        <v>1</v>
      </c>
      <c r="C522" t="s">
        <v>1761</v>
      </c>
      <c r="D522" t="s">
        <v>2588</v>
      </c>
      <c r="E522" t="s">
        <v>2589</v>
      </c>
      <c r="F522" s="3">
        <v>282.14222685662418</v>
      </c>
      <c r="G522" s="3">
        <v>268.83472048940342</v>
      </c>
      <c r="H522" t="s">
        <v>73</v>
      </c>
      <c r="I522" t="s">
        <v>2587</v>
      </c>
      <c r="J522" s="3">
        <v>1.274244987219276</v>
      </c>
      <c r="K522" s="3">
        <v>4.7165950717413541</v>
      </c>
    </row>
    <row r="523" spans="1:13" x14ac:dyDescent="0.45">
      <c r="A523" t="s">
        <v>2590</v>
      </c>
      <c r="B523">
        <v>1</v>
      </c>
      <c r="C523" t="s">
        <v>1761</v>
      </c>
      <c r="D523" t="s">
        <v>2591</v>
      </c>
      <c r="E523" t="s">
        <v>2592</v>
      </c>
      <c r="F523" s="3">
        <v>151.91255142361669</v>
      </c>
      <c r="G523" s="3">
        <v>167.76146828600639</v>
      </c>
      <c r="H523" t="s">
        <v>73</v>
      </c>
      <c r="I523" t="s">
        <v>2590</v>
      </c>
      <c r="J523" s="3">
        <v>1.938910068383914</v>
      </c>
      <c r="K523" s="3">
        <v>10.43292125230265</v>
      </c>
    </row>
    <row r="524" spans="1:13" x14ac:dyDescent="0.45">
      <c r="A524" t="s">
        <v>2593</v>
      </c>
      <c r="B524">
        <v>3</v>
      </c>
      <c r="C524" t="s">
        <v>1761</v>
      </c>
      <c r="D524" t="s">
        <v>2594</v>
      </c>
      <c r="E524" t="s">
        <v>2595</v>
      </c>
      <c r="F524" s="3">
        <v>48.312239605670321</v>
      </c>
      <c r="G524" s="3">
        <v>47.886279376372258</v>
      </c>
      <c r="H524" t="s">
        <v>73</v>
      </c>
      <c r="I524" t="s">
        <v>2593</v>
      </c>
      <c r="J524" s="3">
        <v>30.206477444269829</v>
      </c>
      <c r="K524" s="3">
        <v>0.88168181143080471</v>
      </c>
    </row>
    <row r="525" spans="1:13" x14ac:dyDescent="0.45">
      <c r="A525" t="s">
        <v>2596</v>
      </c>
      <c r="B525">
        <v>1</v>
      </c>
      <c r="C525" t="s">
        <v>1761</v>
      </c>
      <c r="D525" t="s">
        <v>2597</v>
      </c>
      <c r="E525" t="s">
        <v>2598</v>
      </c>
      <c r="F525" s="3">
        <v>320.38928064595592</v>
      </c>
      <c r="G525" s="3">
        <v>343.01213931714472</v>
      </c>
      <c r="H525" t="s">
        <v>73</v>
      </c>
      <c r="I525" t="s">
        <v>2596</v>
      </c>
      <c r="J525" s="3">
        <v>2.844323885640093</v>
      </c>
      <c r="K525" s="3">
        <v>7.0610535488507784</v>
      </c>
    </row>
    <row r="526" spans="1:13" x14ac:dyDescent="0.45">
      <c r="A526" t="s">
        <v>2599</v>
      </c>
      <c r="B526">
        <v>1</v>
      </c>
      <c r="C526" t="s">
        <v>1761</v>
      </c>
      <c r="D526" t="s">
        <v>2600</v>
      </c>
      <c r="E526" t="s">
        <v>2601</v>
      </c>
      <c r="F526" s="3">
        <v>147.04988598823769</v>
      </c>
      <c r="G526" s="3">
        <v>156.14410426811369</v>
      </c>
      <c r="H526" t="s">
        <v>73</v>
      </c>
      <c r="I526" t="s">
        <v>2599</v>
      </c>
      <c r="J526" s="3">
        <v>4.2732794641329868</v>
      </c>
      <c r="K526" s="3">
        <v>6.1844442916490134</v>
      </c>
    </row>
    <row r="527" spans="1:13" x14ac:dyDescent="0.45">
      <c r="A527" t="s">
        <v>2602</v>
      </c>
      <c r="B527">
        <v>1</v>
      </c>
      <c r="C527" t="s">
        <v>1761</v>
      </c>
      <c r="D527" t="s">
        <v>2603</v>
      </c>
      <c r="E527" t="s">
        <v>2604</v>
      </c>
      <c r="F527" s="3">
        <v>144.06196741197471</v>
      </c>
      <c r="G527" s="3">
        <v>141.76386957458249</v>
      </c>
      <c r="H527" t="s">
        <v>73</v>
      </c>
      <c r="I527" t="s">
        <v>2602</v>
      </c>
      <c r="J527" s="3">
        <v>1.177843081299579</v>
      </c>
      <c r="K527" s="3">
        <v>1.5952148083749891</v>
      </c>
    </row>
    <row r="528" spans="1:13" x14ac:dyDescent="0.45">
      <c r="A528" t="s">
        <v>2605</v>
      </c>
      <c r="B528">
        <v>1</v>
      </c>
      <c r="C528" t="s">
        <v>1761</v>
      </c>
      <c r="D528" t="s">
        <v>2606</v>
      </c>
      <c r="E528" t="s">
        <v>2607</v>
      </c>
      <c r="F528" s="3">
        <v>127.9547346984333</v>
      </c>
      <c r="G528" s="3">
        <v>132.04147411122409</v>
      </c>
      <c r="H528" t="s">
        <v>73</v>
      </c>
      <c r="I528" t="s">
        <v>2605</v>
      </c>
      <c r="J528" s="3">
        <v>1.286887603956798</v>
      </c>
      <c r="K528" s="3">
        <v>3.1938946397118619</v>
      </c>
    </row>
    <row r="529" spans="1:13" x14ac:dyDescent="0.45">
      <c r="A529" t="s">
        <v>2608</v>
      </c>
      <c r="B529">
        <v>2</v>
      </c>
      <c r="C529" t="s">
        <v>1774</v>
      </c>
      <c r="G529" s="3">
        <v>506.57630117831428</v>
      </c>
      <c r="H529" t="s">
        <v>1755</v>
      </c>
      <c r="I529" t="s">
        <v>2608</v>
      </c>
      <c r="M529" t="s">
        <v>1757</v>
      </c>
    </row>
    <row r="530" spans="1:13" x14ac:dyDescent="0.45">
      <c r="A530" t="s">
        <v>2609</v>
      </c>
      <c r="B530">
        <v>2</v>
      </c>
      <c r="C530" t="s">
        <v>1761</v>
      </c>
      <c r="D530" t="s">
        <v>2610</v>
      </c>
      <c r="E530" t="s">
        <v>2611</v>
      </c>
      <c r="F530" s="3">
        <v>93.427820553338847</v>
      </c>
      <c r="G530" s="3">
        <v>92.075576211325227</v>
      </c>
      <c r="H530" t="s">
        <v>73</v>
      </c>
      <c r="I530" t="s">
        <v>2609</v>
      </c>
      <c r="J530" s="3">
        <v>2.1173836719248831</v>
      </c>
      <c r="K530" s="3">
        <v>1.4473679617107289</v>
      </c>
    </row>
    <row r="531" spans="1:13" x14ac:dyDescent="0.45">
      <c r="A531" t="s">
        <v>2612</v>
      </c>
      <c r="B531">
        <v>2</v>
      </c>
      <c r="C531" t="s">
        <v>1761</v>
      </c>
      <c r="D531" t="s">
        <v>2613</v>
      </c>
      <c r="E531" t="s">
        <v>2614</v>
      </c>
      <c r="F531" s="3">
        <v>232.13984490162579</v>
      </c>
      <c r="G531" s="3">
        <v>259.46229081933512</v>
      </c>
      <c r="H531" t="s">
        <v>73</v>
      </c>
      <c r="I531" t="s">
        <v>2612</v>
      </c>
      <c r="J531" s="3">
        <v>0.7854702958504588</v>
      </c>
      <c r="K531" s="3">
        <v>11.769821733657039</v>
      </c>
    </row>
    <row r="532" spans="1:13" x14ac:dyDescent="0.45">
      <c r="A532" t="s">
        <v>2615</v>
      </c>
      <c r="B532">
        <v>1</v>
      </c>
      <c r="C532" t="s">
        <v>1761</v>
      </c>
      <c r="D532" t="s">
        <v>2616</v>
      </c>
      <c r="E532" t="s">
        <v>2617</v>
      </c>
      <c r="F532" s="3">
        <v>144.2530950493167</v>
      </c>
      <c r="G532" s="3">
        <v>154.5860552517608</v>
      </c>
      <c r="H532" t="s">
        <v>73</v>
      </c>
      <c r="I532" t="s">
        <v>2615</v>
      </c>
      <c r="J532" s="3">
        <v>3.349646699713404</v>
      </c>
      <c r="K532" s="3">
        <v>7.1630769509046157</v>
      </c>
    </row>
    <row r="533" spans="1:13" x14ac:dyDescent="0.45">
      <c r="A533" t="s">
        <v>2618</v>
      </c>
      <c r="B533">
        <v>1</v>
      </c>
      <c r="C533" t="s">
        <v>1761</v>
      </c>
      <c r="D533" t="s">
        <v>2619</v>
      </c>
      <c r="E533" t="s">
        <v>2620</v>
      </c>
      <c r="F533" s="3">
        <v>385.07261347474042</v>
      </c>
      <c r="G533" s="3">
        <v>365.58868378269761</v>
      </c>
      <c r="H533" t="s">
        <v>73</v>
      </c>
      <c r="I533" t="s">
        <v>2618</v>
      </c>
      <c r="J533" s="3">
        <v>0.35819417840017947</v>
      </c>
      <c r="K533" s="3">
        <v>5.0598066469146312</v>
      </c>
    </row>
    <row r="534" spans="1:13" x14ac:dyDescent="0.45">
      <c r="A534" t="s">
        <v>2621</v>
      </c>
      <c r="B534">
        <v>1</v>
      </c>
      <c r="C534" t="s">
        <v>1761</v>
      </c>
      <c r="D534" t="s">
        <v>2622</v>
      </c>
      <c r="E534" t="s">
        <v>2623</v>
      </c>
      <c r="F534" s="3">
        <v>266.03303720481659</v>
      </c>
      <c r="G534" s="3">
        <v>259.52328206196808</v>
      </c>
      <c r="H534" t="s">
        <v>73</v>
      </c>
      <c r="I534" t="s">
        <v>2621</v>
      </c>
      <c r="J534" s="3">
        <v>1.335066506969437</v>
      </c>
      <c r="K534" s="3">
        <v>2.446972455468639</v>
      </c>
    </row>
    <row r="535" spans="1:13" x14ac:dyDescent="0.45">
      <c r="A535" t="s">
        <v>2624</v>
      </c>
      <c r="B535">
        <v>1</v>
      </c>
      <c r="C535" t="s">
        <v>1761</v>
      </c>
      <c r="D535" t="s">
        <v>2625</v>
      </c>
      <c r="E535" t="s">
        <v>2626</v>
      </c>
      <c r="F535" s="3">
        <v>532.93528115624827</v>
      </c>
      <c r="G535" s="3">
        <v>463.22033388842749</v>
      </c>
      <c r="H535" t="s">
        <v>73</v>
      </c>
      <c r="I535" t="s">
        <v>2624</v>
      </c>
      <c r="J535" s="3">
        <v>0.83230770657346242</v>
      </c>
      <c r="K535" s="3">
        <v>13.0813158244221</v>
      </c>
    </row>
    <row r="536" spans="1:13" x14ac:dyDescent="0.45">
      <c r="A536" t="s">
        <v>2627</v>
      </c>
      <c r="B536">
        <v>2</v>
      </c>
      <c r="C536" t="s">
        <v>1761</v>
      </c>
      <c r="D536" t="s">
        <v>2628</v>
      </c>
      <c r="E536" t="s">
        <v>2629</v>
      </c>
      <c r="F536" s="3">
        <v>50.077724078251052</v>
      </c>
      <c r="G536" s="3">
        <v>49.747979980379426</v>
      </c>
      <c r="H536" t="s">
        <v>73</v>
      </c>
      <c r="I536" t="s">
        <v>2627</v>
      </c>
      <c r="J536" s="3">
        <v>7.935545063825951</v>
      </c>
      <c r="K536" s="3">
        <v>0.65846462462305255</v>
      </c>
    </row>
    <row r="537" spans="1:13" x14ac:dyDescent="0.45">
      <c r="A537" t="s">
        <v>2630</v>
      </c>
      <c r="B537">
        <v>1</v>
      </c>
      <c r="C537" t="s">
        <v>1761</v>
      </c>
      <c r="D537" t="s">
        <v>2631</v>
      </c>
      <c r="E537" t="s">
        <v>2632</v>
      </c>
      <c r="F537" s="3">
        <v>39.543851547133393</v>
      </c>
      <c r="G537" s="3">
        <v>38.534723714477792</v>
      </c>
      <c r="H537" t="s">
        <v>73</v>
      </c>
      <c r="I537" t="s">
        <v>2630</v>
      </c>
      <c r="J537" s="3">
        <v>3.665088212710693</v>
      </c>
      <c r="K537" s="3">
        <v>2.5519209514854602</v>
      </c>
    </row>
    <row r="538" spans="1:13" x14ac:dyDescent="0.45">
      <c r="A538" t="s">
        <v>2633</v>
      </c>
      <c r="B538">
        <v>4</v>
      </c>
      <c r="C538" t="s">
        <v>1761</v>
      </c>
      <c r="D538" t="s">
        <v>2634</v>
      </c>
      <c r="E538" t="s">
        <v>2635</v>
      </c>
      <c r="F538" s="3">
        <v>117.9590201905483</v>
      </c>
      <c r="G538" s="3">
        <v>120.7329801830292</v>
      </c>
      <c r="H538" t="s">
        <v>73</v>
      </c>
      <c r="I538" t="s">
        <v>2633</v>
      </c>
      <c r="J538" s="3">
        <v>1.9811159130606011</v>
      </c>
      <c r="K538" s="3">
        <v>2.351630242434958</v>
      </c>
    </row>
    <row r="539" spans="1:13" x14ac:dyDescent="0.45">
      <c r="A539" t="s">
        <v>2636</v>
      </c>
      <c r="B539">
        <v>1</v>
      </c>
      <c r="C539" t="s">
        <v>1761</v>
      </c>
      <c r="D539" t="s">
        <v>2637</v>
      </c>
      <c r="E539" t="s">
        <v>2638</v>
      </c>
      <c r="F539" s="3">
        <v>105.34753153337491</v>
      </c>
      <c r="G539" s="3">
        <v>108.8129430466153</v>
      </c>
      <c r="H539" t="s">
        <v>73</v>
      </c>
      <c r="I539" t="s">
        <v>2636</v>
      </c>
      <c r="J539" s="3">
        <v>1.60158020346196</v>
      </c>
      <c r="K539" s="3">
        <v>3.2895042368814571</v>
      </c>
    </row>
    <row r="540" spans="1:13" x14ac:dyDescent="0.45">
      <c r="A540" t="s">
        <v>2639</v>
      </c>
      <c r="B540">
        <v>3</v>
      </c>
      <c r="C540" t="s">
        <v>1761</v>
      </c>
      <c r="D540" t="s">
        <v>2640</v>
      </c>
      <c r="E540" t="s">
        <v>2641</v>
      </c>
      <c r="F540" s="3">
        <v>83.866546340572512</v>
      </c>
      <c r="G540" s="3">
        <v>85.405025974262401</v>
      </c>
      <c r="H540" t="s">
        <v>73</v>
      </c>
      <c r="I540" t="s">
        <v>2639</v>
      </c>
      <c r="J540" s="3">
        <v>10.68205810669701</v>
      </c>
      <c r="K540" s="3">
        <v>1.834437807230423</v>
      </c>
    </row>
    <row r="541" spans="1:13" x14ac:dyDescent="0.45">
      <c r="A541" t="s">
        <v>2642</v>
      </c>
      <c r="B541">
        <v>1</v>
      </c>
      <c r="C541" t="s">
        <v>1774</v>
      </c>
      <c r="G541" s="3">
        <v>111.80705859405511</v>
      </c>
      <c r="H541" t="s">
        <v>1755</v>
      </c>
      <c r="I541" t="s">
        <v>2642</v>
      </c>
      <c r="M541" t="s">
        <v>1757</v>
      </c>
    </row>
    <row r="542" spans="1:13" x14ac:dyDescent="0.45">
      <c r="A542" t="s">
        <v>2643</v>
      </c>
      <c r="B542">
        <v>1</v>
      </c>
      <c r="C542" t="s">
        <v>1761</v>
      </c>
      <c r="D542" t="s">
        <v>2644</v>
      </c>
      <c r="E542" t="s">
        <v>2645</v>
      </c>
      <c r="F542" s="3">
        <v>357.23581894937178</v>
      </c>
      <c r="G542" s="3">
        <v>317.12347683587808</v>
      </c>
      <c r="H542" t="s">
        <v>73</v>
      </c>
      <c r="I542" t="s">
        <v>2643</v>
      </c>
      <c r="J542" s="3">
        <v>1.001196378602059</v>
      </c>
      <c r="K542" s="3">
        <v>11.228533082562601</v>
      </c>
    </row>
    <row r="543" spans="1:13" x14ac:dyDescent="0.45">
      <c r="A543" t="s">
        <v>2646</v>
      </c>
      <c r="B543">
        <v>1</v>
      </c>
      <c r="C543" t="s">
        <v>1761</v>
      </c>
      <c r="D543" t="s">
        <v>2647</v>
      </c>
      <c r="E543" t="s">
        <v>2648</v>
      </c>
      <c r="F543" s="3">
        <v>111.6593097549494</v>
      </c>
      <c r="G543" s="3">
        <v>115.8892318175578</v>
      </c>
      <c r="H543" t="s">
        <v>73</v>
      </c>
      <c r="I543" t="s">
        <v>2646</v>
      </c>
      <c r="J543" s="3">
        <v>2.7300795523166319</v>
      </c>
      <c r="K543" s="3">
        <v>3.7882394866057552</v>
      </c>
    </row>
    <row r="544" spans="1:13" x14ac:dyDescent="0.45">
      <c r="A544" t="s">
        <v>2649</v>
      </c>
      <c r="B544">
        <v>1</v>
      </c>
      <c r="C544" t="s">
        <v>1761</v>
      </c>
      <c r="D544" t="s">
        <v>2650</v>
      </c>
      <c r="E544" t="s">
        <v>2651</v>
      </c>
      <c r="F544" s="3">
        <v>158.7135642117662</v>
      </c>
      <c r="G544" s="3">
        <v>152.57236577573761</v>
      </c>
      <c r="H544" t="s">
        <v>73</v>
      </c>
      <c r="I544" t="s">
        <v>2649</v>
      </c>
      <c r="J544" s="3">
        <v>0.4884684829961784</v>
      </c>
      <c r="K544" s="3">
        <v>3.8693595386935939</v>
      </c>
    </row>
    <row r="545" spans="1:13" x14ac:dyDescent="0.45">
      <c r="A545" t="s">
        <v>2652</v>
      </c>
      <c r="B545">
        <v>1</v>
      </c>
      <c r="C545" t="s">
        <v>1761</v>
      </c>
      <c r="D545" t="s">
        <v>2653</v>
      </c>
      <c r="E545" t="s">
        <v>2654</v>
      </c>
      <c r="F545" s="3">
        <v>214.1539514524359</v>
      </c>
      <c r="G545" s="3">
        <v>223.4647375671158</v>
      </c>
      <c r="H545" t="s">
        <v>73</v>
      </c>
      <c r="I545" t="s">
        <v>2652</v>
      </c>
      <c r="J545" s="3">
        <v>3.3696731813945759</v>
      </c>
      <c r="K545" s="3">
        <v>4.347706895685203</v>
      </c>
    </row>
    <row r="546" spans="1:13" x14ac:dyDescent="0.45">
      <c r="A546" t="s">
        <v>2655</v>
      </c>
      <c r="B546">
        <v>1</v>
      </c>
      <c r="C546" t="s">
        <v>1774</v>
      </c>
      <c r="G546" s="3">
        <v>445.55570447128872</v>
      </c>
      <c r="H546" t="s">
        <v>1755</v>
      </c>
      <c r="I546" t="s">
        <v>2655</v>
      </c>
      <c r="M546" t="s">
        <v>1757</v>
      </c>
    </row>
    <row r="547" spans="1:13" x14ac:dyDescent="0.45">
      <c r="A547" t="s">
        <v>2656</v>
      </c>
      <c r="B547">
        <v>1</v>
      </c>
      <c r="C547" t="s">
        <v>1761</v>
      </c>
      <c r="D547" t="s">
        <v>2657</v>
      </c>
      <c r="E547" t="s">
        <v>2658</v>
      </c>
      <c r="F547" s="3">
        <v>424.1304920190758</v>
      </c>
      <c r="G547" s="3">
        <v>377.24877428607118</v>
      </c>
      <c r="H547" t="s">
        <v>73</v>
      </c>
      <c r="I547" t="s">
        <v>2656</v>
      </c>
      <c r="J547" s="3">
        <v>2.2557064209788731</v>
      </c>
      <c r="K547" s="3">
        <v>11.053606994824619</v>
      </c>
    </row>
    <row r="548" spans="1:13" x14ac:dyDescent="0.45">
      <c r="A548" t="s">
        <v>2659</v>
      </c>
      <c r="B548">
        <v>1</v>
      </c>
      <c r="C548" t="s">
        <v>1761</v>
      </c>
      <c r="D548" t="s">
        <v>2660</v>
      </c>
      <c r="E548" t="s">
        <v>2661</v>
      </c>
      <c r="F548" s="3">
        <v>179.50277172743139</v>
      </c>
      <c r="G548" s="3">
        <v>174.4558279386425</v>
      </c>
      <c r="H548" t="s">
        <v>73</v>
      </c>
      <c r="I548" t="s">
        <v>2659</v>
      </c>
      <c r="J548" s="3">
        <v>0.40164101874861657</v>
      </c>
      <c r="K548" s="3">
        <v>2.8116244335505312</v>
      </c>
    </row>
    <row r="549" spans="1:13" x14ac:dyDescent="0.45">
      <c r="A549" t="s">
        <v>2662</v>
      </c>
      <c r="B549">
        <v>1</v>
      </c>
      <c r="C549" t="s">
        <v>1761</v>
      </c>
      <c r="D549" t="s">
        <v>2663</v>
      </c>
      <c r="E549" t="s">
        <v>2664</v>
      </c>
      <c r="F549" s="3">
        <v>408.71732007731572</v>
      </c>
      <c r="G549" s="3">
        <v>441.26348654053641</v>
      </c>
      <c r="H549" t="s">
        <v>73</v>
      </c>
      <c r="I549" t="s">
        <v>2662</v>
      </c>
      <c r="J549" s="3">
        <v>0.63213122977445546</v>
      </c>
      <c r="K549" s="3">
        <v>7.9630015329577972</v>
      </c>
    </row>
    <row r="550" spans="1:13" x14ac:dyDescent="0.45">
      <c r="A550" t="s">
        <v>2665</v>
      </c>
      <c r="B550">
        <v>1</v>
      </c>
      <c r="C550" t="s">
        <v>1774</v>
      </c>
      <c r="G550" s="3">
        <v>743.24841510469184</v>
      </c>
      <c r="H550" t="s">
        <v>1755</v>
      </c>
      <c r="I550" t="s">
        <v>2665</v>
      </c>
      <c r="M550" t="s">
        <v>1757</v>
      </c>
    </row>
    <row r="551" spans="1:13" x14ac:dyDescent="0.45">
      <c r="A551" t="s">
        <v>2666</v>
      </c>
      <c r="B551">
        <v>2</v>
      </c>
      <c r="C551" t="s">
        <v>1761</v>
      </c>
      <c r="D551" t="s">
        <v>2667</v>
      </c>
      <c r="E551" t="s">
        <v>2668</v>
      </c>
      <c r="F551" s="3">
        <v>75.815050000256988</v>
      </c>
      <c r="G551" s="3">
        <v>76.494759891418681</v>
      </c>
      <c r="H551" t="s">
        <v>73</v>
      </c>
      <c r="I551" t="s">
        <v>2666</v>
      </c>
      <c r="J551" s="3">
        <v>6.8921746627955134</v>
      </c>
      <c r="K551" s="3">
        <v>0.89653688965367806</v>
      </c>
    </row>
    <row r="552" spans="1:13" x14ac:dyDescent="0.45">
      <c r="A552" t="s">
        <v>2669</v>
      </c>
      <c r="B552">
        <v>2</v>
      </c>
      <c r="C552" t="s">
        <v>1761</v>
      </c>
      <c r="D552" t="s">
        <v>2670</v>
      </c>
      <c r="E552" t="s">
        <v>2671</v>
      </c>
      <c r="F552" s="3">
        <v>140.10145051736029</v>
      </c>
      <c r="G552" s="3">
        <v>131.85067263025979</v>
      </c>
      <c r="H552" t="s">
        <v>73</v>
      </c>
      <c r="I552" t="s">
        <v>2669</v>
      </c>
      <c r="J552" s="3">
        <v>6.0807124379927249</v>
      </c>
      <c r="K552" s="3">
        <v>5.8891452277134562</v>
      </c>
    </row>
    <row r="553" spans="1:13" x14ac:dyDescent="0.45">
      <c r="A553" t="s">
        <v>2672</v>
      </c>
      <c r="B553">
        <v>1</v>
      </c>
      <c r="C553" t="s">
        <v>1761</v>
      </c>
      <c r="D553" t="s">
        <v>2673</v>
      </c>
      <c r="E553" t="s">
        <v>2674</v>
      </c>
      <c r="F553" s="3">
        <v>34.856984399343787</v>
      </c>
      <c r="G553" s="3">
        <v>35.108450966563403</v>
      </c>
      <c r="H553" t="s">
        <v>73</v>
      </c>
      <c r="I553" t="s">
        <v>2672</v>
      </c>
      <c r="J553" s="3">
        <v>10.458036775651239</v>
      </c>
      <c r="K553" s="3">
        <v>0.72142375926341529</v>
      </c>
    </row>
    <row r="554" spans="1:13" x14ac:dyDescent="0.45">
      <c r="A554" t="s">
        <v>2675</v>
      </c>
      <c r="B554">
        <v>1</v>
      </c>
      <c r="C554" t="s">
        <v>1761</v>
      </c>
      <c r="D554" t="s">
        <v>2676</v>
      </c>
      <c r="E554" t="s">
        <v>2677</v>
      </c>
      <c r="F554" s="3">
        <v>41.675935788267751</v>
      </c>
      <c r="G554" s="3">
        <v>42.084609729546827</v>
      </c>
      <c r="H554" t="s">
        <v>73</v>
      </c>
      <c r="I554" t="s">
        <v>2675</v>
      </c>
      <c r="J554" s="3">
        <v>1.29667867975061</v>
      </c>
      <c r="K554" s="3">
        <v>0.98059931600653705</v>
      </c>
    </row>
    <row r="555" spans="1:13" x14ac:dyDescent="0.45">
      <c r="A555" t="s">
        <v>2678</v>
      </c>
      <c r="B555">
        <v>1</v>
      </c>
      <c r="C555" t="s">
        <v>1761</v>
      </c>
      <c r="D555" t="s">
        <v>2679</v>
      </c>
      <c r="E555" t="s">
        <v>2680</v>
      </c>
      <c r="F555" s="3">
        <v>398.23726334852131</v>
      </c>
      <c r="G555" s="3">
        <v>388.57292372039649</v>
      </c>
      <c r="H555" t="s">
        <v>73</v>
      </c>
      <c r="I555" t="s">
        <v>2678</v>
      </c>
      <c r="J555" s="3">
        <v>0.2437269395198019</v>
      </c>
      <c r="K555" s="3">
        <v>2.4267793392470578</v>
      </c>
    </row>
    <row r="556" spans="1:13" x14ac:dyDescent="0.45">
      <c r="A556" t="s">
        <v>2681</v>
      </c>
      <c r="B556">
        <v>2</v>
      </c>
      <c r="C556" t="s">
        <v>1761</v>
      </c>
      <c r="D556" t="s">
        <v>2682</v>
      </c>
      <c r="E556" t="s">
        <v>2683</v>
      </c>
      <c r="F556" s="3">
        <v>342.24175795297771</v>
      </c>
      <c r="G556" s="3">
        <v>355.68983771899451</v>
      </c>
      <c r="H556" t="s">
        <v>73</v>
      </c>
      <c r="I556" t="s">
        <v>2681</v>
      </c>
      <c r="J556" s="3">
        <v>0.47612464652370767</v>
      </c>
      <c r="K556" s="3">
        <v>3.9294093878119041</v>
      </c>
    </row>
    <row r="557" spans="1:13" x14ac:dyDescent="0.45">
      <c r="A557" t="s">
        <v>2684</v>
      </c>
      <c r="B557">
        <v>1</v>
      </c>
      <c r="C557" t="s">
        <v>1761</v>
      </c>
      <c r="D557" t="s">
        <v>2685</v>
      </c>
      <c r="E557" t="s">
        <v>2686</v>
      </c>
      <c r="F557" s="3">
        <v>168.29538627632871</v>
      </c>
      <c r="G557" s="3">
        <v>186.32955086942059</v>
      </c>
      <c r="H557" t="s">
        <v>73</v>
      </c>
      <c r="I557" t="s">
        <v>2684</v>
      </c>
      <c r="J557" s="3">
        <v>0.94990894435471074</v>
      </c>
      <c r="K557" s="3">
        <v>10.71578074248638</v>
      </c>
    </row>
    <row r="558" spans="1:13" x14ac:dyDescent="0.45">
      <c r="A558" t="s">
        <v>2687</v>
      </c>
      <c r="B558">
        <v>2</v>
      </c>
      <c r="C558" t="s">
        <v>1761</v>
      </c>
      <c r="D558" t="s">
        <v>2688</v>
      </c>
      <c r="E558" t="s">
        <v>2689</v>
      </c>
      <c r="F558" s="3">
        <v>234.98295004618259</v>
      </c>
      <c r="G558" s="3">
        <v>251.7832650623721</v>
      </c>
      <c r="H558" t="s">
        <v>73</v>
      </c>
      <c r="I558" t="s">
        <v>2687</v>
      </c>
      <c r="J558" s="3">
        <v>1.364032881271571</v>
      </c>
      <c r="K558" s="3">
        <v>7.1495889437457558</v>
      </c>
    </row>
    <row r="559" spans="1:13" x14ac:dyDescent="0.45">
      <c r="A559" t="s">
        <v>2690</v>
      </c>
      <c r="B559">
        <v>1</v>
      </c>
      <c r="C559" t="s">
        <v>1761</v>
      </c>
      <c r="D559" t="s">
        <v>2691</v>
      </c>
      <c r="E559" t="s">
        <v>2692</v>
      </c>
      <c r="F559" s="3">
        <v>192.53630673737021</v>
      </c>
      <c r="G559" s="3">
        <v>232.71224934451871</v>
      </c>
      <c r="H559" t="s">
        <v>73</v>
      </c>
      <c r="I559" t="s">
        <v>2690</v>
      </c>
      <c r="J559" s="3">
        <v>0.61202901404529197</v>
      </c>
      <c r="K559" s="3">
        <v>20.86668394546</v>
      </c>
      <c r="M559" t="s">
        <v>1752</v>
      </c>
    </row>
    <row r="560" spans="1:13" x14ac:dyDescent="0.45">
      <c r="A560" t="s">
        <v>2693</v>
      </c>
      <c r="B560">
        <v>1</v>
      </c>
      <c r="C560" t="s">
        <v>1761</v>
      </c>
      <c r="D560" t="s">
        <v>2694</v>
      </c>
      <c r="E560" t="s">
        <v>2695</v>
      </c>
      <c r="F560" s="3">
        <v>259.05981384923263</v>
      </c>
      <c r="G560" s="3">
        <v>247.43625286016331</v>
      </c>
      <c r="H560" t="s">
        <v>73</v>
      </c>
      <c r="I560" t="s">
        <v>2693</v>
      </c>
      <c r="J560" s="3">
        <v>1.5842174245005221</v>
      </c>
      <c r="K560" s="3">
        <v>4.4868251915883679</v>
      </c>
    </row>
    <row r="561" spans="1:13" x14ac:dyDescent="0.45">
      <c r="A561" t="s">
        <v>2696</v>
      </c>
      <c r="B561">
        <v>1</v>
      </c>
      <c r="C561" t="s">
        <v>1761</v>
      </c>
      <c r="D561" t="s">
        <v>2697</v>
      </c>
      <c r="E561" t="s">
        <v>2698</v>
      </c>
      <c r="F561" s="3">
        <v>202.3301304474486</v>
      </c>
      <c r="G561" s="3">
        <v>239.0077197472072</v>
      </c>
      <c r="H561" t="s">
        <v>73</v>
      </c>
      <c r="I561" t="s">
        <v>2696</v>
      </c>
      <c r="J561" s="3">
        <v>1.365323807636414</v>
      </c>
      <c r="K561" s="3">
        <v>18.12759632915127</v>
      </c>
    </row>
    <row r="562" spans="1:13" x14ac:dyDescent="0.45">
      <c r="A562" t="s">
        <v>2699</v>
      </c>
      <c r="B562">
        <v>1</v>
      </c>
      <c r="C562" t="s">
        <v>1761</v>
      </c>
      <c r="D562" t="s">
        <v>2700</v>
      </c>
      <c r="E562" t="s">
        <v>2701</v>
      </c>
      <c r="F562" s="3">
        <v>66.319007063034007</v>
      </c>
      <c r="G562" s="3">
        <v>66.120703985382221</v>
      </c>
      <c r="H562" t="s">
        <v>73</v>
      </c>
      <c r="I562" t="s">
        <v>2699</v>
      </c>
      <c r="J562" s="3">
        <v>1.880280080796743</v>
      </c>
      <c r="K562" s="3">
        <v>0.29901394250867003</v>
      </c>
    </row>
    <row r="563" spans="1:13" x14ac:dyDescent="0.45">
      <c r="A563" t="s">
        <v>2702</v>
      </c>
      <c r="B563">
        <v>1</v>
      </c>
      <c r="C563" t="s">
        <v>1761</v>
      </c>
      <c r="D563" t="s">
        <v>2703</v>
      </c>
      <c r="E563" t="s">
        <v>2704</v>
      </c>
      <c r="F563" s="3">
        <v>469.28977792135839</v>
      </c>
      <c r="G563" s="3">
        <v>471.26335016292239</v>
      </c>
      <c r="H563" t="s">
        <v>73</v>
      </c>
      <c r="I563" t="s">
        <v>2702</v>
      </c>
      <c r="J563" s="3">
        <v>1.1971438622385131</v>
      </c>
      <c r="K563" s="3">
        <v>0.42054447687006868</v>
      </c>
    </row>
    <row r="564" spans="1:13" x14ac:dyDescent="0.45">
      <c r="A564" t="s">
        <v>2705</v>
      </c>
      <c r="B564">
        <v>1</v>
      </c>
      <c r="C564" t="s">
        <v>1761</v>
      </c>
      <c r="D564" t="s">
        <v>2706</v>
      </c>
      <c r="E564" t="s">
        <v>2707</v>
      </c>
      <c r="F564" s="3">
        <v>519.35739115190029</v>
      </c>
      <c r="G564" s="3">
        <v>622.80538794145286</v>
      </c>
      <c r="H564" t="s">
        <v>73</v>
      </c>
      <c r="I564" t="s">
        <v>2705</v>
      </c>
      <c r="J564" s="3">
        <v>1.19451717652472</v>
      </c>
      <c r="K564" s="3">
        <v>19.918460495981741</v>
      </c>
    </row>
    <row r="565" spans="1:13" x14ac:dyDescent="0.45">
      <c r="A565" t="s">
        <v>2708</v>
      </c>
      <c r="B565">
        <v>1</v>
      </c>
      <c r="C565" t="s">
        <v>1761</v>
      </c>
      <c r="D565" t="s">
        <v>2709</v>
      </c>
      <c r="E565" t="s">
        <v>2710</v>
      </c>
      <c r="F565" s="3">
        <v>92.056659141417654</v>
      </c>
      <c r="G565" s="3">
        <v>92.203429511390183</v>
      </c>
      <c r="H565" t="s">
        <v>73</v>
      </c>
      <c r="I565" t="s">
        <v>2708</v>
      </c>
      <c r="J565" s="3">
        <v>2.5404967325423131</v>
      </c>
      <c r="K565" s="3">
        <v>0.15943482127357139</v>
      </c>
    </row>
    <row r="566" spans="1:13" x14ac:dyDescent="0.45">
      <c r="A566" t="s">
        <v>2711</v>
      </c>
      <c r="B566">
        <v>2</v>
      </c>
      <c r="C566" t="s">
        <v>1761</v>
      </c>
      <c r="D566" t="s">
        <v>2712</v>
      </c>
      <c r="E566" t="s">
        <v>2713</v>
      </c>
      <c r="F566" s="3">
        <v>137.4449068208574</v>
      </c>
      <c r="G566" s="3">
        <v>142.20483299725549</v>
      </c>
      <c r="H566" t="s">
        <v>73</v>
      </c>
      <c r="I566" t="s">
        <v>2711</v>
      </c>
      <c r="J566" s="3">
        <v>1.8546611691694641</v>
      </c>
      <c r="K566" s="3">
        <v>3.4631520996279201</v>
      </c>
    </row>
    <row r="567" spans="1:13" x14ac:dyDescent="0.45">
      <c r="A567" t="s">
        <v>2714</v>
      </c>
      <c r="B567">
        <v>1</v>
      </c>
      <c r="C567" t="s">
        <v>1761</v>
      </c>
      <c r="D567" t="s">
        <v>2715</v>
      </c>
      <c r="E567" t="s">
        <v>2716</v>
      </c>
      <c r="F567" s="3">
        <v>271.79687271182678</v>
      </c>
      <c r="G567" s="3">
        <v>286.65492649871311</v>
      </c>
      <c r="H567" t="s">
        <v>73</v>
      </c>
      <c r="I567" t="s">
        <v>2714</v>
      </c>
      <c r="J567" s="3">
        <v>2.42504448385704</v>
      </c>
      <c r="K567" s="3">
        <v>5.4666021866408858</v>
      </c>
    </row>
    <row r="568" spans="1:13" x14ac:dyDescent="0.45">
      <c r="A568" t="s">
        <v>2717</v>
      </c>
      <c r="B568">
        <v>1</v>
      </c>
      <c r="C568" t="s">
        <v>1761</v>
      </c>
      <c r="D568" t="s">
        <v>2718</v>
      </c>
      <c r="E568" t="s">
        <v>2719</v>
      </c>
      <c r="F568" s="3">
        <v>605.11401370134126</v>
      </c>
      <c r="G568" s="3">
        <v>540.63681170327368</v>
      </c>
      <c r="H568" t="s">
        <v>73</v>
      </c>
      <c r="I568" t="s">
        <v>2717</v>
      </c>
      <c r="J568" s="3">
        <v>0.31074456739466472</v>
      </c>
      <c r="K568" s="3">
        <v>10.65538072795167</v>
      </c>
    </row>
    <row r="569" spans="1:13" x14ac:dyDescent="0.45">
      <c r="A569" t="s">
        <v>2720</v>
      </c>
      <c r="B569">
        <v>2</v>
      </c>
      <c r="C569" t="s">
        <v>1774</v>
      </c>
      <c r="G569" s="3">
        <v>351.91620842881167</v>
      </c>
      <c r="H569" t="s">
        <v>1755</v>
      </c>
      <c r="I569" t="s">
        <v>2720</v>
      </c>
      <c r="M569" t="s">
        <v>1757</v>
      </c>
    </row>
    <row r="570" spans="1:13" x14ac:dyDescent="0.45">
      <c r="A570" t="s">
        <v>2721</v>
      </c>
      <c r="B570">
        <v>2</v>
      </c>
      <c r="C570" t="s">
        <v>1761</v>
      </c>
      <c r="D570" t="s">
        <v>2722</v>
      </c>
      <c r="E570" t="s">
        <v>2723</v>
      </c>
      <c r="F570" s="3">
        <v>132.10050841559081</v>
      </c>
      <c r="G570" s="3">
        <v>146.1686114556471</v>
      </c>
      <c r="H570" t="s">
        <v>73</v>
      </c>
      <c r="I570" t="s">
        <v>2721</v>
      </c>
      <c r="J570" s="3">
        <v>3.488261574557896</v>
      </c>
      <c r="K570" s="3">
        <v>10.64954496298966</v>
      </c>
    </row>
    <row r="571" spans="1:13" x14ac:dyDescent="0.45">
      <c r="A571" t="s">
        <v>2724</v>
      </c>
      <c r="B571">
        <v>3</v>
      </c>
      <c r="C571" t="s">
        <v>1761</v>
      </c>
      <c r="D571" t="s">
        <v>2725</v>
      </c>
      <c r="E571" t="s">
        <v>2726</v>
      </c>
      <c r="F571" s="3">
        <v>59.702924941049872</v>
      </c>
      <c r="G571" s="3">
        <v>58.516368038916347</v>
      </c>
      <c r="H571" t="s">
        <v>73</v>
      </c>
      <c r="I571" t="s">
        <v>2724</v>
      </c>
      <c r="J571" s="3">
        <v>4.9978194970280896</v>
      </c>
      <c r="K571" s="3">
        <v>1.9874351270144841</v>
      </c>
    </row>
    <row r="572" spans="1:13" x14ac:dyDescent="0.45">
      <c r="A572" t="s">
        <v>2727</v>
      </c>
      <c r="B572">
        <v>1</v>
      </c>
      <c r="C572" t="s">
        <v>1761</v>
      </c>
      <c r="D572" t="s">
        <v>2728</v>
      </c>
      <c r="E572" t="s">
        <v>2729</v>
      </c>
      <c r="F572" s="3">
        <v>161.54362310121439</v>
      </c>
      <c r="G572" s="3">
        <v>158.0387466662703</v>
      </c>
      <c r="H572" t="s">
        <v>73</v>
      </c>
      <c r="I572" t="s">
        <v>2727</v>
      </c>
      <c r="J572" s="3">
        <v>2.9473556851836391</v>
      </c>
      <c r="K572" s="3">
        <v>2.169616087382261</v>
      </c>
    </row>
    <row r="573" spans="1:13" x14ac:dyDescent="0.45">
      <c r="A573" t="s">
        <v>2730</v>
      </c>
      <c r="B573">
        <v>1</v>
      </c>
      <c r="C573" t="s">
        <v>1761</v>
      </c>
      <c r="D573" t="s">
        <v>2731</v>
      </c>
      <c r="E573" t="s">
        <v>2732</v>
      </c>
      <c r="F573" s="3">
        <v>58.179774657112681</v>
      </c>
      <c r="G573" s="3">
        <v>59.586160957827268</v>
      </c>
      <c r="H573" t="s">
        <v>73</v>
      </c>
      <c r="I573" t="s">
        <v>2730</v>
      </c>
      <c r="J573" s="3">
        <v>4.3849869300175817</v>
      </c>
      <c r="K573" s="3">
        <v>2.4173113577755379</v>
      </c>
    </row>
    <row r="574" spans="1:13" x14ac:dyDescent="0.45">
      <c r="A574" t="s">
        <v>2733</v>
      </c>
      <c r="B574">
        <v>1</v>
      </c>
      <c r="C574" t="s">
        <v>1761</v>
      </c>
      <c r="D574" t="s">
        <v>2734</v>
      </c>
      <c r="E574" t="s">
        <v>2735</v>
      </c>
      <c r="F574" s="3">
        <v>60.623990551721953</v>
      </c>
      <c r="G574" s="3">
        <v>59.634432101729352</v>
      </c>
      <c r="H574" t="s">
        <v>73</v>
      </c>
      <c r="I574" t="s">
        <v>2733</v>
      </c>
      <c r="J574" s="3">
        <v>13.415947469651829</v>
      </c>
      <c r="K574" s="3">
        <v>1.632288539548296</v>
      </c>
    </row>
    <row r="575" spans="1:13" x14ac:dyDescent="0.45">
      <c r="A575" t="s">
        <v>2736</v>
      </c>
      <c r="B575">
        <v>1</v>
      </c>
      <c r="C575" t="s">
        <v>1761</v>
      </c>
      <c r="D575" t="s">
        <v>2737</v>
      </c>
      <c r="E575" t="s">
        <v>2738</v>
      </c>
      <c r="F575" s="3">
        <v>333.83442500457318</v>
      </c>
      <c r="G575" s="3">
        <v>329.24507861372092</v>
      </c>
      <c r="H575" t="s">
        <v>73</v>
      </c>
      <c r="I575" t="s">
        <v>2736</v>
      </c>
      <c r="J575" s="3">
        <v>1.057135796024059</v>
      </c>
      <c r="K575" s="3">
        <v>1.3747373090086279</v>
      </c>
    </row>
    <row r="576" spans="1:13" x14ac:dyDescent="0.45">
      <c r="A576" t="s">
        <v>2739</v>
      </c>
      <c r="B576">
        <v>1</v>
      </c>
      <c r="C576" t="s">
        <v>1761</v>
      </c>
      <c r="D576" t="s">
        <v>2740</v>
      </c>
      <c r="E576" t="s">
        <v>2741</v>
      </c>
      <c r="F576" s="3">
        <v>211.24104884304771</v>
      </c>
      <c r="G576" s="3">
        <v>205.63637764836321</v>
      </c>
      <c r="H576" t="s">
        <v>73</v>
      </c>
      <c r="I576" t="s">
        <v>2739</v>
      </c>
      <c r="J576" s="3">
        <v>2.015507234029108</v>
      </c>
      <c r="K576" s="3">
        <v>2.6532112131524208</v>
      </c>
    </row>
    <row r="577" spans="1:11" x14ac:dyDescent="0.45">
      <c r="A577" t="s">
        <v>2742</v>
      </c>
      <c r="B577">
        <v>2</v>
      </c>
      <c r="C577" t="s">
        <v>1761</v>
      </c>
      <c r="D577" t="s">
        <v>2743</v>
      </c>
      <c r="E577" t="s">
        <v>2744</v>
      </c>
      <c r="F577" s="3">
        <v>209.47752130873329</v>
      </c>
      <c r="G577" s="3">
        <v>206.9403508464747</v>
      </c>
      <c r="H577" t="s">
        <v>73</v>
      </c>
      <c r="I577" t="s">
        <v>2742</v>
      </c>
      <c r="J577" s="3">
        <v>1.909039431103517</v>
      </c>
      <c r="K577" s="3">
        <v>1.211189843381433</v>
      </c>
    </row>
    <row r="578" spans="1:11" x14ac:dyDescent="0.45">
      <c r="A578" t="s">
        <v>2745</v>
      </c>
      <c r="B578">
        <v>1</v>
      </c>
      <c r="C578" t="s">
        <v>1761</v>
      </c>
      <c r="D578" t="s">
        <v>2746</v>
      </c>
      <c r="E578" t="s">
        <v>2747</v>
      </c>
      <c r="F578" s="3">
        <v>194.37224098753779</v>
      </c>
      <c r="G578" s="3">
        <v>188.51675553838911</v>
      </c>
      <c r="H578" t="s">
        <v>73</v>
      </c>
      <c r="I578" t="s">
        <v>2745</v>
      </c>
      <c r="J578" s="3">
        <v>2.3830569392521039</v>
      </c>
      <c r="K578" s="3">
        <v>3.0125111586916939</v>
      </c>
    </row>
    <row r="579" spans="1:11" x14ac:dyDescent="0.45">
      <c r="A579" t="s">
        <v>2748</v>
      </c>
      <c r="B579">
        <v>2</v>
      </c>
      <c r="C579" t="s">
        <v>1761</v>
      </c>
      <c r="D579" t="s">
        <v>2749</v>
      </c>
      <c r="E579" t="s">
        <v>2750</v>
      </c>
      <c r="F579" s="3">
        <v>143.87149208738811</v>
      </c>
      <c r="G579" s="3">
        <v>142.2684334909103</v>
      </c>
      <c r="H579" t="s">
        <v>73</v>
      </c>
      <c r="I579" t="s">
        <v>2748</v>
      </c>
      <c r="J579" s="3">
        <v>5.0278269421898933</v>
      </c>
      <c r="K579" s="3">
        <v>1.114229492736527</v>
      </c>
    </row>
    <row r="580" spans="1:11" x14ac:dyDescent="0.45">
      <c r="A580" t="s">
        <v>2751</v>
      </c>
      <c r="B580">
        <v>2</v>
      </c>
      <c r="C580" t="s">
        <v>1761</v>
      </c>
      <c r="D580" t="s">
        <v>2752</v>
      </c>
      <c r="E580" t="s">
        <v>2753</v>
      </c>
      <c r="F580" s="3">
        <v>91.437288180133564</v>
      </c>
      <c r="G580" s="3">
        <v>89.891959262511634</v>
      </c>
      <c r="H580" t="s">
        <v>73</v>
      </c>
      <c r="I580" t="s">
        <v>2751</v>
      </c>
      <c r="J580" s="3">
        <v>21.457453301335189</v>
      </c>
      <c r="K580" s="3">
        <v>1.690042375904236</v>
      </c>
    </row>
    <row r="581" spans="1:11" x14ac:dyDescent="0.45">
      <c r="A581" t="s">
        <v>2754</v>
      </c>
      <c r="B581">
        <v>2</v>
      </c>
      <c r="C581" t="s">
        <v>1761</v>
      </c>
      <c r="D581" t="s">
        <v>2755</v>
      </c>
      <c r="E581" t="s">
        <v>2756</v>
      </c>
      <c r="F581" s="3">
        <v>157.79217244471641</v>
      </c>
      <c r="G581" s="3">
        <v>157.3671906845515</v>
      </c>
      <c r="H581" t="s">
        <v>73</v>
      </c>
      <c r="I581" t="s">
        <v>2754</v>
      </c>
      <c r="J581" s="3">
        <v>1.8668286073933369</v>
      </c>
      <c r="K581" s="3">
        <v>0.269330064717758</v>
      </c>
    </row>
    <row r="582" spans="1:11" x14ac:dyDescent="0.45">
      <c r="A582" t="s">
        <v>2757</v>
      </c>
      <c r="B582">
        <v>2</v>
      </c>
      <c r="C582" t="s">
        <v>1761</v>
      </c>
      <c r="D582" t="s">
        <v>2758</v>
      </c>
      <c r="E582" t="s">
        <v>2759</v>
      </c>
      <c r="F582" s="3">
        <v>119.383671248415</v>
      </c>
      <c r="G582" s="3">
        <v>118.0506701326867</v>
      </c>
      <c r="H582" t="s">
        <v>73</v>
      </c>
      <c r="I582" t="s">
        <v>2757</v>
      </c>
      <c r="J582" s="3">
        <v>2.4835203715225109</v>
      </c>
      <c r="K582" s="3">
        <v>1.116569043143778</v>
      </c>
    </row>
    <row r="583" spans="1:11" x14ac:dyDescent="0.45">
      <c r="A583" t="s">
        <v>2760</v>
      </c>
      <c r="B583">
        <v>1</v>
      </c>
      <c r="C583" t="s">
        <v>1761</v>
      </c>
      <c r="D583" t="s">
        <v>2761</v>
      </c>
      <c r="E583" t="s">
        <v>2762</v>
      </c>
      <c r="F583" s="3">
        <v>178.7157563880009</v>
      </c>
      <c r="G583" s="3">
        <v>185.47045497051471</v>
      </c>
      <c r="H583" t="s">
        <v>73</v>
      </c>
      <c r="I583" t="s">
        <v>2760</v>
      </c>
      <c r="J583" s="3">
        <v>3.3390769618006848</v>
      </c>
      <c r="K583" s="3">
        <v>3.7795764173411528</v>
      </c>
    </row>
    <row r="584" spans="1:11" x14ac:dyDescent="0.45">
      <c r="A584" t="s">
        <v>2763</v>
      </c>
      <c r="B584">
        <v>2</v>
      </c>
      <c r="C584" t="s">
        <v>1761</v>
      </c>
      <c r="D584" t="s">
        <v>2764</v>
      </c>
      <c r="E584" t="s">
        <v>2765</v>
      </c>
      <c r="F584" s="3">
        <v>79.822859569640329</v>
      </c>
      <c r="G584" s="3">
        <v>79.36134829517114</v>
      </c>
      <c r="H584" t="s">
        <v>73</v>
      </c>
      <c r="I584" t="s">
        <v>2763</v>
      </c>
      <c r="J584" s="3">
        <v>3.5723880511798032</v>
      </c>
      <c r="K584" s="3">
        <v>0.57816930758607421</v>
      </c>
    </row>
    <row r="585" spans="1:11" x14ac:dyDescent="0.45">
      <c r="A585" t="s">
        <v>2766</v>
      </c>
      <c r="B585">
        <v>1</v>
      </c>
      <c r="C585" t="s">
        <v>1761</v>
      </c>
      <c r="D585" t="s">
        <v>2767</v>
      </c>
      <c r="E585" t="s">
        <v>2768</v>
      </c>
      <c r="F585" s="3">
        <v>155.31240550493601</v>
      </c>
      <c r="G585" s="3">
        <v>155.68487608828849</v>
      </c>
      <c r="H585" t="s">
        <v>73</v>
      </c>
      <c r="I585" t="s">
        <v>2766</v>
      </c>
      <c r="J585" s="3">
        <v>3.109456426520504</v>
      </c>
      <c r="K585" s="3">
        <v>0.23982023982023301</v>
      </c>
    </row>
    <row r="586" spans="1:11" x14ac:dyDescent="0.45">
      <c r="A586" t="s">
        <v>2769</v>
      </c>
      <c r="B586">
        <v>1</v>
      </c>
      <c r="C586" t="s">
        <v>1761</v>
      </c>
      <c r="D586" t="s">
        <v>2770</v>
      </c>
      <c r="E586" t="s">
        <v>2771</v>
      </c>
      <c r="F586" s="3">
        <v>337.98574338015192</v>
      </c>
      <c r="G586" s="3">
        <v>309.40009381154562</v>
      </c>
      <c r="H586" t="s">
        <v>73</v>
      </c>
      <c r="I586" t="s">
        <v>2769</v>
      </c>
      <c r="J586" s="3">
        <v>1.268380657870062</v>
      </c>
      <c r="K586" s="3">
        <v>8.4576495099245559</v>
      </c>
    </row>
    <row r="587" spans="1:11" x14ac:dyDescent="0.45">
      <c r="A587" t="s">
        <v>2772</v>
      </c>
      <c r="B587">
        <v>5</v>
      </c>
      <c r="C587" t="s">
        <v>1761</v>
      </c>
      <c r="D587" t="s">
        <v>2773</v>
      </c>
      <c r="E587" t="s">
        <v>2774</v>
      </c>
      <c r="F587" s="3">
        <v>89.554061255197084</v>
      </c>
      <c r="G587" s="3">
        <v>88.224647859623644</v>
      </c>
      <c r="H587" t="s">
        <v>73</v>
      </c>
      <c r="I587" t="s">
        <v>2772</v>
      </c>
      <c r="J587" s="3">
        <v>1.8720915027831659</v>
      </c>
      <c r="K587" s="3">
        <v>1.4844814148462659</v>
      </c>
    </row>
    <row r="588" spans="1:11" x14ac:dyDescent="0.45">
      <c r="A588" t="s">
        <v>2775</v>
      </c>
      <c r="B588">
        <v>1</v>
      </c>
      <c r="C588" t="s">
        <v>1761</v>
      </c>
      <c r="D588" t="s">
        <v>2776</v>
      </c>
      <c r="E588" t="s">
        <v>2777</v>
      </c>
      <c r="F588" s="3">
        <v>959.28331038742022</v>
      </c>
      <c r="G588" s="3">
        <v>925.1719194675369</v>
      </c>
      <c r="H588" t="s">
        <v>73</v>
      </c>
      <c r="I588" t="s">
        <v>2775</v>
      </c>
      <c r="J588" s="3">
        <v>0.42838704877648831</v>
      </c>
      <c r="K588" s="3">
        <v>3.555924568947928</v>
      </c>
    </row>
    <row r="589" spans="1:11" x14ac:dyDescent="0.45">
      <c r="A589" t="s">
        <v>2778</v>
      </c>
      <c r="B589">
        <v>2</v>
      </c>
      <c r="C589" t="s">
        <v>1761</v>
      </c>
      <c r="D589" t="s">
        <v>2779</v>
      </c>
      <c r="E589" t="s">
        <v>2780</v>
      </c>
      <c r="F589" s="3">
        <v>146.917140342507</v>
      </c>
      <c r="G589" s="3">
        <v>148.60369497168031</v>
      </c>
      <c r="H589" t="s">
        <v>73</v>
      </c>
      <c r="I589" t="s">
        <v>2778</v>
      </c>
      <c r="J589" s="3">
        <v>3.0663789001306831</v>
      </c>
      <c r="K589" s="3">
        <v>1.147963147963146</v>
      </c>
    </row>
    <row r="590" spans="1:11" x14ac:dyDescent="0.45">
      <c r="A590" t="s">
        <v>2781</v>
      </c>
      <c r="B590">
        <v>2</v>
      </c>
      <c r="C590" t="s">
        <v>1761</v>
      </c>
      <c r="D590" t="s">
        <v>2782</v>
      </c>
      <c r="E590" t="s">
        <v>2783</v>
      </c>
      <c r="F590" s="3">
        <v>225.71391194785051</v>
      </c>
      <c r="G590" s="3">
        <v>239.09056346714729</v>
      </c>
      <c r="H590" t="s">
        <v>73</v>
      </c>
      <c r="I590" t="s">
        <v>2781</v>
      </c>
      <c r="J590" s="3">
        <v>0.9168256989020378</v>
      </c>
      <c r="K590" s="3">
        <v>5.9263744108016487</v>
      </c>
    </row>
    <row r="591" spans="1:11" x14ac:dyDescent="0.45">
      <c r="A591" t="s">
        <v>2784</v>
      </c>
      <c r="B591">
        <v>2</v>
      </c>
      <c r="C591" t="s">
        <v>1761</v>
      </c>
      <c r="D591" t="s">
        <v>2785</v>
      </c>
      <c r="E591" t="s">
        <v>2786</v>
      </c>
      <c r="F591" s="3">
        <v>191.40617488858169</v>
      </c>
      <c r="G591" s="3">
        <v>182.15931542393429</v>
      </c>
      <c r="H591" t="s">
        <v>73</v>
      </c>
      <c r="I591" t="s">
        <v>2784</v>
      </c>
      <c r="J591" s="3">
        <v>4.857633988092716</v>
      </c>
      <c r="K591" s="3">
        <v>4.8310141875151302</v>
      </c>
    </row>
    <row r="592" spans="1:11" x14ac:dyDescent="0.45">
      <c r="A592" t="s">
        <v>2787</v>
      </c>
      <c r="B592">
        <v>2</v>
      </c>
      <c r="C592" t="s">
        <v>1761</v>
      </c>
      <c r="D592" t="s">
        <v>2788</v>
      </c>
      <c r="E592" t="s">
        <v>2789</v>
      </c>
      <c r="F592" s="3">
        <v>258.85433533127099</v>
      </c>
      <c r="G592" s="3">
        <v>289.64219276222082</v>
      </c>
      <c r="H592" t="s">
        <v>73</v>
      </c>
      <c r="I592" t="s">
        <v>2787</v>
      </c>
      <c r="J592" s="3">
        <v>1.707309095392239</v>
      </c>
      <c r="K592" s="3">
        <v>11.893892907587841</v>
      </c>
    </row>
    <row r="593" spans="1:11" x14ac:dyDescent="0.45">
      <c r="A593" t="s">
        <v>2790</v>
      </c>
      <c r="B593">
        <v>4</v>
      </c>
      <c r="C593" t="s">
        <v>1761</v>
      </c>
      <c r="D593" t="s">
        <v>2791</v>
      </c>
      <c r="E593" t="s">
        <v>2792</v>
      </c>
      <c r="F593" s="3">
        <v>50.59044190402178</v>
      </c>
      <c r="G593" s="3">
        <v>50.874197952635342</v>
      </c>
      <c r="H593" t="s">
        <v>73</v>
      </c>
      <c r="I593" t="s">
        <v>2790</v>
      </c>
      <c r="J593" s="3">
        <v>2.9718764085408989</v>
      </c>
      <c r="K593" s="3">
        <v>0.56088865393169884</v>
      </c>
    </row>
    <row r="594" spans="1:11" x14ac:dyDescent="0.45">
      <c r="A594" t="s">
        <v>2793</v>
      </c>
      <c r="B594">
        <v>1</v>
      </c>
      <c r="C594" t="s">
        <v>1761</v>
      </c>
      <c r="D594" t="s">
        <v>2794</v>
      </c>
      <c r="E594" t="s">
        <v>2795</v>
      </c>
      <c r="F594" s="3">
        <v>362.79906828408627</v>
      </c>
      <c r="G594" s="3">
        <v>349.60049814702279</v>
      </c>
      <c r="H594" t="s">
        <v>73</v>
      </c>
      <c r="I594" t="s">
        <v>2793</v>
      </c>
      <c r="J594" s="3">
        <v>0.5725215124517683</v>
      </c>
      <c r="K594" s="3">
        <v>3.6379834709852239</v>
      </c>
    </row>
    <row r="595" spans="1:11" x14ac:dyDescent="0.45">
      <c r="A595" t="s">
        <v>2796</v>
      </c>
      <c r="B595">
        <v>1</v>
      </c>
      <c r="C595" t="s">
        <v>1761</v>
      </c>
      <c r="D595" t="s">
        <v>2797</v>
      </c>
      <c r="E595" t="s">
        <v>2798</v>
      </c>
      <c r="F595" s="3">
        <v>127.05747850333449</v>
      </c>
      <c r="G595" s="3">
        <v>123.2417750404263</v>
      </c>
      <c r="H595" t="s">
        <v>73</v>
      </c>
      <c r="I595" t="s">
        <v>2796</v>
      </c>
      <c r="J595" s="3">
        <v>7.2032453374402454</v>
      </c>
      <c r="K595" s="3">
        <v>3.0031317383715099</v>
      </c>
    </row>
    <row r="596" spans="1:11" x14ac:dyDescent="0.45">
      <c r="A596" t="s">
        <v>2799</v>
      </c>
      <c r="B596">
        <v>1</v>
      </c>
      <c r="C596" t="s">
        <v>1761</v>
      </c>
      <c r="D596" t="s">
        <v>2800</v>
      </c>
      <c r="E596" t="s">
        <v>2801</v>
      </c>
      <c r="F596" s="3">
        <v>188.7480004101902</v>
      </c>
      <c r="G596" s="3">
        <v>195.23394613746541</v>
      </c>
      <c r="H596" t="s">
        <v>73</v>
      </c>
      <c r="I596" t="s">
        <v>2799</v>
      </c>
      <c r="J596" s="3">
        <v>0.95524319308073435</v>
      </c>
      <c r="K596" s="3">
        <v>3.4362990406148999</v>
      </c>
    </row>
    <row r="597" spans="1:11" x14ac:dyDescent="0.45">
      <c r="A597" t="s">
        <v>2802</v>
      </c>
      <c r="B597">
        <v>1</v>
      </c>
      <c r="C597" t="s">
        <v>1761</v>
      </c>
      <c r="D597" t="s">
        <v>2803</v>
      </c>
      <c r="E597" t="s">
        <v>2804</v>
      </c>
      <c r="F597" s="3">
        <v>95.984886554638109</v>
      </c>
      <c r="G597" s="3">
        <v>100.5370511184307</v>
      </c>
      <c r="H597" t="s">
        <v>73</v>
      </c>
      <c r="I597" t="s">
        <v>2802</v>
      </c>
      <c r="J597" s="3">
        <v>0.53107834644185226</v>
      </c>
      <c r="K597" s="3">
        <v>4.7425847205657048</v>
      </c>
    </row>
    <row r="598" spans="1:11" x14ac:dyDescent="0.45">
      <c r="A598" t="s">
        <v>2805</v>
      </c>
      <c r="B598">
        <v>2</v>
      </c>
      <c r="C598" t="s">
        <v>1761</v>
      </c>
      <c r="D598" t="s">
        <v>2806</v>
      </c>
      <c r="E598" t="s">
        <v>2807</v>
      </c>
      <c r="F598" s="3">
        <v>224.47092999237199</v>
      </c>
      <c r="G598" s="3">
        <v>221.08673141718299</v>
      </c>
      <c r="H598" t="s">
        <v>73</v>
      </c>
      <c r="I598" t="s">
        <v>2805</v>
      </c>
      <c r="J598" s="3">
        <v>2.3656414818774132</v>
      </c>
      <c r="K598" s="3">
        <v>1.5076333382250979</v>
      </c>
    </row>
    <row r="599" spans="1:11" x14ac:dyDescent="0.45">
      <c r="A599" t="s">
        <v>2808</v>
      </c>
      <c r="B599">
        <v>1</v>
      </c>
      <c r="C599" t="s">
        <v>1761</v>
      </c>
      <c r="D599" t="s">
        <v>2809</v>
      </c>
      <c r="E599" t="s">
        <v>2810</v>
      </c>
      <c r="F599" s="3">
        <v>84.082461862621003</v>
      </c>
      <c r="G599" s="3">
        <v>82.822845931878931</v>
      </c>
      <c r="H599" t="s">
        <v>73</v>
      </c>
      <c r="I599" t="s">
        <v>2808</v>
      </c>
      <c r="J599" s="3">
        <v>4.0223473008122186</v>
      </c>
      <c r="K599" s="3">
        <v>1.4980721339963941</v>
      </c>
    </row>
    <row r="600" spans="1:11" x14ac:dyDescent="0.45">
      <c r="A600" t="s">
        <v>2811</v>
      </c>
      <c r="B600">
        <v>1</v>
      </c>
      <c r="C600" t="s">
        <v>1761</v>
      </c>
      <c r="D600" t="s">
        <v>2812</v>
      </c>
      <c r="E600" t="s">
        <v>2813</v>
      </c>
      <c r="F600" s="3">
        <v>171.0311859726167</v>
      </c>
      <c r="G600" s="3">
        <v>173.227849176539</v>
      </c>
      <c r="H600" t="s">
        <v>73</v>
      </c>
      <c r="I600" t="s">
        <v>2811</v>
      </c>
      <c r="J600" s="3">
        <v>0.33781461192525408</v>
      </c>
      <c r="K600" s="3">
        <v>1.284364130103125</v>
      </c>
    </row>
    <row r="601" spans="1:11" x14ac:dyDescent="0.45">
      <c r="A601" t="s">
        <v>2814</v>
      </c>
      <c r="B601">
        <v>1</v>
      </c>
      <c r="C601" t="s">
        <v>1761</v>
      </c>
      <c r="D601" t="s">
        <v>2815</v>
      </c>
      <c r="E601" t="s">
        <v>2816</v>
      </c>
      <c r="F601" s="3">
        <v>92.500231815112429</v>
      </c>
      <c r="G601" s="3">
        <v>92.152222960088665</v>
      </c>
      <c r="H601" t="s">
        <v>73</v>
      </c>
      <c r="I601" t="s">
        <v>2814</v>
      </c>
      <c r="J601" s="3">
        <v>3.536983630623312</v>
      </c>
      <c r="K601" s="3">
        <v>0.3762248463542861</v>
      </c>
    </row>
    <row r="602" spans="1:11" x14ac:dyDescent="0.45">
      <c r="A602" t="s">
        <v>2817</v>
      </c>
      <c r="B602">
        <v>2</v>
      </c>
      <c r="C602" t="s">
        <v>1761</v>
      </c>
      <c r="D602" t="s">
        <v>2818</v>
      </c>
      <c r="E602" t="s">
        <v>2819</v>
      </c>
      <c r="F602" s="3">
        <v>133.94524888795669</v>
      </c>
      <c r="G602" s="3">
        <v>128.3859134297748</v>
      </c>
      <c r="H602" t="s">
        <v>73</v>
      </c>
      <c r="I602" t="s">
        <v>2817</v>
      </c>
      <c r="J602" s="3">
        <v>0.90830250108908883</v>
      </c>
      <c r="K602" s="3">
        <v>4.1504536400781049</v>
      </c>
    </row>
    <row r="603" spans="1:11" x14ac:dyDescent="0.45">
      <c r="A603" t="s">
        <v>2820</v>
      </c>
      <c r="B603">
        <v>4</v>
      </c>
      <c r="C603" t="s">
        <v>1761</v>
      </c>
      <c r="D603" t="s">
        <v>2821</v>
      </c>
      <c r="E603" t="s">
        <v>2822</v>
      </c>
      <c r="F603" s="3">
        <v>72.14252918716646</v>
      </c>
      <c r="G603" s="3">
        <v>71.759621599726998</v>
      </c>
      <c r="H603" t="s">
        <v>73</v>
      </c>
      <c r="I603" t="s">
        <v>2820</v>
      </c>
      <c r="J603" s="3">
        <v>11.313387700734131</v>
      </c>
      <c r="K603" s="3">
        <v>0.53076540530765381</v>
      </c>
    </row>
    <row r="604" spans="1:11" x14ac:dyDescent="0.45">
      <c r="A604" t="s">
        <v>2823</v>
      </c>
      <c r="B604">
        <v>1</v>
      </c>
      <c r="C604" t="s">
        <v>1761</v>
      </c>
      <c r="D604" t="s">
        <v>2824</v>
      </c>
      <c r="E604" t="s">
        <v>2825</v>
      </c>
      <c r="F604" s="3">
        <v>183.33706610386949</v>
      </c>
      <c r="G604" s="3">
        <v>187.29953993675019</v>
      </c>
      <c r="H604" t="s">
        <v>73</v>
      </c>
      <c r="I604" t="s">
        <v>2823</v>
      </c>
      <c r="J604" s="3">
        <v>2.1559371563381671</v>
      </c>
      <c r="K604" s="3">
        <v>2.161305357987882</v>
      </c>
    </row>
    <row r="605" spans="1:11" x14ac:dyDescent="0.45">
      <c r="A605" t="s">
        <v>2826</v>
      </c>
      <c r="B605">
        <v>1</v>
      </c>
      <c r="C605" t="s">
        <v>1761</v>
      </c>
      <c r="D605" t="s">
        <v>2827</v>
      </c>
      <c r="E605" t="s">
        <v>2828</v>
      </c>
      <c r="F605" s="3">
        <v>211.92760801814151</v>
      </c>
      <c r="G605" s="3">
        <v>206.6442008555079</v>
      </c>
      <c r="H605" t="s">
        <v>73</v>
      </c>
      <c r="I605" t="s">
        <v>2826</v>
      </c>
      <c r="J605" s="3">
        <v>1.3245639179786211</v>
      </c>
      <c r="K605" s="3">
        <v>2.4930244870131588</v>
      </c>
    </row>
    <row r="606" spans="1:11" x14ac:dyDescent="0.45">
      <c r="A606" t="s">
        <v>2829</v>
      </c>
      <c r="B606">
        <v>1</v>
      </c>
      <c r="C606" t="s">
        <v>1761</v>
      </c>
      <c r="D606" t="s">
        <v>2830</v>
      </c>
      <c r="E606" t="s">
        <v>2831</v>
      </c>
      <c r="F606" s="3">
        <v>353.7488811152021</v>
      </c>
      <c r="G606" s="3">
        <v>384.56446183825773</v>
      </c>
      <c r="H606" t="s">
        <v>73</v>
      </c>
      <c r="I606" t="s">
        <v>2829</v>
      </c>
      <c r="J606" s="3">
        <v>0.93498008157139112</v>
      </c>
      <c r="K606" s="3">
        <v>8.7111457783014714</v>
      </c>
    </row>
    <row r="607" spans="1:11" x14ac:dyDescent="0.45">
      <c r="A607" t="s">
        <v>2832</v>
      </c>
      <c r="B607">
        <v>1</v>
      </c>
      <c r="C607" t="s">
        <v>1761</v>
      </c>
      <c r="D607" t="s">
        <v>2833</v>
      </c>
      <c r="E607" t="s">
        <v>2834</v>
      </c>
      <c r="F607" s="3">
        <v>138.02644364232631</v>
      </c>
      <c r="G607" s="3">
        <v>147.2080718314304</v>
      </c>
      <c r="H607" t="s">
        <v>73</v>
      </c>
      <c r="I607" t="s">
        <v>2832</v>
      </c>
      <c r="J607" s="3">
        <v>1.411000782453067</v>
      </c>
      <c r="K607" s="3">
        <v>6.6520790848576672</v>
      </c>
    </row>
    <row r="608" spans="1:11" x14ac:dyDescent="0.45">
      <c r="A608" t="s">
        <v>2835</v>
      </c>
      <c r="B608">
        <v>1</v>
      </c>
      <c r="C608" t="s">
        <v>1761</v>
      </c>
      <c r="D608" t="s">
        <v>2836</v>
      </c>
      <c r="E608" t="s">
        <v>2837</v>
      </c>
      <c r="F608" s="3">
        <v>163.81530227201151</v>
      </c>
      <c r="G608" s="3">
        <v>161.9800203345994</v>
      </c>
      <c r="H608" t="s">
        <v>73</v>
      </c>
      <c r="I608" t="s">
        <v>2835</v>
      </c>
      <c r="J608" s="3">
        <v>4.3583097862228799</v>
      </c>
      <c r="K608" s="3">
        <v>1.1203360809142671</v>
      </c>
    </row>
    <row r="609" spans="1:13" x14ac:dyDescent="0.45">
      <c r="A609" t="s">
        <v>2838</v>
      </c>
      <c r="B609">
        <v>1</v>
      </c>
      <c r="C609" t="s">
        <v>1761</v>
      </c>
      <c r="D609" t="s">
        <v>2839</v>
      </c>
      <c r="E609" t="s">
        <v>2840</v>
      </c>
      <c r="F609" s="3">
        <v>148.2527507092571</v>
      </c>
      <c r="G609" s="3">
        <v>163.65095207328</v>
      </c>
      <c r="H609" t="s">
        <v>73</v>
      </c>
      <c r="I609" t="s">
        <v>2838</v>
      </c>
      <c r="J609" s="3">
        <v>2.0733448795709268</v>
      </c>
      <c r="K609" s="3">
        <v>10.38645238645238</v>
      </c>
    </row>
    <row r="610" spans="1:13" x14ac:dyDescent="0.45">
      <c r="A610" t="s">
        <v>2841</v>
      </c>
      <c r="B610">
        <v>1</v>
      </c>
      <c r="C610" t="s">
        <v>1761</v>
      </c>
      <c r="D610" t="s">
        <v>2842</v>
      </c>
      <c r="E610" t="s">
        <v>2843</v>
      </c>
      <c r="F610" s="3">
        <v>188.63873802365509</v>
      </c>
      <c r="G610" s="3">
        <v>177.18706144564251</v>
      </c>
      <c r="H610" t="s">
        <v>73</v>
      </c>
      <c r="I610" t="s">
        <v>2841</v>
      </c>
      <c r="J610" s="3">
        <v>3.5145597474088661</v>
      </c>
      <c r="K610" s="3">
        <v>6.0706918939293066</v>
      </c>
    </row>
    <row r="611" spans="1:13" x14ac:dyDescent="0.45">
      <c r="A611" t="s">
        <v>2844</v>
      </c>
      <c r="B611">
        <v>1</v>
      </c>
      <c r="C611" t="s">
        <v>1761</v>
      </c>
      <c r="D611" t="s">
        <v>2845</v>
      </c>
      <c r="E611" t="s">
        <v>2846</v>
      </c>
      <c r="F611" s="3">
        <v>337.28679026270493</v>
      </c>
      <c r="G611" s="3">
        <v>349.68529880522919</v>
      </c>
      <c r="H611" t="s">
        <v>73</v>
      </c>
      <c r="I611" t="s">
        <v>2844</v>
      </c>
      <c r="J611" s="3">
        <v>4.2556536436003638</v>
      </c>
      <c r="K611" s="3">
        <v>3.6759543808007931</v>
      </c>
    </row>
    <row r="612" spans="1:13" x14ac:dyDescent="0.45">
      <c r="A612" t="s">
        <v>2847</v>
      </c>
      <c r="B612">
        <v>1</v>
      </c>
      <c r="C612" t="s">
        <v>1761</v>
      </c>
      <c r="D612" t="s">
        <v>2848</v>
      </c>
      <c r="E612" t="s">
        <v>2849</v>
      </c>
      <c r="F612" s="3">
        <v>74.430842333227119</v>
      </c>
      <c r="G612" s="3">
        <v>76.004873012088126</v>
      </c>
      <c r="H612" t="s">
        <v>73</v>
      </c>
      <c r="I612" t="s">
        <v>2847</v>
      </c>
      <c r="J612" s="3">
        <v>2.2683498170950851</v>
      </c>
      <c r="K612" s="3">
        <v>2.1147559661008102</v>
      </c>
    </row>
    <row r="613" spans="1:13" x14ac:dyDescent="0.45">
      <c r="A613" t="s">
        <v>2850</v>
      </c>
      <c r="B613">
        <v>2</v>
      </c>
      <c r="C613" t="s">
        <v>1761</v>
      </c>
      <c r="D613" t="s">
        <v>2851</v>
      </c>
      <c r="E613" t="s">
        <v>2852</v>
      </c>
      <c r="F613" s="3">
        <v>122.0643505168689</v>
      </c>
      <c r="G613" s="3">
        <v>129.23783388837089</v>
      </c>
      <c r="H613" t="s">
        <v>73</v>
      </c>
      <c r="I613" t="s">
        <v>2850</v>
      </c>
      <c r="J613" s="3">
        <v>3.764105054035531</v>
      </c>
      <c r="K613" s="3">
        <v>5.876804604396507</v>
      </c>
    </row>
    <row r="614" spans="1:13" x14ac:dyDescent="0.45">
      <c r="A614" t="s">
        <v>2853</v>
      </c>
      <c r="B614">
        <v>1</v>
      </c>
      <c r="C614" t="s">
        <v>1761</v>
      </c>
      <c r="D614" t="s">
        <v>2854</v>
      </c>
      <c r="E614" t="s">
        <v>2855</v>
      </c>
      <c r="F614" s="3">
        <v>139.38292801725029</v>
      </c>
      <c r="G614" s="3">
        <v>135.57700924567359</v>
      </c>
      <c r="H614" t="s">
        <v>73</v>
      </c>
      <c r="I614" t="s">
        <v>2853</v>
      </c>
      <c r="J614" s="3">
        <v>1.120405052967566</v>
      </c>
      <c r="K614" s="3">
        <v>2.730548730548727</v>
      </c>
    </row>
    <row r="615" spans="1:13" x14ac:dyDescent="0.45">
      <c r="A615" t="s">
        <v>2856</v>
      </c>
      <c r="B615">
        <v>1</v>
      </c>
      <c r="C615" t="s">
        <v>1761</v>
      </c>
      <c r="D615" t="s">
        <v>2857</v>
      </c>
      <c r="E615" t="s">
        <v>2858</v>
      </c>
      <c r="F615" s="3">
        <v>134.1654044429155</v>
      </c>
      <c r="G615" s="3">
        <v>130.12954542504849</v>
      </c>
      <c r="H615" t="s">
        <v>73</v>
      </c>
      <c r="I615" t="s">
        <v>2856</v>
      </c>
      <c r="J615" s="3">
        <v>4.0898164815588354</v>
      </c>
      <c r="K615" s="3">
        <v>3.008121977960537</v>
      </c>
    </row>
    <row r="616" spans="1:13" x14ac:dyDescent="0.45">
      <c r="A616" t="s">
        <v>2859</v>
      </c>
      <c r="B616">
        <v>1</v>
      </c>
      <c r="C616" t="s">
        <v>1761</v>
      </c>
      <c r="D616" t="s">
        <v>2860</v>
      </c>
      <c r="E616" t="s">
        <v>2861</v>
      </c>
      <c r="F616" s="3">
        <v>1012.907985073341</v>
      </c>
      <c r="G616" s="3">
        <v>2454.7018221528679</v>
      </c>
      <c r="H616" t="s">
        <v>73</v>
      </c>
      <c r="I616" t="s">
        <v>2859</v>
      </c>
      <c r="J616" s="3">
        <v>0.3280181576319548</v>
      </c>
      <c r="K616" s="3">
        <v>142.3420348468407</v>
      </c>
      <c r="M616" t="s">
        <v>1752</v>
      </c>
    </row>
    <row r="617" spans="1:13" x14ac:dyDescent="0.45">
      <c r="A617" t="s">
        <v>2862</v>
      </c>
      <c r="B617">
        <v>1</v>
      </c>
      <c r="C617" t="s">
        <v>1761</v>
      </c>
      <c r="D617" t="s">
        <v>2863</v>
      </c>
      <c r="E617" t="s">
        <v>2864</v>
      </c>
      <c r="F617" s="3">
        <v>128.40809206345961</v>
      </c>
      <c r="G617" s="3">
        <v>129.61487066101151</v>
      </c>
      <c r="H617" t="s">
        <v>73</v>
      </c>
      <c r="I617" t="s">
        <v>2862</v>
      </c>
      <c r="J617" s="3">
        <v>2.965834720617178</v>
      </c>
      <c r="K617" s="3">
        <v>0.93979949250826755</v>
      </c>
    </row>
    <row r="618" spans="1:13" x14ac:dyDescent="0.45">
      <c r="A618" t="s">
        <v>2865</v>
      </c>
      <c r="B618">
        <v>1</v>
      </c>
      <c r="C618" t="s">
        <v>1774</v>
      </c>
      <c r="G618" s="3">
        <v>370.51364508622038</v>
      </c>
      <c r="H618" t="s">
        <v>1755</v>
      </c>
      <c r="I618" t="s">
        <v>2865</v>
      </c>
      <c r="M618" t="s">
        <v>1757</v>
      </c>
    </row>
    <row r="619" spans="1:13" x14ac:dyDescent="0.45">
      <c r="A619" t="s">
        <v>2866</v>
      </c>
      <c r="B619">
        <v>2</v>
      </c>
      <c r="C619" t="s">
        <v>1761</v>
      </c>
      <c r="D619" t="s">
        <v>2867</v>
      </c>
      <c r="E619" t="s">
        <v>2868</v>
      </c>
      <c r="F619" s="3">
        <v>119.383671248415</v>
      </c>
      <c r="G619" s="3">
        <v>122.6504535276259</v>
      </c>
      <c r="H619" t="s">
        <v>73</v>
      </c>
      <c r="I619" t="s">
        <v>2866</v>
      </c>
      <c r="J619" s="3">
        <v>0.26535311189499838</v>
      </c>
      <c r="K619" s="3">
        <v>2.7363727761507088</v>
      </c>
    </row>
    <row r="620" spans="1:13" x14ac:dyDescent="0.45">
      <c r="A620" t="s">
        <v>2869</v>
      </c>
      <c r="B620">
        <v>1</v>
      </c>
      <c r="C620" t="s">
        <v>1761</v>
      </c>
      <c r="D620" t="s">
        <v>2870</v>
      </c>
      <c r="E620" t="s">
        <v>2871</v>
      </c>
      <c r="F620" s="3">
        <v>204.6151820297321</v>
      </c>
      <c r="G620" s="3">
        <v>196.2743849823818</v>
      </c>
      <c r="H620" t="s">
        <v>73</v>
      </c>
      <c r="I620" t="s">
        <v>2869</v>
      </c>
      <c r="J620" s="3">
        <v>0.81671298792727787</v>
      </c>
      <c r="K620" s="3">
        <v>4.0763334199406156</v>
      </c>
    </row>
    <row r="621" spans="1:13" x14ac:dyDescent="0.45">
      <c r="A621" t="s">
        <v>2872</v>
      </c>
      <c r="B621">
        <v>1</v>
      </c>
      <c r="C621" t="s">
        <v>1774</v>
      </c>
      <c r="G621" s="3">
        <v>745.01292110813938</v>
      </c>
      <c r="H621" t="s">
        <v>1755</v>
      </c>
      <c r="I621" t="s">
        <v>2872</v>
      </c>
      <c r="M621" t="s">
        <v>1757</v>
      </c>
    </row>
    <row r="622" spans="1:13" x14ac:dyDescent="0.45">
      <c r="A622" t="s">
        <v>2873</v>
      </c>
      <c r="B622">
        <v>1</v>
      </c>
      <c r="C622" t="s">
        <v>1774</v>
      </c>
      <c r="G622" s="3">
        <v>364.18294979473848</v>
      </c>
      <c r="H622" t="s">
        <v>1755</v>
      </c>
      <c r="I622" t="s">
        <v>2873</v>
      </c>
      <c r="M622" t="s">
        <v>1757</v>
      </c>
    </row>
    <row r="623" spans="1:13" x14ac:dyDescent="0.45">
      <c r="A623" t="s">
        <v>2874</v>
      </c>
      <c r="B623">
        <v>1</v>
      </c>
      <c r="C623" t="s">
        <v>1761</v>
      </c>
      <c r="D623" t="s">
        <v>2875</v>
      </c>
      <c r="E623" t="s">
        <v>2876</v>
      </c>
      <c r="F623" s="3">
        <v>163.98001124275851</v>
      </c>
      <c r="G623" s="3">
        <v>146.15491288778301</v>
      </c>
      <c r="H623" t="s">
        <v>73</v>
      </c>
      <c r="I623" t="s">
        <v>2874</v>
      </c>
      <c r="J623" s="3">
        <v>1.761087597845137</v>
      </c>
      <c r="K623" s="3">
        <v>10.87028731116922</v>
      </c>
    </row>
    <row r="624" spans="1:13" x14ac:dyDescent="0.45">
      <c r="A624" t="s">
        <v>2877</v>
      </c>
      <c r="B624">
        <v>1</v>
      </c>
      <c r="C624" t="s">
        <v>1761</v>
      </c>
      <c r="D624" t="s">
        <v>2878</v>
      </c>
      <c r="E624" t="s">
        <v>2879</v>
      </c>
      <c r="F624" s="3">
        <v>244.67860068656819</v>
      </c>
      <c r="G624" s="3">
        <v>254.6834475730293</v>
      </c>
      <c r="H624" t="s">
        <v>73</v>
      </c>
      <c r="I624" t="s">
        <v>2877</v>
      </c>
      <c r="J624" s="3">
        <v>2.0201080797339079</v>
      </c>
      <c r="K624" s="3">
        <v>4.0889750302590757</v>
      </c>
    </row>
    <row r="625" spans="1:13" x14ac:dyDescent="0.45">
      <c r="A625" t="s">
        <v>2880</v>
      </c>
      <c r="B625">
        <v>1</v>
      </c>
      <c r="C625" t="s">
        <v>1761</v>
      </c>
      <c r="D625" t="s">
        <v>2881</v>
      </c>
      <c r="E625" t="s">
        <v>2882</v>
      </c>
      <c r="F625" s="3">
        <v>454.8903000015419</v>
      </c>
      <c r="G625" s="3">
        <v>431.12654632110002</v>
      </c>
      <c r="H625" t="s">
        <v>73</v>
      </c>
      <c r="I625" t="s">
        <v>2880</v>
      </c>
      <c r="J625" s="3">
        <v>0.97936953912014668</v>
      </c>
      <c r="K625" s="3">
        <v>5.2240625224062534</v>
      </c>
    </row>
    <row r="626" spans="1:13" x14ac:dyDescent="0.45">
      <c r="A626" t="s">
        <v>2883</v>
      </c>
      <c r="B626">
        <v>1</v>
      </c>
      <c r="C626" t="s">
        <v>1761</v>
      </c>
      <c r="D626" t="s">
        <v>2884</v>
      </c>
      <c r="E626" t="s">
        <v>2885</v>
      </c>
      <c r="F626" s="3">
        <v>626.01998520022914</v>
      </c>
      <c r="G626" s="3">
        <v>763.29398607916289</v>
      </c>
      <c r="H626" t="s">
        <v>73</v>
      </c>
      <c r="I626" t="s">
        <v>2883</v>
      </c>
      <c r="J626" s="3">
        <v>0.1369907464409193</v>
      </c>
      <c r="K626" s="3">
        <v>21.92805407562626</v>
      </c>
      <c r="M626" t="s">
        <v>1752</v>
      </c>
    </row>
    <row r="627" spans="1:13" x14ac:dyDescent="0.45">
      <c r="A627" t="s">
        <v>2886</v>
      </c>
      <c r="B627">
        <v>1</v>
      </c>
      <c r="C627" t="s">
        <v>1761</v>
      </c>
      <c r="D627" t="s">
        <v>2887</v>
      </c>
      <c r="E627" t="s">
        <v>2888</v>
      </c>
      <c r="F627" s="3">
        <v>219.486282071727</v>
      </c>
      <c r="G627" s="3">
        <v>231.8525011328573</v>
      </c>
      <c r="H627" t="s">
        <v>73</v>
      </c>
      <c r="I627" t="s">
        <v>2886</v>
      </c>
      <c r="J627" s="3">
        <v>2.9680139453626651</v>
      </c>
      <c r="K627" s="3">
        <v>5.6341648983279544</v>
      </c>
    </row>
    <row r="628" spans="1:13" x14ac:dyDescent="0.45">
      <c r="A628" t="s">
        <v>2889</v>
      </c>
      <c r="B628">
        <v>1</v>
      </c>
      <c r="C628" t="s">
        <v>1761</v>
      </c>
      <c r="D628" t="s">
        <v>2890</v>
      </c>
      <c r="E628" t="s">
        <v>2891</v>
      </c>
      <c r="F628" s="3">
        <v>414.42994903302451</v>
      </c>
      <c r="G628" s="3">
        <v>422.7084502122309</v>
      </c>
      <c r="H628" t="s">
        <v>73</v>
      </c>
      <c r="I628" t="s">
        <v>2889</v>
      </c>
      <c r="J628" s="3">
        <v>1.4087753123242439</v>
      </c>
      <c r="K628" s="3">
        <v>1.997563447941525</v>
      </c>
    </row>
    <row r="629" spans="1:13" x14ac:dyDescent="0.45">
      <c r="A629" t="s">
        <v>2892</v>
      </c>
      <c r="B629">
        <v>1</v>
      </c>
      <c r="C629" t="s">
        <v>1761</v>
      </c>
      <c r="D629" t="s">
        <v>2893</v>
      </c>
      <c r="E629" t="s">
        <v>2894</v>
      </c>
      <c r="F629" s="3">
        <v>147.64903525410341</v>
      </c>
      <c r="G629" s="3">
        <v>131.53984560229571</v>
      </c>
      <c r="H629" t="s">
        <v>73</v>
      </c>
      <c r="I629" t="s">
        <v>2892</v>
      </c>
      <c r="J629" s="3">
        <v>6.5726899463193176</v>
      </c>
      <c r="K629" s="3">
        <v>10.91046048765832</v>
      </c>
    </row>
    <row r="630" spans="1:13" x14ac:dyDescent="0.45">
      <c r="A630" t="s">
        <v>2895</v>
      </c>
      <c r="B630">
        <v>1</v>
      </c>
      <c r="C630" t="s">
        <v>1761</v>
      </c>
      <c r="D630" t="s">
        <v>2896</v>
      </c>
      <c r="E630" t="s">
        <v>2897</v>
      </c>
      <c r="F630" s="3">
        <v>155.68324530640001</v>
      </c>
      <c r="G630" s="3">
        <v>144.89953698995129</v>
      </c>
      <c r="H630" t="s">
        <v>73</v>
      </c>
      <c r="I630" t="s">
        <v>2895</v>
      </c>
      <c r="J630" s="3">
        <v>2.2091912936108158</v>
      </c>
      <c r="K630" s="3">
        <v>6.9266980497646262</v>
      </c>
    </row>
    <row r="631" spans="1:13" x14ac:dyDescent="0.45">
      <c r="A631" t="s">
        <v>2898</v>
      </c>
      <c r="B631">
        <v>3</v>
      </c>
      <c r="C631" t="s">
        <v>1761</v>
      </c>
      <c r="D631" t="s">
        <v>2899</v>
      </c>
      <c r="E631" t="s">
        <v>2900</v>
      </c>
      <c r="F631" s="3">
        <v>86.14801020270113</v>
      </c>
      <c r="G631" s="3">
        <v>90.620266453953121</v>
      </c>
      <c r="H631" t="s">
        <v>73</v>
      </c>
      <c r="I631" t="s">
        <v>2898</v>
      </c>
      <c r="J631" s="3">
        <v>4.1658118922707814</v>
      </c>
      <c r="K631" s="3">
        <v>5.1913633765063611</v>
      </c>
    </row>
    <row r="632" spans="1:13" x14ac:dyDescent="0.45">
      <c r="A632" t="s">
        <v>2901</v>
      </c>
      <c r="B632">
        <v>1</v>
      </c>
      <c r="C632" t="s">
        <v>1761</v>
      </c>
      <c r="D632" t="s">
        <v>2902</v>
      </c>
      <c r="E632" t="s">
        <v>2903</v>
      </c>
      <c r="F632" s="3">
        <v>55.299487685496111</v>
      </c>
      <c r="G632" s="3">
        <v>55.17880982574092</v>
      </c>
      <c r="H632" t="s">
        <v>73</v>
      </c>
      <c r="I632" t="s">
        <v>2901</v>
      </c>
      <c r="J632" s="3">
        <v>6.5675421167426391</v>
      </c>
      <c r="K632" s="3">
        <v>0.2182259995635423</v>
      </c>
    </row>
    <row r="633" spans="1:13" x14ac:dyDescent="0.45">
      <c r="A633" t="s">
        <v>2904</v>
      </c>
      <c r="B633">
        <v>2</v>
      </c>
      <c r="C633" t="s">
        <v>1761</v>
      </c>
      <c r="D633" t="s">
        <v>2905</v>
      </c>
      <c r="E633" t="s">
        <v>2906</v>
      </c>
      <c r="F633" s="3">
        <v>192.53630673737021</v>
      </c>
      <c r="G633" s="3">
        <v>204.71987822697909</v>
      </c>
      <c r="H633" t="s">
        <v>73</v>
      </c>
      <c r="I633" t="s">
        <v>2904</v>
      </c>
      <c r="J633" s="3">
        <v>1.051573061322481</v>
      </c>
      <c r="K633" s="3">
        <v>6.3279345574172643</v>
      </c>
    </row>
    <row r="634" spans="1:13" x14ac:dyDescent="0.45">
      <c r="A634" t="s">
        <v>2907</v>
      </c>
      <c r="B634">
        <v>1</v>
      </c>
      <c r="C634" t="s">
        <v>1774</v>
      </c>
      <c r="G634" s="3">
        <v>133.63507417274809</v>
      </c>
      <c r="H634" t="s">
        <v>1755</v>
      </c>
      <c r="I634" t="s">
        <v>2907</v>
      </c>
      <c r="M634" t="s">
        <v>1757</v>
      </c>
    </row>
    <row r="635" spans="1:13" x14ac:dyDescent="0.45">
      <c r="A635" t="s">
        <v>2908</v>
      </c>
      <c r="B635">
        <v>1</v>
      </c>
      <c r="C635" t="s">
        <v>1761</v>
      </c>
      <c r="D635" t="s">
        <v>2909</v>
      </c>
      <c r="E635" t="s">
        <v>2910</v>
      </c>
      <c r="F635" s="3">
        <v>213.7328835688036</v>
      </c>
      <c r="G635" s="3">
        <v>227.3688294083853</v>
      </c>
      <c r="H635" t="s">
        <v>73</v>
      </c>
      <c r="I635" t="s">
        <v>2908</v>
      </c>
      <c r="J635" s="3">
        <v>2.5249925988406301</v>
      </c>
      <c r="K635" s="3">
        <v>6.3799007489608019</v>
      </c>
    </row>
    <row r="636" spans="1:13" x14ac:dyDescent="0.45">
      <c r="A636" t="s">
        <v>2911</v>
      </c>
      <c r="B636">
        <v>1</v>
      </c>
      <c r="C636" t="s">
        <v>1761</v>
      </c>
      <c r="D636" t="s">
        <v>2912</v>
      </c>
      <c r="E636" t="s">
        <v>2913</v>
      </c>
      <c r="F636" s="3">
        <v>89.850211246163894</v>
      </c>
      <c r="G636" s="3">
        <v>89.553735098819359</v>
      </c>
      <c r="H636" t="s">
        <v>73</v>
      </c>
      <c r="I636" t="s">
        <v>2911</v>
      </c>
      <c r="J636" s="3">
        <v>2.5279161957766569</v>
      </c>
      <c r="K636" s="3">
        <v>0.32996711218882291</v>
      </c>
    </row>
    <row r="637" spans="1:13" x14ac:dyDescent="0.45">
      <c r="A637" t="s">
        <v>2914</v>
      </c>
      <c r="B637">
        <v>1</v>
      </c>
      <c r="C637" t="s">
        <v>1761</v>
      </c>
      <c r="D637" t="s">
        <v>2915</v>
      </c>
      <c r="E637" t="s">
        <v>2916</v>
      </c>
      <c r="F637" s="3">
        <v>411.81352257098081</v>
      </c>
      <c r="G637" s="3">
        <v>446.97448471435661</v>
      </c>
      <c r="H637" t="s">
        <v>73</v>
      </c>
      <c r="I637" t="s">
        <v>2914</v>
      </c>
      <c r="J637" s="3">
        <v>0.46516174761166568</v>
      </c>
      <c r="K637" s="3">
        <v>8.538078575920343</v>
      </c>
    </row>
    <row r="638" spans="1:13" x14ac:dyDescent="0.45">
      <c r="A638" t="s">
        <v>2917</v>
      </c>
      <c r="B638">
        <v>1</v>
      </c>
      <c r="C638" t="s">
        <v>1761</v>
      </c>
      <c r="D638" t="s">
        <v>2918</v>
      </c>
      <c r="E638" t="s">
        <v>2919</v>
      </c>
      <c r="F638" s="3">
        <v>391.07486929386158</v>
      </c>
      <c r="G638" s="3">
        <v>403.78485717710538</v>
      </c>
      <c r="H638" t="s">
        <v>73</v>
      </c>
      <c r="I638" t="s">
        <v>2917</v>
      </c>
      <c r="J638" s="3">
        <v>0.95928042947277614</v>
      </c>
      <c r="K638" s="3">
        <v>3.2500139694972918</v>
      </c>
    </row>
    <row r="639" spans="1:13" x14ac:dyDescent="0.45">
      <c r="A639" t="s">
        <v>2920</v>
      </c>
      <c r="B639">
        <v>1</v>
      </c>
      <c r="C639" t="s">
        <v>1761</v>
      </c>
      <c r="D639" t="s">
        <v>2921</v>
      </c>
      <c r="E639" t="s">
        <v>2922</v>
      </c>
      <c r="F639" s="3">
        <v>428.58904970246368</v>
      </c>
      <c r="G639" s="3">
        <v>399.09146690176152</v>
      </c>
      <c r="H639" t="s">
        <v>73</v>
      </c>
      <c r="I639" t="s">
        <v>2920</v>
      </c>
      <c r="J639" s="3">
        <v>0.84337545609676978</v>
      </c>
      <c r="K639" s="3">
        <v>6.8824863400453644</v>
      </c>
    </row>
    <row r="640" spans="1:13" x14ac:dyDescent="0.45">
      <c r="A640" t="s">
        <v>556</v>
      </c>
      <c r="B640">
        <v>1</v>
      </c>
      <c r="C640" t="s">
        <v>1751</v>
      </c>
      <c r="D640" t="s">
        <v>555</v>
      </c>
      <c r="E640" t="s">
        <v>553</v>
      </c>
      <c r="F640" s="3">
        <v>19.145053215595119</v>
      </c>
      <c r="G640" s="3">
        <v>19.27776624568806</v>
      </c>
      <c r="H640" t="s">
        <v>73</v>
      </c>
      <c r="I640" t="s">
        <v>556</v>
      </c>
      <c r="J640" s="3">
        <v>22.54369841508268</v>
      </c>
      <c r="K640" s="3">
        <v>0.69319749910560091</v>
      </c>
    </row>
    <row r="641" spans="1:13" x14ac:dyDescent="0.45">
      <c r="A641" t="s">
        <v>2923</v>
      </c>
      <c r="B641">
        <v>1</v>
      </c>
      <c r="C641" t="s">
        <v>1761</v>
      </c>
      <c r="D641" t="s">
        <v>2924</v>
      </c>
      <c r="E641" t="s">
        <v>2925</v>
      </c>
      <c r="F641" s="3">
        <v>357.23581894937178</v>
      </c>
      <c r="G641" s="3">
        <v>341.08455512483869</v>
      </c>
      <c r="H641" t="s">
        <v>73</v>
      </c>
      <c r="I641" t="s">
        <v>2923</v>
      </c>
      <c r="J641" s="3">
        <v>0.68929875947918939</v>
      </c>
      <c r="K641" s="3">
        <v>4.5211770398707181</v>
      </c>
    </row>
    <row r="642" spans="1:13" x14ac:dyDescent="0.45">
      <c r="A642" t="s">
        <v>2926</v>
      </c>
      <c r="B642">
        <v>1</v>
      </c>
      <c r="C642" t="s">
        <v>1761</v>
      </c>
      <c r="D642" t="s">
        <v>2927</v>
      </c>
      <c r="E642" t="s">
        <v>2928</v>
      </c>
      <c r="F642" s="3">
        <v>160.27324401000769</v>
      </c>
      <c r="G642" s="3">
        <v>155.72597179188091</v>
      </c>
      <c r="H642" t="s">
        <v>73</v>
      </c>
      <c r="I642" t="s">
        <v>2926</v>
      </c>
      <c r="J642" s="3">
        <v>5.2956962835053769</v>
      </c>
      <c r="K642" s="3">
        <v>2.837199837199833</v>
      </c>
    </row>
    <row r="643" spans="1:13" x14ac:dyDescent="0.45">
      <c r="A643" t="s">
        <v>2929</v>
      </c>
      <c r="B643">
        <v>1</v>
      </c>
      <c r="C643" t="s">
        <v>1761</v>
      </c>
      <c r="D643" t="s">
        <v>2930</v>
      </c>
      <c r="E643" t="s">
        <v>2931</v>
      </c>
      <c r="F643" s="3">
        <v>360.79255424837288</v>
      </c>
      <c r="G643" s="3">
        <v>392.66292469696452</v>
      </c>
      <c r="H643" t="s">
        <v>73</v>
      </c>
      <c r="I643" t="s">
        <v>2929</v>
      </c>
      <c r="J643" s="3">
        <v>0.89308506595474368</v>
      </c>
      <c r="K643" s="3">
        <v>8.8334335266386148</v>
      </c>
    </row>
    <row r="644" spans="1:13" x14ac:dyDescent="0.45">
      <c r="A644" t="s">
        <v>2932</v>
      </c>
      <c r="B644">
        <v>2</v>
      </c>
      <c r="C644" t="s">
        <v>1761</v>
      </c>
      <c r="D644" t="s">
        <v>2933</v>
      </c>
      <c r="E644" t="s">
        <v>2934</v>
      </c>
      <c r="F644" s="3">
        <v>76.61641622030703</v>
      </c>
      <c r="G644" s="3">
        <v>73.464440986052423</v>
      </c>
      <c r="H644" t="s">
        <v>73</v>
      </c>
      <c r="I644" t="s">
        <v>2932</v>
      </c>
      <c r="J644" s="3">
        <v>5.2994524152881066</v>
      </c>
      <c r="K644" s="3">
        <v>4.1139685066856249</v>
      </c>
    </row>
    <row r="645" spans="1:13" x14ac:dyDescent="0.45">
      <c r="A645" t="s">
        <v>2935</v>
      </c>
      <c r="B645">
        <v>3</v>
      </c>
      <c r="C645" t="s">
        <v>1761</v>
      </c>
      <c r="D645" t="s">
        <v>2936</v>
      </c>
      <c r="E645" t="s">
        <v>2937</v>
      </c>
      <c r="F645" s="3">
        <v>87.277489738734218</v>
      </c>
      <c r="G645" s="3">
        <v>87.658440387907376</v>
      </c>
      <c r="H645" t="s">
        <v>73</v>
      </c>
      <c r="I645" t="s">
        <v>2935</v>
      </c>
      <c r="J645" s="3">
        <v>6.0141763228009166</v>
      </c>
      <c r="K645" s="3">
        <v>0.43648213338117198</v>
      </c>
    </row>
    <row r="646" spans="1:13" x14ac:dyDescent="0.45">
      <c r="A646" t="s">
        <v>2938</v>
      </c>
      <c r="B646">
        <v>1</v>
      </c>
      <c r="C646" t="s">
        <v>1761</v>
      </c>
      <c r="D646" t="s">
        <v>2939</v>
      </c>
      <c r="E646" t="s">
        <v>2940</v>
      </c>
      <c r="F646" s="3">
        <v>189.40553166766719</v>
      </c>
      <c r="G646" s="3">
        <v>196.36114257885441</v>
      </c>
      <c r="H646" t="s">
        <v>73</v>
      </c>
      <c r="I646" t="s">
        <v>2938</v>
      </c>
      <c r="J646" s="3">
        <v>6.5998905119449054</v>
      </c>
      <c r="K646" s="3">
        <v>3.6723377875740399</v>
      </c>
    </row>
    <row r="647" spans="1:13" x14ac:dyDescent="0.45">
      <c r="A647" t="s">
        <v>2941</v>
      </c>
      <c r="B647">
        <v>2</v>
      </c>
      <c r="C647" t="s">
        <v>1761</v>
      </c>
      <c r="D647" t="s">
        <v>2942</v>
      </c>
      <c r="E647" t="s">
        <v>2943</v>
      </c>
      <c r="F647" s="3">
        <v>179.70042249232779</v>
      </c>
      <c r="G647" s="3">
        <v>176.7620796854776</v>
      </c>
      <c r="H647" t="s">
        <v>73</v>
      </c>
      <c r="I647" t="s">
        <v>2941</v>
      </c>
      <c r="J647" s="3">
        <v>0.56880400962743971</v>
      </c>
      <c r="K647" s="3">
        <v>1.6351340559455789</v>
      </c>
    </row>
    <row r="648" spans="1:13" x14ac:dyDescent="0.45">
      <c r="A648" t="s">
        <v>2944</v>
      </c>
      <c r="B648">
        <v>1</v>
      </c>
      <c r="C648" t="s">
        <v>1761</v>
      </c>
      <c r="D648" t="s">
        <v>2945</v>
      </c>
      <c r="E648" t="s">
        <v>2946</v>
      </c>
      <c r="F648" s="3">
        <v>174.41505839142789</v>
      </c>
      <c r="G648" s="3">
        <v>186.77377585587081</v>
      </c>
      <c r="H648" t="s">
        <v>73</v>
      </c>
      <c r="I648" t="s">
        <v>2944</v>
      </c>
      <c r="J648" s="3">
        <v>2.4255685787516619</v>
      </c>
      <c r="K648" s="3">
        <v>7.085808747491849</v>
      </c>
    </row>
    <row r="649" spans="1:13" x14ac:dyDescent="0.45">
      <c r="A649" t="s">
        <v>2947</v>
      </c>
      <c r="B649">
        <v>3</v>
      </c>
      <c r="C649" t="s">
        <v>1761</v>
      </c>
      <c r="D649" t="s">
        <v>2948</v>
      </c>
      <c r="E649" t="s">
        <v>2949</v>
      </c>
      <c r="F649" s="3">
        <v>197.4312616541431</v>
      </c>
      <c r="G649" s="3">
        <v>198.3007945571359</v>
      </c>
      <c r="H649" t="s">
        <v>73</v>
      </c>
      <c r="I649" t="s">
        <v>2947</v>
      </c>
      <c r="J649" s="3">
        <v>0.43908603536984198</v>
      </c>
      <c r="K649" s="3">
        <v>0.44042311015369212</v>
      </c>
    </row>
    <row r="650" spans="1:13" x14ac:dyDescent="0.45">
      <c r="A650" t="s">
        <v>2950</v>
      </c>
      <c r="B650">
        <v>1</v>
      </c>
      <c r="C650" t="s">
        <v>1761</v>
      </c>
      <c r="D650" t="s">
        <v>2951</v>
      </c>
      <c r="E650" t="s">
        <v>2952</v>
      </c>
      <c r="F650" s="3">
        <v>691.00925271131189</v>
      </c>
      <c r="G650" s="3">
        <v>731.06647439697144</v>
      </c>
      <c r="H650" t="s">
        <v>73</v>
      </c>
      <c r="I650" t="s">
        <v>2950</v>
      </c>
      <c r="J650" s="3">
        <v>0.8156265171113628</v>
      </c>
      <c r="K650" s="3">
        <v>5.7969153855012916</v>
      </c>
    </row>
    <row r="651" spans="1:13" x14ac:dyDescent="0.45">
      <c r="A651" t="s">
        <v>2953</v>
      </c>
      <c r="B651">
        <v>1</v>
      </c>
      <c r="C651" t="s">
        <v>1761</v>
      </c>
      <c r="D651" t="s">
        <v>2954</v>
      </c>
      <c r="E651" t="s">
        <v>2955</v>
      </c>
      <c r="F651" s="3">
        <v>163.98001124275851</v>
      </c>
      <c r="G651" s="3">
        <v>169.57424543335611</v>
      </c>
      <c r="H651" t="s">
        <v>73</v>
      </c>
      <c r="I651" t="s">
        <v>2953</v>
      </c>
      <c r="J651" s="3">
        <v>1.367763163982475</v>
      </c>
      <c r="K651" s="3">
        <v>3.411534215786705</v>
      </c>
    </row>
    <row r="652" spans="1:13" x14ac:dyDescent="0.45">
      <c r="A652" t="s">
        <v>2956</v>
      </c>
      <c r="B652">
        <v>1</v>
      </c>
      <c r="C652" t="s">
        <v>1761</v>
      </c>
      <c r="D652" t="s">
        <v>2957</v>
      </c>
      <c r="E652" t="s">
        <v>2958</v>
      </c>
      <c r="F652" s="3">
        <v>105.21185048024481</v>
      </c>
      <c r="G652" s="3">
        <v>102.3967947841716</v>
      </c>
      <c r="H652" t="s">
        <v>73</v>
      </c>
      <c r="I652" t="s">
        <v>2956</v>
      </c>
      <c r="J652" s="3">
        <v>3.3099200023868538</v>
      </c>
      <c r="K652" s="3">
        <v>2.6756070568322361</v>
      </c>
    </row>
    <row r="653" spans="1:13" x14ac:dyDescent="0.45">
      <c r="A653" t="s">
        <v>2959</v>
      </c>
      <c r="B653">
        <v>1</v>
      </c>
      <c r="C653" t="s">
        <v>1761</v>
      </c>
      <c r="D653" t="s">
        <v>2960</v>
      </c>
      <c r="E653" t="s">
        <v>2961</v>
      </c>
      <c r="F653" s="3">
        <v>122.8924615598917</v>
      </c>
      <c r="G653" s="3">
        <v>125.78318553559519</v>
      </c>
      <c r="H653" t="s">
        <v>73</v>
      </c>
      <c r="I653" t="s">
        <v>2959</v>
      </c>
      <c r="J653" s="3">
        <v>1.042716254413504</v>
      </c>
      <c r="K653" s="3">
        <v>2.3522386475224888</v>
      </c>
    </row>
    <row r="654" spans="1:13" x14ac:dyDescent="0.45">
      <c r="A654" t="s">
        <v>2962</v>
      </c>
      <c r="B654">
        <v>1</v>
      </c>
      <c r="C654" t="s">
        <v>1761</v>
      </c>
      <c r="D654" t="s">
        <v>2963</v>
      </c>
      <c r="E654" t="s">
        <v>2964</v>
      </c>
      <c r="F654" s="3">
        <v>143.61806858190221</v>
      </c>
      <c r="G654" s="3">
        <v>149.70349427734121</v>
      </c>
      <c r="H654" t="s">
        <v>73</v>
      </c>
      <c r="I654" t="s">
        <v>2962</v>
      </c>
      <c r="J654" s="3">
        <v>1.602986873513901</v>
      </c>
      <c r="K654" s="3">
        <v>4.2372284737756489</v>
      </c>
    </row>
    <row r="655" spans="1:13" x14ac:dyDescent="0.45">
      <c r="A655" t="s">
        <v>2965</v>
      </c>
      <c r="B655">
        <v>2</v>
      </c>
      <c r="C655" t="s">
        <v>1761</v>
      </c>
      <c r="D655" t="s">
        <v>2966</v>
      </c>
      <c r="E655" t="s">
        <v>2967</v>
      </c>
      <c r="F655" s="3">
        <v>157.4112217955433</v>
      </c>
      <c r="G655" s="3">
        <v>149.884511066974</v>
      </c>
      <c r="H655" t="s">
        <v>73</v>
      </c>
      <c r="I655" t="s">
        <v>2965</v>
      </c>
      <c r="J655" s="3">
        <v>3.0992683376047818</v>
      </c>
      <c r="K655" s="3">
        <v>4.7815591815591896</v>
      </c>
    </row>
    <row r="656" spans="1:13" x14ac:dyDescent="0.45">
      <c r="A656" t="s">
        <v>2968</v>
      </c>
      <c r="B656">
        <v>1</v>
      </c>
      <c r="C656" t="s">
        <v>1761</v>
      </c>
      <c r="D656" t="s">
        <v>2969</v>
      </c>
      <c r="E656" t="s">
        <v>2970</v>
      </c>
      <c r="F656" s="3">
        <v>441.34828719874281</v>
      </c>
      <c r="G656" s="3">
        <v>530.6075030884839</v>
      </c>
      <c r="H656" t="s">
        <v>73</v>
      </c>
      <c r="I656" t="s">
        <v>2968</v>
      </c>
      <c r="J656" s="3">
        <v>0.49679550896419988</v>
      </c>
      <c r="K656" s="3">
        <v>20.224212595515741</v>
      </c>
      <c r="M656" t="s">
        <v>1752</v>
      </c>
    </row>
    <row r="657" spans="1:11" x14ac:dyDescent="0.45">
      <c r="A657" t="s">
        <v>2971</v>
      </c>
      <c r="B657">
        <v>1</v>
      </c>
      <c r="C657" t="s">
        <v>1761</v>
      </c>
      <c r="D657" t="s">
        <v>2972</v>
      </c>
      <c r="E657" t="s">
        <v>2973</v>
      </c>
      <c r="F657" s="3">
        <v>185.94990484575831</v>
      </c>
      <c r="G657" s="3">
        <v>165.26539352734011</v>
      </c>
      <c r="H657" t="s">
        <v>73</v>
      </c>
      <c r="I657" t="s">
        <v>2971</v>
      </c>
      <c r="J657" s="3">
        <v>1.6693069676982479</v>
      </c>
      <c r="K657" s="3">
        <v>11.123700942775709</v>
      </c>
    </row>
    <row r="658" spans="1:11" x14ac:dyDescent="0.45">
      <c r="A658" t="s">
        <v>2974</v>
      </c>
      <c r="B658">
        <v>1</v>
      </c>
      <c r="C658" t="s">
        <v>1761</v>
      </c>
      <c r="D658" t="s">
        <v>2975</v>
      </c>
      <c r="E658" t="s">
        <v>2976</v>
      </c>
      <c r="F658" s="3">
        <v>202.0796423493621</v>
      </c>
      <c r="G658" s="3">
        <v>209.8486872665749</v>
      </c>
      <c r="H658" t="s">
        <v>73</v>
      </c>
      <c r="I658" t="s">
        <v>2974</v>
      </c>
      <c r="J658" s="3">
        <v>0.61270169028128518</v>
      </c>
      <c r="K658" s="3">
        <v>3.844546054659693</v>
      </c>
    </row>
    <row r="659" spans="1:11" x14ac:dyDescent="0.45">
      <c r="A659" t="s">
        <v>2977</v>
      </c>
      <c r="B659">
        <v>2</v>
      </c>
      <c r="C659" t="s">
        <v>1761</v>
      </c>
      <c r="D659" t="s">
        <v>2978</v>
      </c>
      <c r="E659" t="s">
        <v>2979</v>
      </c>
      <c r="F659" s="3">
        <v>57.819045703357958</v>
      </c>
      <c r="G659" s="3">
        <v>58.399930212071467</v>
      </c>
      <c r="H659" t="s">
        <v>73</v>
      </c>
      <c r="I659" t="s">
        <v>2977</v>
      </c>
      <c r="J659" s="3">
        <v>20.516676742330649</v>
      </c>
      <c r="K659" s="3">
        <v>1.0046594537270019</v>
      </c>
    </row>
    <row r="660" spans="1:11" x14ac:dyDescent="0.45">
      <c r="A660" t="s">
        <v>2980</v>
      </c>
      <c r="B660">
        <v>1</v>
      </c>
      <c r="C660" t="s">
        <v>1761</v>
      </c>
      <c r="D660" t="s">
        <v>2981</v>
      </c>
      <c r="E660" t="s">
        <v>2982</v>
      </c>
      <c r="F660" s="3">
        <v>63.442307811572327</v>
      </c>
      <c r="G660" s="3">
        <v>64.460894179181722</v>
      </c>
      <c r="H660" t="s">
        <v>73</v>
      </c>
      <c r="I660" t="s">
        <v>2980</v>
      </c>
      <c r="J660" s="3">
        <v>3.8782927070205422</v>
      </c>
      <c r="K660" s="3">
        <v>1.605531707066296</v>
      </c>
    </row>
    <row r="661" spans="1:11" x14ac:dyDescent="0.45">
      <c r="A661" t="s">
        <v>2983</v>
      </c>
      <c r="B661">
        <v>1</v>
      </c>
      <c r="C661" t="s">
        <v>1761</v>
      </c>
      <c r="D661" t="s">
        <v>2984</v>
      </c>
      <c r="E661" t="s">
        <v>2985</v>
      </c>
      <c r="F661" s="3">
        <v>41.944036330750897</v>
      </c>
      <c r="G661" s="3">
        <v>41.467848019284467</v>
      </c>
      <c r="H661" t="s">
        <v>73</v>
      </c>
      <c r="I661" t="s">
        <v>2983</v>
      </c>
      <c r="J661" s="3">
        <v>2.294060714324559</v>
      </c>
      <c r="K661" s="3">
        <v>1.135294437834846</v>
      </c>
    </row>
    <row r="662" spans="1:11" x14ac:dyDescent="0.45">
      <c r="A662" t="s">
        <v>2986</v>
      </c>
      <c r="B662">
        <v>1</v>
      </c>
      <c r="C662" t="s">
        <v>1761</v>
      </c>
      <c r="D662" t="s">
        <v>2987</v>
      </c>
      <c r="E662" t="s">
        <v>2988</v>
      </c>
      <c r="F662" s="3">
        <v>200.95896903552739</v>
      </c>
      <c r="G662" s="3">
        <v>204.54766765954469</v>
      </c>
      <c r="H662" t="s">
        <v>73</v>
      </c>
      <c r="I662" t="s">
        <v>2986</v>
      </c>
      <c r="J662" s="3">
        <v>2.0501982414519002</v>
      </c>
      <c r="K662" s="3">
        <v>1.785786741064975</v>
      </c>
    </row>
    <row r="663" spans="1:11" x14ac:dyDescent="0.45">
      <c r="A663" t="s">
        <v>2989</v>
      </c>
      <c r="B663">
        <v>3</v>
      </c>
      <c r="C663" t="s">
        <v>1761</v>
      </c>
      <c r="D663" t="s">
        <v>2990</v>
      </c>
      <c r="E663" t="s">
        <v>2991</v>
      </c>
      <c r="F663" s="3">
        <v>51.72155222194344</v>
      </c>
      <c r="G663" s="3">
        <v>52.207525224741403</v>
      </c>
      <c r="H663" t="s">
        <v>73</v>
      </c>
      <c r="I663" t="s">
        <v>2989</v>
      </c>
      <c r="J663" s="3">
        <v>14.013587673816231</v>
      </c>
      <c r="K663" s="3">
        <v>0.93959477610529074</v>
      </c>
    </row>
    <row r="664" spans="1:11" x14ac:dyDescent="0.45">
      <c r="A664" t="s">
        <v>2992</v>
      </c>
      <c r="B664">
        <v>1</v>
      </c>
      <c r="C664" t="s">
        <v>1761</v>
      </c>
      <c r="D664" t="s">
        <v>2993</v>
      </c>
      <c r="E664" t="s">
        <v>2994</v>
      </c>
      <c r="F664" s="3">
        <v>186.80215146073209</v>
      </c>
      <c r="G664" s="3">
        <v>177.6697728846633</v>
      </c>
      <c r="H664" t="s">
        <v>73</v>
      </c>
      <c r="I664" t="s">
        <v>2992</v>
      </c>
      <c r="J664" s="3">
        <v>3.2354582388745459</v>
      </c>
      <c r="K664" s="3">
        <v>4.8887973209390756</v>
      </c>
    </row>
    <row r="665" spans="1:11" x14ac:dyDescent="0.45">
      <c r="A665" t="s">
        <v>2995</v>
      </c>
      <c r="B665">
        <v>1</v>
      </c>
      <c r="C665" t="s">
        <v>1761</v>
      </c>
      <c r="D665" t="s">
        <v>2996</v>
      </c>
      <c r="E665" t="s">
        <v>2997</v>
      </c>
      <c r="F665" s="3">
        <v>597.35605810097093</v>
      </c>
      <c r="G665" s="3">
        <v>483.32135144711049</v>
      </c>
      <c r="H665" t="s">
        <v>73</v>
      </c>
      <c r="I665" t="s">
        <v>2995</v>
      </c>
      <c r="J665" s="3">
        <v>0.71001941441861816</v>
      </c>
      <c r="K665" s="3">
        <v>19.0899054437287</v>
      </c>
    </row>
    <row r="666" spans="1:11" x14ac:dyDescent="0.45">
      <c r="A666" t="s">
        <v>2998</v>
      </c>
      <c r="B666">
        <v>1</v>
      </c>
      <c r="C666" t="s">
        <v>1761</v>
      </c>
      <c r="D666" t="s">
        <v>2999</v>
      </c>
      <c r="E666" t="s">
        <v>3000</v>
      </c>
      <c r="F666" s="3">
        <v>226.3404583494443</v>
      </c>
      <c r="G666" s="3">
        <v>214.1764562424984</v>
      </c>
      <c r="H666" t="s">
        <v>73</v>
      </c>
      <c r="I666" t="s">
        <v>2998</v>
      </c>
      <c r="J666" s="3">
        <v>2.584196544404886</v>
      </c>
      <c r="K666" s="3">
        <v>5.3742058294174209</v>
      </c>
    </row>
    <row r="667" spans="1:11" x14ac:dyDescent="0.45">
      <c r="A667" t="s">
        <v>3001</v>
      </c>
      <c r="B667">
        <v>6</v>
      </c>
      <c r="C667" t="s">
        <v>1761</v>
      </c>
      <c r="D667" t="s">
        <v>3002</v>
      </c>
      <c r="E667" t="s">
        <v>3003</v>
      </c>
      <c r="F667" s="3">
        <v>188.0947091856236</v>
      </c>
      <c r="G667" s="3">
        <v>174.84884637379119</v>
      </c>
      <c r="H667" t="s">
        <v>73</v>
      </c>
      <c r="I667" t="s">
        <v>3001</v>
      </c>
      <c r="J667" s="3">
        <v>3.2652828886304111</v>
      </c>
      <c r="K667" s="3">
        <v>7.0421240816298214</v>
      </c>
    </row>
    <row r="668" spans="1:11" x14ac:dyDescent="0.45">
      <c r="A668" t="s">
        <v>3004</v>
      </c>
      <c r="B668">
        <v>1</v>
      </c>
      <c r="C668" t="s">
        <v>1761</v>
      </c>
      <c r="D668" t="s">
        <v>3005</v>
      </c>
      <c r="E668" t="s">
        <v>3006</v>
      </c>
      <c r="F668" s="3">
        <v>63.001018232521567</v>
      </c>
      <c r="G668" s="3">
        <v>64.043740172081996</v>
      </c>
      <c r="H668" t="s">
        <v>73</v>
      </c>
      <c r="I668" t="s">
        <v>3004</v>
      </c>
      <c r="J668" s="3">
        <v>4.1407406505799171</v>
      </c>
      <c r="K668" s="3">
        <v>1.65508743955851</v>
      </c>
    </row>
    <row r="669" spans="1:11" x14ac:dyDescent="0.45">
      <c r="A669" t="s">
        <v>1283</v>
      </c>
      <c r="B669">
        <v>2</v>
      </c>
      <c r="C669" t="s">
        <v>1751</v>
      </c>
      <c r="D669" t="s">
        <v>1282</v>
      </c>
      <c r="E669" t="s">
        <v>1280</v>
      </c>
      <c r="F669" s="3">
        <v>29.064120974716712</v>
      </c>
      <c r="G669" s="3">
        <v>28.691552544450879</v>
      </c>
      <c r="H669" t="s">
        <v>73</v>
      </c>
      <c r="I669" t="s">
        <v>1283</v>
      </c>
      <c r="J669" s="3">
        <v>20.653493889613731</v>
      </c>
      <c r="K669" s="3">
        <v>1.281884391377037</v>
      </c>
    </row>
    <row r="670" spans="1:11" x14ac:dyDescent="0.45">
      <c r="A670" t="s">
        <v>3007</v>
      </c>
      <c r="B670">
        <v>1</v>
      </c>
      <c r="C670" t="s">
        <v>1761</v>
      </c>
      <c r="D670" t="s">
        <v>3008</v>
      </c>
      <c r="E670" t="s">
        <v>3009</v>
      </c>
      <c r="F670" s="3">
        <v>214.01337805364</v>
      </c>
      <c r="G670" s="3">
        <v>234.3847792494501</v>
      </c>
      <c r="H670" t="s">
        <v>73</v>
      </c>
      <c r="I670" t="s">
        <v>3007</v>
      </c>
      <c r="J670" s="3">
        <v>1.046895216691996</v>
      </c>
      <c r="K670" s="3">
        <v>9.5187512953999676</v>
      </c>
    </row>
    <row r="671" spans="1:11" x14ac:dyDescent="0.45">
      <c r="A671" t="s">
        <v>3010</v>
      </c>
      <c r="B671">
        <v>1</v>
      </c>
      <c r="C671" t="s">
        <v>1761</v>
      </c>
      <c r="D671" t="s">
        <v>3011</v>
      </c>
      <c r="E671" t="s">
        <v>3012</v>
      </c>
      <c r="F671" s="3">
        <v>238.0703463176493</v>
      </c>
      <c r="G671" s="3">
        <v>261.69124350465131</v>
      </c>
      <c r="H671" t="s">
        <v>73</v>
      </c>
      <c r="I671" t="s">
        <v>3010</v>
      </c>
      <c r="J671" s="3">
        <v>2.6847123200956622</v>
      </c>
      <c r="K671" s="3">
        <v>9.9218140992181372</v>
      </c>
    </row>
    <row r="672" spans="1:11" x14ac:dyDescent="0.45">
      <c r="A672" t="s">
        <v>3013</v>
      </c>
      <c r="B672">
        <v>1</v>
      </c>
      <c r="C672" t="s">
        <v>1761</v>
      </c>
      <c r="D672" t="s">
        <v>3014</v>
      </c>
      <c r="E672" t="s">
        <v>3015</v>
      </c>
      <c r="F672" s="3">
        <v>125.6380459475113</v>
      </c>
      <c r="G672" s="3">
        <v>122.8569105147206</v>
      </c>
      <c r="H672" t="s">
        <v>73</v>
      </c>
      <c r="I672" t="s">
        <v>3013</v>
      </c>
      <c r="J672" s="3">
        <v>5.6688954061130907</v>
      </c>
      <c r="K672" s="3">
        <v>2.2136092708354931</v>
      </c>
    </row>
    <row r="673" spans="1:13" x14ac:dyDescent="0.45">
      <c r="A673" t="s">
        <v>3016</v>
      </c>
      <c r="B673">
        <v>1</v>
      </c>
      <c r="C673" t="s">
        <v>1761</v>
      </c>
      <c r="D673" t="s">
        <v>3017</v>
      </c>
      <c r="E673" t="s">
        <v>3018</v>
      </c>
      <c r="F673" s="3">
        <v>162.99664976394249</v>
      </c>
      <c r="G673" s="3">
        <v>165.2771351569379</v>
      </c>
      <c r="H673" t="s">
        <v>73</v>
      </c>
      <c r="I673" t="s">
        <v>3016</v>
      </c>
      <c r="J673" s="3">
        <v>3.9560461610256961</v>
      </c>
      <c r="K673" s="3">
        <v>1.399099549774883</v>
      </c>
    </row>
    <row r="674" spans="1:13" x14ac:dyDescent="0.45">
      <c r="A674" t="s">
        <v>3019</v>
      </c>
      <c r="B674">
        <v>2</v>
      </c>
      <c r="C674" t="s">
        <v>1761</v>
      </c>
      <c r="D674" t="s">
        <v>3020</v>
      </c>
      <c r="E674" t="s">
        <v>3021</v>
      </c>
      <c r="F674" s="3">
        <v>144.38094834938161</v>
      </c>
      <c r="G674" s="3">
        <v>130.24924481567061</v>
      </c>
      <c r="H674" t="s">
        <v>73</v>
      </c>
      <c r="I674" t="s">
        <v>3019</v>
      </c>
      <c r="J674" s="3">
        <v>4.2716837719027012</v>
      </c>
      <c r="K674" s="3">
        <v>9.7877896601110486</v>
      </c>
    </row>
    <row r="675" spans="1:13" x14ac:dyDescent="0.45">
      <c r="A675" t="s">
        <v>3022</v>
      </c>
      <c r="B675">
        <v>1</v>
      </c>
      <c r="C675" t="s">
        <v>1761</v>
      </c>
      <c r="D675" t="s">
        <v>3023</v>
      </c>
      <c r="E675" t="s">
        <v>3024</v>
      </c>
      <c r="F675" s="3">
        <v>942.64835665473311</v>
      </c>
      <c r="G675" s="3">
        <v>864.81994333483067</v>
      </c>
      <c r="H675" t="s">
        <v>73</v>
      </c>
      <c r="I675" t="s">
        <v>3022</v>
      </c>
      <c r="J675" s="3">
        <v>0.49304411372503448</v>
      </c>
      <c r="K675" s="3">
        <v>8.256356972402692</v>
      </c>
    </row>
    <row r="676" spans="1:13" x14ac:dyDescent="0.45">
      <c r="A676" t="s">
        <v>3025</v>
      </c>
      <c r="B676">
        <v>1</v>
      </c>
      <c r="C676" t="s">
        <v>1774</v>
      </c>
      <c r="G676" s="3">
        <v>111.44502501478949</v>
      </c>
      <c r="H676" t="s">
        <v>1755</v>
      </c>
      <c r="I676" t="s">
        <v>3025</v>
      </c>
      <c r="M676" t="s">
        <v>1757</v>
      </c>
    </row>
    <row r="677" spans="1:13" x14ac:dyDescent="0.45">
      <c r="A677" t="s">
        <v>3026</v>
      </c>
      <c r="B677">
        <v>1</v>
      </c>
      <c r="C677" t="s">
        <v>1761</v>
      </c>
      <c r="D677" t="s">
        <v>3027</v>
      </c>
      <c r="E677" t="s">
        <v>3028</v>
      </c>
      <c r="F677" s="3">
        <v>105.449944635978</v>
      </c>
      <c r="G677" s="3">
        <v>108.26565264480671</v>
      </c>
      <c r="H677" t="s">
        <v>73</v>
      </c>
      <c r="I677" t="s">
        <v>3026</v>
      </c>
      <c r="J677" s="3">
        <v>3.6199013980048722</v>
      </c>
      <c r="K677" s="3">
        <v>2.670184435419773</v>
      </c>
    </row>
    <row r="678" spans="1:13" x14ac:dyDescent="0.45">
      <c r="A678" t="s">
        <v>3029</v>
      </c>
      <c r="B678">
        <v>1</v>
      </c>
      <c r="C678" t="s">
        <v>1761</v>
      </c>
      <c r="D678" t="s">
        <v>3030</v>
      </c>
      <c r="E678" t="s">
        <v>3031</v>
      </c>
      <c r="F678" s="3">
        <v>77.748831163739567</v>
      </c>
      <c r="G678" s="3">
        <v>79.274264542320765</v>
      </c>
      <c r="H678" t="s">
        <v>73</v>
      </c>
      <c r="I678" t="s">
        <v>3029</v>
      </c>
      <c r="J678" s="3">
        <v>6.1263267847816891</v>
      </c>
      <c r="K678" s="3">
        <v>1.9620016863901479</v>
      </c>
    </row>
    <row r="679" spans="1:13" x14ac:dyDescent="0.45">
      <c r="A679" t="s">
        <v>3032</v>
      </c>
      <c r="B679">
        <v>1</v>
      </c>
      <c r="C679" t="s">
        <v>1761</v>
      </c>
      <c r="D679" t="s">
        <v>3033</v>
      </c>
      <c r="E679" t="s">
        <v>3034</v>
      </c>
      <c r="F679" s="3">
        <v>73.641217742774884</v>
      </c>
      <c r="G679" s="3">
        <v>73.464114829674699</v>
      </c>
      <c r="H679" t="s">
        <v>73</v>
      </c>
      <c r="I679" t="s">
        <v>3032</v>
      </c>
      <c r="J679" s="3">
        <v>3.184491234025669</v>
      </c>
      <c r="K679" s="3">
        <v>0.24049427552759389</v>
      </c>
    </row>
    <row r="680" spans="1:13" x14ac:dyDescent="0.45">
      <c r="A680" t="s">
        <v>3035</v>
      </c>
      <c r="B680">
        <v>2</v>
      </c>
      <c r="C680" t="s">
        <v>1761</v>
      </c>
      <c r="D680" t="s">
        <v>3036</v>
      </c>
      <c r="E680" t="s">
        <v>3037</v>
      </c>
      <c r="F680" s="3">
        <v>142.8630165674879</v>
      </c>
      <c r="G680" s="3">
        <v>136.4364313009572</v>
      </c>
      <c r="H680" t="s">
        <v>73</v>
      </c>
      <c r="I680" t="s">
        <v>3035</v>
      </c>
      <c r="J680" s="3">
        <v>1.5494007644118031</v>
      </c>
      <c r="K680" s="3">
        <v>4.4984247294644044</v>
      </c>
    </row>
    <row r="681" spans="1:13" x14ac:dyDescent="0.45">
      <c r="A681" t="s">
        <v>3038</v>
      </c>
      <c r="B681">
        <v>2</v>
      </c>
      <c r="C681" t="s">
        <v>1761</v>
      </c>
      <c r="D681" t="s">
        <v>3039</v>
      </c>
      <c r="E681" t="s">
        <v>3040</v>
      </c>
      <c r="F681" s="3">
        <v>235.49208015179849</v>
      </c>
      <c r="G681" s="3">
        <v>236.76409002489379</v>
      </c>
      <c r="H681" t="s">
        <v>73</v>
      </c>
      <c r="I681" t="s">
        <v>3038</v>
      </c>
      <c r="J681" s="3">
        <v>1.677090978005964</v>
      </c>
      <c r="K681" s="3">
        <v>0.54014974612962008</v>
      </c>
    </row>
    <row r="682" spans="1:13" x14ac:dyDescent="0.45">
      <c r="A682" t="s">
        <v>3041</v>
      </c>
      <c r="B682">
        <v>2</v>
      </c>
      <c r="C682" t="s">
        <v>1761</v>
      </c>
      <c r="D682" t="s">
        <v>3042</v>
      </c>
      <c r="E682" t="s">
        <v>3043</v>
      </c>
      <c r="F682" s="3">
        <v>147.84962142639921</v>
      </c>
      <c r="G682" s="3">
        <v>149.92267136316681</v>
      </c>
      <c r="H682" t="s">
        <v>73</v>
      </c>
      <c r="I682" t="s">
        <v>3041</v>
      </c>
      <c r="J682" s="3">
        <v>1.9793422091674211</v>
      </c>
      <c r="K682" s="3">
        <v>1.4021340851384021</v>
      </c>
    </row>
    <row r="683" spans="1:13" x14ac:dyDescent="0.45">
      <c r="A683" t="s">
        <v>3044</v>
      </c>
      <c r="B683">
        <v>2</v>
      </c>
      <c r="C683" t="s">
        <v>1761</v>
      </c>
      <c r="D683" t="s">
        <v>3045</v>
      </c>
      <c r="E683" t="s">
        <v>3046</v>
      </c>
      <c r="F683" s="3">
        <v>433.718511054815</v>
      </c>
      <c r="G683" s="3">
        <v>614.95480392981085</v>
      </c>
      <c r="H683" t="s">
        <v>73</v>
      </c>
      <c r="I683" t="s">
        <v>3044</v>
      </c>
      <c r="J683" s="3">
        <v>0.95664636575737128</v>
      </c>
      <c r="K683" s="3">
        <v>41.786616954444582</v>
      </c>
      <c r="M683" t="s">
        <v>1752</v>
      </c>
    </row>
    <row r="684" spans="1:13" x14ac:dyDescent="0.45">
      <c r="A684" t="s">
        <v>3047</v>
      </c>
      <c r="B684">
        <v>1</v>
      </c>
      <c r="C684" t="s">
        <v>1774</v>
      </c>
      <c r="G684" s="3">
        <v>526.73602688498613</v>
      </c>
      <c r="H684" t="s">
        <v>1755</v>
      </c>
      <c r="I684" t="s">
        <v>3047</v>
      </c>
      <c r="M684" t="s">
        <v>1757</v>
      </c>
    </row>
    <row r="685" spans="1:13" x14ac:dyDescent="0.45">
      <c r="A685" t="s">
        <v>3048</v>
      </c>
      <c r="B685">
        <v>1</v>
      </c>
      <c r="C685" t="s">
        <v>1761</v>
      </c>
      <c r="D685" t="s">
        <v>3049</v>
      </c>
      <c r="E685" t="s">
        <v>3050</v>
      </c>
      <c r="F685" s="3">
        <v>133.3428380583139</v>
      </c>
      <c r="G685" s="3">
        <v>128.0173567229549</v>
      </c>
      <c r="H685" t="s">
        <v>73</v>
      </c>
      <c r="I685" t="s">
        <v>3048</v>
      </c>
      <c r="J685" s="3">
        <v>2.2288930343565738</v>
      </c>
      <c r="K685" s="3">
        <v>3.9938262998647271</v>
      </c>
    </row>
    <row r="686" spans="1:13" x14ac:dyDescent="0.45">
      <c r="A686" t="s">
        <v>3051</v>
      </c>
      <c r="B686">
        <v>1</v>
      </c>
      <c r="C686" t="s">
        <v>1761</v>
      </c>
      <c r="D686" t="s">
        <v>3052</v>
      </c>
      <c r="E686" t="s">
        <v>3053</v>
      </c>
      <c r="F686" s="3">
        <v>219.63403091083271</v>
      </c>
      <c r="G686" s="3">
        <v>207.69507670451131</v>
      </c>
      <c r="H686" t="s">
        <v>73</v>
      </c>
      <c r="I686" t="s">
        <v>3051</v>
      </c>
      <c r="J686" s="3">
        <v>3.6014226212970302</v>
      </c>
      <c r="K686" s="3">
        <v>5.4358398636176748</v>
      </c>
    </row>
    <row r="687" spans="1:13" x14ac:dyDescent="0.45">
      <c r="A687" t="s">
        <v>3054</v>
      </c>
      <c r="B687">
        <v>2</v>
      </c>
      <c r="C687" t="s">
        <v>1761</v>
      </c>
      <c r="D687" t="s">
        <v>3055</v>
      </c>
      <c r="E687" t="s">
        <v>3056</v>
      </c>
      <c r="F687" s="3">
        <v>196.71665303056571</v>
      </c>
      <c r="G687" s="3">
        <v>201.3940616434015</v>
      </c>
      <c r="H687" t="s">
        <v>73</v>
      </c>
      <c r="I687" t="s">
        <v>3054</v>
      </c>
      <c r="J687" s="3">
        <v>0.49410036722527739</v>
      </c>
      <c r="K687" s="3">
        <v>2.3777390174023778</v>
      </c>
    </row>
    <row r="688" spans="1:13" x14ac:dyDescent="0.45">
      <c r="A688" t="s">
        <v>3057</v>
      </c>
      <c r="B688">
        <v>1</v>
      </c>
      <c r="C688" t="s">
        <v>1761</v>
      </c>
      <c r="D688" t="s">
        <v>3058</v>
      </c>
      <c r="E688" t="s">
        <v>3059</v>
      </c>
      <c r="F688" s="3">
        <v>334.51935339777827</v>
      </c>
      <c r="G688" s="3">
        <v>279.49057550578709</v>
      </c>
      <c r="H688" t="s">
        <v>73</v>
      </c>
      <c r="I688" t="s">
        <v>3057</v>
      </c>
      <c r="J688" s="3">
        <v>1.552168805289869</v>
      </c>
      <c r="K688" s="3">
        <v>16.450102911252571</v>
      </c>
    </row>
    <row r="689" spans="1:13" x14ac:dyDescent="0.45">
      <c r="A689" t="s">
        <v>3060</v>
      </c>
      <c r="B689">
        <v>3</v>
      </c>
      <c r="C689" t="s">
        <v>1761</v>
      </c>
      <c r="D689" t="s">
        <v>3061</v>
      </c>
      <c r="E689" t="s">
        <v>3062</v>
      </c>
      <c r="F689" s="3">
        <v>154.5032115318208</v>
      </c>
      <c r="G689" s="3">
        <v>155.8848099478289</v>
      </c>
      <c r="H689" t="s">
        <v>73</v>
      </c>
      <c r="I689" t="s">
        <v>3060</v>
      </c>
      <c r="J689" s="3">
        <v>4.2458182438347967</v>
      </c>
      <c r="K689" s="3">
        <v>0.89421986916018148</v>
      </c>
    </row>
    <row r="690" spans="1:13" x14ac:dyDescent="0.45">
      <c r="A690" t="s">
        <v>3063</v>
      </c>
      <c r="B690">
        <v>1</v>
      </c>
      <c r="C690" t="s">
        <v>1761</v>
      </c>
      <c r="D690" t="s">
        <v>3064</v>
      </c>
      <c r="E690" t="s">
        <v>3065</v>
      </c>
      <c r="F690" s="3">
        <v>87.747154922646331</v>
      </c>
      <c r="G690" s="3">
        <v>93.660696207028593</v>
      </c>
      <c r="H690" t="s">
        <v>73</v>
      </c>
      <c r="I690" t="s">
        <v>3063</v>
      </c>
      <c r="J690" s="3">
        <v>4.8795407000867748</v>
      </c>
      <c r="K690" s="3">
        <v>6.7392968918426606</v>
      </c>
    </row>
    <row r="691" spans="1:13" x14ac:dyDescent="0.45">
      <c r="A691" t="s">
        <v>3066</v>
      </c>
      <c r="B691">
        <v>1</v>
      </c>
      <c r="C691" t="s">
        <v>1761</v>
      </c>
      <c r="D691" t="s">
        <v>3067</v>
      </c>
      <c r="E691" t="s">
        <v>3068</v>
      </c>
      <c r="F691" s="3">
        <v>265.38365985678257</v>
      </c>
      <c r="G691" s="3">
        <v>282.50328196675667</v>
      </c>
      <c r="H691" t="s">
        <v>73</v>
      </c>
      <c r="I691" t="s">
        <v>3066</v>
      </c>
      <c r="J691" s="3">
        <v>0.61824138947890306</v>
      </c>
      <c r="K691" s="3">
        <v>6.4508953261149991</v>
      </c>
    </row>
    <row r="692" spans="1:13" x14ac:dyDescent="0.45">
      <c r="A692" t="s">
        <v>3069</v>
      </c>
      <c r="B692">
        <v>1</v>
      </c>
      <c r="C692" t="s">
        <v>1761</v>
      </c>
      <c r="D692" t="s">
        <v>3070</v>
      </c>
      <c r="E692" t="s">
        <v>3071</v>
      </c>
      <c r="F692" s="3">
        <v>351.46154643827458</v>
      </c>
      <c r="G692" s="3">
        <v>301.72302499284888</v>
      </c>
      <c r="H692" t="s">
        <v>73</v>
      </c>
      <c r="I692" t="s">
        <v>3069</v>
      </c>
      <c r="J692" s="3">
        <v>1.3101366795384231</v>
      </c>
      <c r="K692" s="3">
        <v>14.1519099171667</v>
      </c>
    </row>
    <row r="693" spans="1:13" x14ac:dyDescent="0.45">
      <c r="A693" t="s">
        <v>3072</v>
      </c>
      <c r="B693">
        <v>1</v>
      </c>
      <c r="C693" t="s">
        <v>1761</v>
      </c>
      <c r="D693" t="s">
        <v>3073</v>
      </c>
      <c r="E693" t="s">
        <v>3074</v>
      </c>
      <c r="F693" s="3">
        <v>271.57052018569152</v>
      </c>
      <c r="G693" s="3">
        <v>245.38799080810219</v>
      </c>
      <c r="H693" t="s">
        <v>73</v>
      </c>
      <c r="I693" t="s">
        <v>3072</v>
      </c>
      <c r="J693" s="3">
        <v>1.541954679398797</v>
      </c>
      <c r="K693" s="3">
        <v>9.641153008686846</v>
      </c>
    </row>
    <row r="694" spans="1:13" x14ac:dyDescent="0.45">
      <c r="A694" t="s">
        <v>3075</v>
      </c>
      <c r="B694">
        <v>1</v>
      </c>
      <c r="C694" t="s">
        <v>1761</v>
      </c>
      <c r="D694" t="s">
        <v>3076</v>
      </c>
      <c r="E694" t="s">
        <v>3077</v>
      </c>
      <c r="F694" s="3">
        <v>632.08584151300511</v>
      </c>
      <c r="G694" s="3">
        <v>480.07609548882891</v>
      </c>
      <c r="H694" t="s">
        <v>73</v>
      </c>
      <c r="I694" t="s">
        <v>3075</v>
      </c>
      <c r="J694" s="3">
        <v>6.031789637683229E-2</v>
      </c>
      <c r="K694" s="3">
        <v>24.04890855652058</v>
      </c>
      <c r="M694" t="s">
        <v>1752</v>
      </c>
    </row>
    <row r="695" spans="1:13" x14ac:dyDescent="0.45">
      <c r="A695" t="s">
        <v>3078</v>
      </c>
      <c r="B695">
        <v>2</v>
      </c>
      <c r="C695" t="s">
        <v>1761</v>
      </c>
      <c r="D695" t="s">
        <v>3079</v>
      </c>
      <c r="E695" t="s">
        <v>3080</v>
      </c>
      <c r="F695" s="3">
        <v>125.0600968461972</v>
      </c>
      <c r="G695" s="3">
        <v>132.9357948989234</v>
      </c>
      <c r="H695" t="s">
        <v>73</v>
      </c>
      <c r="I695" t="s">
        <v>3078</v>
      </c>
      <c r="J695" s="3">
        <v>1.500502959128142</v>
      </c>
      <c r="K695" s="3">
        <v>6.2975307482865359</v>
      </c>
    </row>
    <row r="696" spans="1:13" x14ac:dyDescent="0.45">
      <c r="A696" t="s">
        <v>3081</v>
      </c>
      <c r="B696">
        <v>1</v>
      </c>
      <c r="C696" t="s">
        <v>1761</v>
      </c>
      <c r="D696" t="s">
        <v>3082</v>
      </c>
      <c r="E696" t="s">
        <v>3083</v>
      </c>
      <c r="F696" s="3">
        <v>89.211270902216782</v>
      </c>
      <c r="G696" s="3">
        <v>76.992474523814437</v>
      </c>
      <c r="H696" t="s">
        <v>73</v>
      </c>
      <c r="I696" t="s">
        <v>3081</v>
      </c>
      <c r="J696" s="3">
        <v>5.8071414997173409</v>
      </c>
      <c r="K696" s="3">
        <v>13.69647159471049</v>
      </c>
    </row>
    <row r="697" spans="1:13" x14ac:dyDescent="0.45">
      <c r="A697" t="s">
        <v>3084</v>
      </c>
      <c r="B697">
        <v>4</v>
      </c>
      <c r="C697" t="s">
        <v>1761</v>
      </c>
      <c r="D697" t="s">
        <v>3085</v>
      </c>
      <c r="E697" t="s">
        <v>3086</v>
      </c>
      <c r="F697" s="3">
        <v>115.37194780249899</v>
      </c>
      <c r="G697" s="3">
        <v>117.3233414103783</v>
      </c>
      <c r="H697" t="s">
        <v>73</v>
      </c>
      <c r="I697" t="s">
        <v>3084</v>
      </c>
      <c r="J697" s="3">
        <v>5.8656766179332607</v>
      </c>
      <c r="K697" s="3">
        <v>1.6913934843327769</v>
      </c>
    </row>
    <row r="698" spans="1:13" x14ac:dyDescent="0.45">
      <c r="A698" t="s">
        <v>3087</v>
      </c>
      <c r="B698">
        <v>1</v>
      </c>
      <c r="C698" t="s">
        <v>1761</v>
      </c>
      <c r="D698" t="s">
        <v>3088</v>
      </c>
      <c r="E698" t="s">
        <v>3089</v>
      </c>
      <c r="F698" s="3">
        <v>115.8637916200959</v>
      </c>
      <c r="G698" s="3">
        <v>117.3719387106581</v>
      </c>
      <c r="H698" t="s">
        <v>73</v>
      </c>
      <c r="I698" t="s">
        <v>3087</v>
      </c>
      <c r="J698" s="3">
        <v>5.8845065619921968</v>
      </c>
      <c r="K698" s="3">
        <v>1.3016552190068751</v>
      </c>
    </row>
    <row r="699" spans="1:13" x14ac:dyDescent="0.45">
      <c r="A699" t="s">
        <v>3090</v>
      </c>
      <c r="B699">
        <v>2</v>
      </c>
      <c r="C699" t="s">
        <v>1761</v>
      </c>
      <c r="D699" t="s">
        <v>3091</v>
      </c>
      <c r="E699" t="s">
        <v>3092</v>
      </c>
      <c r="F699" s="3">
        <v>177.54844271215271</v>
      </c>
      <c r="G699" s="3">
        <v>192.2010179810774</v>
      </c>
      <c r="H699" t="s">
        <v>73</v>
      </c>
      <c r="I699" t="s">
        <v>3090</v>
      </c>
      <c r="J699" s="3">
        <v>3.043071436671708</v>
      </c>
      <c r="K699" s="3">
        <v>8.2527196775698712</v>
      </c>
    </row>
    <row r="700" spans="1:13" x14ac:dyDescent="0.45">
      <c r="A700" t="s">
        <v>3093</v>
      </c>
      <c r="B700">
        <v>1</v>
      </c>
      <c r="C700" t="s">
        <v>1761</v>
      </c>
      <c r="D700" t="s">
        <v>3094</v>
      </c>
      <c r="E700" t="s">
        <v>3095</v>
      </c>
      <c r="F700" s="3">
        <v>91.874990039029427</v>
      </c>
      <c r="G700" s="3">
        <v>92.282033198419924</v>
      </c>
      <c r="H700" t="s">
        <v>73</v>
      </c>
      <c r="I700" t="s">
        <v>3093</v>
      </c>
      <c r="J700" s="3">
        <v>8.1315678239476004</v>
      </c>
      <c r="K700" s="3">
        <v>0.44304022152011241</v>
      </c>
    </row>
    <row r="701" spans="1:13" x14ac:dyDescent="0.45">
      <c r="A701" t="s">
        <v>630</v>
      </c>
      <c r="B701">
        <v>4</v>
      </c>
      <c r="C701" t="s">
        <v>1751</v>
      </c>
      <c r="D701" t="s">
        <v>629</v>
      </c>
      <c r="E701" t="s">
        <v>627</v>
      </c>
      <c r="F701" s="3">
        <v>19.71093453093367</v>
      </c>
      <c r="G701" s="3">
        <v>19.57844981030512</v>
      </c>
      <c r="H701" t="s">
        <v>73</v>
      </c>
      <c r="I701" t="s">
        <v>630</v>
      </c>
      <c r="J701" s="3">
        <v>55.353823287300877</v>
      </c>
      <c r="K701" s="3">
        <v>0.67213820035080496</v>
      </c>
    </row>
    <row r="702" spans="1:13" x14ac:dyDescent="0.45">
      <c r="A702" t="s">
        <v>3096</v>
      </c>
      <c r="B702">
        <v>1</v>
      </c>
      <c r="C702" t="s">
        <v>1761</v>
      </c>
      <c r="D702" t="s">
        <v>3097</v>
      </c>
      <c r="E702" t="s">
        <v>3098</v>
      </c>
      <c r="F702" s="3">
        <v>149.54432996501541</v>
      </c>
      <c r="G702" s="3">
        <v>147.2498198477781</v>
      </c>
      <c r="H702" t="s">
        <v>73</v>
      </c>
      <c r="I702" t="s">
        <v>3096</v>
      </c>
      <c r="J702" s="3">
        <v>2.5459314504512851</v>
      </c>
      <c r="K702" s="3">
        <v>1.534334412928972</v>
      </c>
    </row>
    <row r="703" spans="1:13" x14ac:dyDescent="0.45">
      <c r="A703" t="s">
        <v>3099</v>
      </c>
      <c r="B703">
        <v>1</v>
      </c>
      <c r="C703" t="s">
        <v>1761</v>
      </c>
      <c r="D703" t="s">
        <v>3100</v>
      </c>
      <c r="E703" t="s">
        <v>3101</v>
      </c>
      <c r="F703" s="3">
        <v>1315.1466632993599</v>
      </c>
      <c r="G703" s="3">
        <v>1018.266734359227</v>
      </c>
      <c r="H703" t="s">
        <v>73</v>
      </c>
      <c r="I703" t="s">
        <v>3099</v>
      </c>
      <c r="J703" s="3">
        <v>0.23044128943212661</v>
      </c>
      <c r="K703" s="3">
        <v>22.573902761182438</v>
      </c>
      <c r="M703" t="s">
        <v>1752</v>
      </c>
    </row>
    <row r="704" spans="1:13" x14ac:dyDescent="0.45">
      <c r="A704" t="s">
        <v>3102</v>
      </c>
      <c r="B704">
        <v>1</v>
      </c>
      <c r="C704" t="s">
        <v>1761</v>
      </c>
      <c r="D704" t="s">
        <v>3103</v>
      </c>
      <c r="E704" t="s">
        <v>3104</v>
      </c>
      <c r="F704" s="3">
        <v>150.71914523755109</v>
      </c>
      <c r="G704" s="3">
        <v>155.64932504311739</v>
      </c>
      <c r="H704" t="s">
        <v>73</v>
      </c>
      <c r="I704" t="s">
        <v>3102</v>
      </c>
      <c r="J704" s="3">
        <v>5.189546168008019</v>
      </c>
      <c r="K704" s="3">
        <v>3.2711038785389399</v>
      </c>
    </row>
    <row r="705" spans="1:11" x14ac:dyDescent="0.45">
      <c r="A705" t="s">
        <v>3105</v>
      </c>
      <c r="B705">
        <v>1</v>
      </c>
      <c r="C705" t="s">
        <v>1761</v>
      </c>
      <c r="D705" t="s">
        <v>3106</v>
      </c>
      <c r="E705" t="s">
        <v>3107</v>
      </c>
      <c r="F705" s="3">
        <v>210.9680559548988</v>
      </c>
      <c r="G705" s="3">
        <v>220.113806942454</v>
      </c>
      <c r="H705" t="s">
        <v>73</v>
      </c>
      <c r="I705" t="s">
        <v>3105</v>
      </c>
      <c r="J705" s="3">
        <v>1.3254089382682179</v>
      </c>
      <c r="K705" s="3">
        <v>4.3351354526916701</v>
      </c>
    </row>
    <row r="706" spans="1:11" x14ac:dyDescent="0.45">
      <c r="A706" t="s">
        <v>3108</v>
      </c>
      <c r="B706">
        <v>1</v>
      </c>
      <c r="C706" t="s">
        <v>1761</v>
      </c>
      <c r="D706" t="s">
        <v>3109</v>
      </c>
      <c r="E706" t="s">
        <v>3110</v>
      </c>
      <c r="F706" s="3">
        <v>161.86423482050989</v>
      </c>
      <c r="G706" s="3">
        <v>157.53874893923049</v>
      </c>
      <c r="H706" t="s">
        <v>73</v>
      </c>
      <c r="I706" t="s">
        <v>3108</v>
      </c>
      <c r="J706" s="3">
        <v>0.55736936852154939</v>
      </c>
      <c r="K706" s="3">
        <v>2.6722925457102669</v>
      </c>
    </row>
    <row r="707" spans="1:11" x14ac:dyDescent="0.45">
      <c r="A707" t="s">
        <v>3111</v>
      </c>
      <c r="B707">
        <v>1</v>
      </c>
      <c r="C707" t="s">
        <v>1761</v>
      </c>
      <c r="D707" t="s">
        <v>3112</v>
      </c>
      <c r="E707" t="s">
        <v>3113</v>
      </c>
      <c r="F707" s="3">
        <v>138.61287280946101</v>
      </c>
      <c r="G707" s="3">
        <v>137.64744993141949</v>
      </c>
      <c r="H707" t="s">
        <v>73</v>
      </c>
      <c r="I707" t="s">
        <v>3111</v>
      </c>
      <c r="J707" s="3">
        <v>3.0404099311843882</v>
      </c>
      <c r="K707" s="3">
        <v>0.69648861499944559</v>
      </c>
    </row>
    <row r="708" spans="1:11" x14ac:dyDescent="0.45">
      <c r="A708" t="s">
        <v>3114</v>
      </c>
      <c r="B708">
        <v>1</v>
      </c>
      <c r="C708" t="s">
        <v>1761</v>
      </c>
      <c r="D708" t="s">
        <v>3115</v>
      </c>
      <c r="E708" t="s">
        <v>3116</v>
      </c>
      <c r="F708" s="3">
        <v>70.32257659950703</v>
      </c>
      <c r="G708" s="3">
        <v>69.466416108000587</v>
      </c>
      <c r="H708" t="s">
        <v>73</v>
      </c>
      <c r="I708" t="s">
        <v>3114</v>
      </c>
      <c r="J708" s="3">
        <v>7.1166425877277764</v>
      </c>
      <c r="K708" s="3">
        <v>1.2174759983303149</v>
      </c>
    </row>
    <row r="709" spans="1:11" x14ac:dyDescent="0.45">
      <c r="A709" t="s">
        <v>3117</v>
      </c>
      <c r="B709">
        <v>1</v>
      </c>
      <c r="C709" t="s">
        <v>1761</v>
      </c>
      <c r="D709" t="s">
        <v>3118</v>
      </c>
      <c r="E709" t="s">
        <v>3119</v>
      </c>
      <c r="F709" s="3">
        <v>179.20694789284229</v>
      </c>
      <c r="G709" s="3">
        <v>176.7646889364994</v>
      </c>
      <c r="H709" t="s">
        <v>73</v>
      </c>
      <c r="I709" t="s">
        <v>3117</v>
      </c>
      <c r="J709" s="3">
        <v>0.2591957554174823</v>
      </c>
      <c r="K709" s="3">
        <v>1.3628148824917889</v>
      </c>
    </row>
    <row r="710" spans="1:11" x14ac:dyDescent="0.45">
      <c r="A710" t="s">
        <v>3120</v>
      </c>
      <c r="B710">
        <v>1</v>
      </c>
      <c r="C710" t="s">
        <v>1761</v>
      </c>
      <c r="D710" t="s">
        <v>3121</v>
      </c>
      <c r="E710" t="s">
        <v>3122</v>
      </c>
      <c r="F710" s="3">
        <v>284.8525863554504</v>
      </c>
      <c r="G710" s="3">
        <v>271.00953121601862</v>
      </c>
      <c r="H710" t="s">
        <v>73</v>
      </c>
      <c r="I710" t="s">
        <v>3120</v>
      </c>
      <c r="J710" s="3">
        <v>2.0257225621949821</v>
      </c>
      <c r="K710" s="3">
        <v>4.8597259784602604</v>
      </c>
    </row>
    <row r="711" spans="1:11" x14ac:dyDescent="0.45">
      <c r="A711" t="s">
        <v>3123</v>
      </c>
      <c r="B711">
        <v>1</v>
      </c>
      <c r="C711" t="s">
        <v>1761</v>
      </c>
      <c r="D711" t="s">
        <v>3124</v>
      </c>
      <c r="E711" t="s">
        <v>3125</v>
      </c>
      <c r="F711" s="3">
        <v>196.36146873523219</v>
      </c>
      <c r="G711" s="3">
        <v>210.81215320635019</v>
      </c>
      <c r="H711" t="s">
        <v>73</v>
      </c>
      <c r="I711" t="s">
        <v>3123</v>
      </c>
      <c r="J711" s="3">
        <v>3.76526501711388</v>
      </c>
      <c r="K711" s="3">
        <v>7.3592261069318479</v>
      </c>
    </row>
    <row r="712" spans="1:11" x14ac:dyDescent="0.45">
      <c r="A712" t="s">
        <v>3126</v>
      </c>
      <c r="B712">
        <v>1</v>
      </c>
      <c r="C712" t="s">
        <v>1761</v>
      </c>
      <c r="D712" t="s">
        <v>3127</v>
      </c>
      <c r="E712" t="s">
        <v>3128</v>
      </c>
      <c r="F712" s="3">
        <v>44.134828719874278</v>
      </c>
      <c r="G712" s="3">
        <v>42.816830797520907</v>
      </c>
      <c r="H712" t="s">
        <v>73</v>
      </c>
      <c r="I712" t="s">
        <v>3126</v>
      </c>
      <c r="J712" s="3">
        <v>5.0883438184072123</v>
      </c>
      <c r="K712" s="3">
        <v>2.9862989402740192</v>
      </c>
    </row>
    <row r="713" spans="1:11" x14ac:dyDescent="0.45">
      <c r="A713" t="s">
        <v>3129</v>
      </c>
      <c r="B713">
        <v>1</v>
      </c>
      <c r="C713" t="s">
        <v>1761</v>
      </c>
      <c r="D713" t="s">
        <v>3130</v>
      </c>
      <c r="E713" t="s">
        <v>3131</v>
      </c>
      <c r="F713" s="3">
        <v>179.20694789284229</v>
      </c>
      <c r="G713" s="3">
        <v>176.87590826130079</v>
      </c>
      <c r="H713" t="s">
        <v>73</v>
      </c>
      <c r="I713" t="s">
        <v>3129</v>
      </c>
      <c r="J713" s="3">
        <v>2.245726568588315</v>
      </c>
      <c r="K713" s="3">
        <v>1.3007529333825829</v>
      </c>
    </row>
    <row r="714" spans="1:11" x14ac:dyDescent="0.45">
      <c r="A714" t="s">
        <v>3132</v>
      </c>
      <c r="B714">
        <v>1</v>
      </c>
      <c r="C714" t="s">
        <v>1761</v>
      </c>
      <c r="D714" t="s">
        <v>3133</v>
      </c>
      <c r="E714" t="s">
        <v>3134</v>
      </c>
      <c r="F714" s="3">
        <v>427.46576713760732</v>
      </c>
      <c r="G714" s="3">
        <v>362.53912165104612</v>
      </c>
      <c r="H714" t="s">
        <v>73</v>
      </c>
      <c r="I714" t="s">
        <v>3132</v>
      </c>
      <c r="J714" s="3">
        <v>2.1089341916916569</v>
      </c>
      <c r="K714" s="3">
        <v>15.18873567849011</v>
      </c>
    </row>
    <row r="715" spans="1:11" x14ac:dyDescent="0.45">
      <c r="A715" t="s">
        <v>3135</v>
      </c>
      <c r="B715">
        <v>1</v>
      </c>
      <c r="C715" t="s">
        <v>1761</v>
      </c>
      <c r="D715" t="s">
        <v>3136</v>
      </c>
      <c r="E715" t="s">
        <v>3137</v>
      </c>
      <c r="F715" s="3">
        <v>132.53005636504369</v>
      </c>
      <c r="G715" s="3">
        <v>133.30239466747699</v>
      </c>
      <c r="H715" t="s">
        <v>73</v>
      </c>
      <c r="I715" t="s">
        <v>3135</v>
      </c>
      <c r="J715" s="3">
        <v>3.914486270561969</v>
      </c>
      <c r="K715" s="3">
        <v>0.58276463740867201</v>
      </c>
    </row>
    <row r="716" spans="1:11" x14ac:dyDescent="0.45">
      <c r="A716" t="s">
        <v>3138</v>
      </c>
      <c r="B716">
        <v>1</v>
      </c>
      <c r="C716" t="s">
        <v>1761</v>
      </c>
      <c r="D716" t="s">
        <v>3139</v>
      </c>
      <c r="E716" t="s">
        <v>3140</v>
      </c>
      <c r="F716" s="3">
        <v>214.8594276974373</v>
      </c>
      <c r="G716" s="3">
        <v>210.21659166063941</v>
      </c>
      <c r="H716" t="s">
        <v>73</v>
      </c>
      <c r="I716" t="s">
        <v>3138</v>
      </c>
      <c r="J716" s="3">
        <v>3.862586363828334</v>
      </c>
      <c r="K716" s="3">
        <v>2.1608714528160462</v>
      </c>
    </row>
    <row r="717" spans="1:11" x14ac:dyDescent="0.45">
      <c r="A717" t="s">
        <v>3141</v>
      </c>
      <c r="B717">
        <v>1</v>
      </c>
      <c r="C717" t="s">
        <v>1761</v>
      </c>
      <c r="D717" t="s">
        <v>3142</v>
      </c>
      <c r="E717" t="s">
        <v>3143</v>
      </c>
      <c r="F717" s="3">
        <v>135.9550244874473</v>
      </c>
      <c r="G717" s="3">
        <v>133.7286810531528</v>
      </c>
      <c r="H717" t="s">
        <v>73</v>
      </c>
      <c r="I717" t="s">
        <v>3141</v>
      </c>
      <c r="J717" s="3">
        <v>3.2208897602849511</v>
      </c>
      <c r="K717" s="3">
        <v>1.637558775549373</v>
      </c>
    </row>
    <row r="718" spans="1:11" x14ac:dyDescent="0.45">
      <c r="A718" t="s">
        <v>3144</v>
      </c>
      <c r="B718">
        <v>2</v>
      </c>
      <c r="C718" t="s">
        <v>1761</v>
      </c>
      <c r="D718" t="s">
        <v>3145</v>
      </c>
      <c r="E718" t="s">
        <v>3146</v>
      </c>
      <c r="F718" s="3">
        <v>158.40534643482391</v>
      </c>
      <c r="G718" s="3">
        <v>156.84305738556071</v>
      </c>
      <c r="H718" t="s">
        <v>73</v>
      </c>
      <c r="I718" t="s">
        <v>3144</v>
      </c>
      <c r="J718" s="3">
        <v>2.5163163872574339</v>
      </c>
      <c r="K718" s="3">
        <v>0.98626030271397891</v>
      </c>
    </row>
    <row r="719" spans="1:11" x14ac:dyDescent="0.45">
      <c r="A719" t="s">
        <v>3147</v>
      </c>
      <c r="B719">
        <v>1</v>
      </c>
      <c r="C719" t="s">
        <v>1761</v>
      </c>
      <c r="D719" t="s">
        <v>3148</v>
      </c>
      <c r="E719" t="s">
        <v>3149</v>
      </c>
      <c r="F719" s="3">
        <v>95.14470772563979</v>
      </c>
      <c r="G719" s="3">
        <v>95.018485207463399</v>
      </c>
      <c r="H719" t="s">
        <v>73</v>
      </c>
      <c r="I719" t="s">
        <v>3147</v>
      </c>
      <c r="J719" s="3">
        <v>5.0447493515120447</v>
      </c>
      <c r="K719" s="3">
        <v>0.13266373001046289</v>
      </c>
    </row>
    <row r="720" spans="1:11" x14ac:dyDescent="0.45">
      <c r="A720" t="s">
        <v>3150</v>
      </c>
      <c r="B720">
        <v>1</v>
      </c>
      <c r="C720" t="s">
        <v>1761</v>
      </c>
      <c r="D720" t="s">
        <v>3151</v>
      </c>
      <c r="E720" t="s">
        <v>3152</v>
      </c>
      <c r="F720" s="3">
        <v>318.20142366423198</v>
      </c>
      <c r="G720" s="3">
        <v>330.61819696390842</v>
      </c>
      <c r="H720" t="s">
        <v>73</v>
      </c>
      <c r="I720" t="s">
        <v>3150</v>
      </c>
      <c r="J720" s="3">
        <v>1.3916141414830689</v>
      </c>
      <c r="K720" s="3">
        <v>3.9021740244564809</v>
      </c>
    </row>
    <row r="721" spans="1:13" x14ac:dyDescent="0.45">
      <c r="A721" t="s">
        <v>3153</v>
      </c>
      <c r="B721">
        <v>4</v>
      </c>
      <c r="C721" t="s">
        <v>1761</v>
      </c>
      <c r="D721" t="s">
        <v>3154</v>
      </c>
      <c r="E721" t="s">
        <v>3155</v>
      </c>
      <c r="F721" s="3">
        <v>70.18656938999915</v>
      </c>
      <c r="G721" s="3">
        <v>70.441297520995931</v>
      </c>
      <c r="H721" t="s">
        <v>73</v>
      </c>
      <c r="I721" t="s">
        <v>3153</v>
      </c>
      <c r="J721" s="3">
        <v>5.083739093186181</v>
      </c>
      <c r="K721" s="3">
        <v>0.36293002095792692</v>
      </c>
    </row>
    <row r="722" spans="1:13" x14ac:dyDescent="0.45">
      <c r="A722" t="s">
        <v>3156</v>
      </c>
      <c r="B722">
        <v>1</v>
      </c>
      <c r="C722" t="s">
        <v>1761</v>
      </c>
      <c r="D722" t="s">
        <v>3157</v>
      </c>
      <c r="E722" t="s">
        <v>3158</v>
      </c>
      <c r="F722" s="3">
        <v>278.29032003578948</v>
      </c>
      <c r="G722" s="3">
        <v>258.34194366187808</v>
      </c>
      <c r="H722" t="s">
        <v>73</v>
      </c>
      <c r="I722" t="s">
        <v>3156</v>
      </c>
      <c r="J722" s="3">
        <v>0.35275200282662161</v>
      </c>
      <c r="K722" s="3">
        <v>7.1681890952391063</v>
      </c>
    </row>
    <row r="723" spans="1:13" x14ac:dyDescent="0.45">
      <c r="A723" t="s">
        <v>3159</v>
      </c>
      <c r="B723">
        <v>2</v>
      </c>
      <c r="C723" t="s">
        <v>1761</v>
      </c>
      <c r="D723" t="s">
        <v>3160</v>
      </c>
      <c r="E723" t="s">
        <v>3161</v>
      </c>
      <c r="F723" s="3">
        <v>142.17808817428269</v>
      </c>
      <c r="G723" s="3">
        <v>132.2459741600525</v>
      </c>
      <c r="H723" t="s">
        <v>73</v>
      </c>
      <c r="I723" t="s">
        <v>3159</v>
      </c>
      <c r="J723" s="3">
        <v>1.418926390779685</v>
      </c>
      <c r="K723" s="3">
        <v>6.9856854468709866</v>
      </c>
    </row>
    <row r="724" spans="1:13" x14ac:dyDescent="0.45">
      <c r="A724" t="s">
        <v>3162</v>
      </c>
      <c r="B724">
        <v>1</v>
      </c>
      <c r="C724" t="s">
        <v>1761</v>
      </c>
      <c r="D724" t="s">
        <v>3163</v>
      </c>
      <c r="E724" t="s">
        <v>3164</v>
      </c>
      <c r="F724" s="3">
        <v>106.37851184333761</v>
      </c>
      <c r="G724" s="3">
        <v>107.57746268782429</v>
      </c>
      <c r="H724" t="s">
        <v>73</v>
      </c>
      <c r="I724" t="s">
        <v>3162</v>
      </c>
      <c r="J724" s="3">
        <v>4.2139002165707646</v>
      </c>
      <c r="K724" s="3">
        <v>1.1270611176178511</v>
      </c>
    </row>
    <row r="725" spans="1:13" x14ac:dyDescent="0.45">
      <c r="A725" t="s">
        <v>3165</v>
      </c>
      <c r="B725">
        <v>1</v>
      </c>
      <c r="C725" t="s">
        <v>1761</v>
      </c>
      <c r="D725" t="s">
        <v>3166</v>
      </c>
      <c r="E725" t="s">
        <v>3167</v>
      </c>
      <c r="F725" s="3">
        <v>87.230849376720727</v>
      </c>
      <c r="G725" s="3">
        <v>87.051789525354224</v>
      </c>
      <c r="H725" t="s">
        <v>73</v>
      </c>
      <c r="I725" t="s">
        <v>3165</v>
      </c>
      <c r="J725" s="3">
        <v>1.4571104079799411</v>
      </c>
      <c r="K725" s="3">
        <v>0.2052712459478557</v>
      </c>
    </row>
    <row r="726" spans="1:13" x14ac:dyDescent="0.45">
      <c r="A726" t="s">
        <v>3168</v>
      </c>
      <c r="B726">
        <v>2</v>
      </c>
      <c r="C726" t="s">
        <v>1761</v>
      </c>
      <c r="D726" t="s">
        <v>3169</v>
      </c>
      <c r="E726" t="s">
        <v>3170</v>
      </c>
      <c r="F726" s="3">
        <v>64.16604881372578</v>
      </c>
      <c r="G726" s="3">
        <v>63.770094971177663</v>
      </c>
      <c r="H726" t="s">
        <v>73</v>
      </c>
      <c r="I726" t="s">
        <v>3168</v>
      </c>
      <c r="J726" s="3">
        <v>3.9672891514118129</v>
      </c>
      <c r="K726" s="3">
        <v>0.61707686520886718</v>
      </c>
    </row>
    <row r="727" spans="1:13" x14ac:dyDescent="0.45">
      <c r="A727" t="s">
        <v>3171</v>
      </c>
      <c r="B727">
        <v>1</v>
      </c>
      <c r="C727" t="s">
        <v>1774</v>
      </c>
      <c r="G727" s="3">
        <v>1227.107924575035</v>
      </c>
      <c r="H727" t="s">
        <v>1755</v>
      </c>
      <c r="I727" t="s">
        <v>3171</v>
      </c>
      <c r="M727" t="s">
        <v>1757</v>
      </c>
    </row>
    <row r="728" spans="1:13" x14ac:dyDescent="0.45">
      <c r="A728" t="s">
        <v>3172</v>
      </c>
      <c r="B728">
        <v>1</v>
      </c>
      <c r="C728" t="s">
        <v>1761</v>
      </c>
      <c r="D728" t="s">
        <v>3173</v>
      </c>
      <c r="E728" t="s">
        <v>3174</v>
      </c>
      <c r="F728" s="3">
        <v>116.0285005908429</v>
      </c>
      <c r="G728" s="3">
        <v>119.577081980401</v>
      </c>
      <c r="H728" t="s">
        <v>73</v>
      </c>
      <c r="I728" t="s">
        <v>3172</v>
      </c>
      <c r="J728" s="3">
        <v>4.6009939567378266</v>
      </c>
      <c r="K728" s="3">
        <v>3.058370461988225</v>
      </c>
    </row>
    <row r="729" spans="1:13" x14ac:dyDescent="0.45">
      <c r="A729" t="s">
        <v>3175</v>
      </c>
      <c r="B729">
        <v>2</v>
      </c>
      <c r="C729" t="s">
        <v>1761</v>
      </c>
      <c r="D729" t="s">
        <v>3176</v>
      </c>
      <c r="E729" t="s">
        <v>3177</v>
      </c>
      <c r="F729" s="3">
        <v>105.6205244215239</v>
      </c>
      <c r="G729" s="3">
        <v>108.463303409703</v>
      </c>
      <c r="H729" t="s">
        <v>73</v>
      </c>
      <c r="I729" t="s">
        <v>3175</v>
      </c>
      <c r="J729" s="3">
        <v>5.0996417454451093</v>
      </c>
      <c r="K729" s="3">
        <v>2.6915024364334839</v>
      </c>
    </row>
    <row r="730" spans="1:13" x14ac:dyDescent="0.45">
      <c r="A730" t="s">
        <v>3178</v>
      </c>
      <c r="B730">
        <v>2</v>
      </c>
      <c r="C730" t="s">
        <v>1761</v>
      </c>
      <c r="D730" t="s">
        <v>3179</v>
      </c>
      <c r="E730" t="s">
        <v>3180</v>
      </c>
      <c r="F730" s="3">
        <v>64.764871923213718</v>
      </c>
      <c r="G730" s="3">
        <v>65.433166341155328</v>
      </c>
      <c r="H730" t="s">
        <v>73</v>
      </c>
      <c r="I730" t="s">
        <v>3178</v>
      </c>
      <c r="J730" s="3">
        <v>0.26345196533896581</v>
      </c>
      <c r="K730" s="3">
        <v>1.031877927179343</v>
      </c>
    </row>
    <row r="731" spans="1:13" x14ac:dyDescent="0.45">
      <c r="A731" t="s">
        <v>3181</v>
      </c>
      <c r="B731">
        <v>2</v>
      </c>
      <c r="C731" t="s">
        <v>1761</v>
      </c>
      <c r="D731" t="s">
        <v>3182</v>
      </c>
      <c r="E731" t="s">
        <v>3183</v>
      </c>
      <c r="F731" s="3">
        <v>178.9117763710087</v>
      </c>
      <c r="G731" s="3">
        <v>180.96688770700189</v>
      </c>
      <c r="H731" t="s">
        <v>73</v>
      </c>
      <c r="I731" t="s">
        <v>3181</v>
      </c>
      <c r="J731" s="3">
        <v>2.9801330323295838</v>
      </c>
      <c r="K731" s="3">
        <v>1.148673037448088</v>
      </c>
    </row>
    <row r="732" spans="1:13" x14ac:dyDescent="0.45">
      <c r="A732" t="s">
        <v>3184</v>
      </c>
      <c r="B732">
        <v>1</v>
      </c>
      <c r="C732" t="s">
        <v>1761</v>
      </c>
      <c r="D732" t="s">
        <v>3185</v>
      </c>
      <c r="E732" t="s">
        <v>3186</v>
      </c>
      <c r="F732" s="3">
        <v>185.10581214022741</v>
      </c>
      <c r="G732" s="3">
        <v>201.5506167047055</v>
      </c>
      <c r="H732" t="s">
        <v>73</v>
      </c>
      <c r="I732" t="s">
        <v>3184</v>
      </c>
      <c r="J732" s="3">
        <v>2.753825452365922</v>
      </c>
      <c r="K732" s="3">
        <v>8.8840022765035496</v>
      </c>
    </row>
    <row r="733" spans="1:13" x14ac:dyDescent="0.45">
      <c r="A733" t="s">
        <v>3187</v>
      </c>
      <c r="B733">
        <v>1</v>
      </c>
      <c r="C733" t="s">
        <v>1761</v>
      </c>
      <c r="D733" t="s">
        <v>3188</v>
      </c>
      <c r="E733" t="s">
        <v>3189</v>
      </c>
      <c r="F733" s="3">
        <v>93.134279813393775</v>
      </c>
      <c r="G733" s="3">
        <v>94.022403629916468</v>
      </c>
      <c r="H733" t="s">
        <v>73</v>
      </c>
      <c r="I733" t="s">
        <v>3187</v>
      </c>
      <c r="J733" s="3">
        <v>9.8912291319479095</v>
      </c>
      <c r="K733" s="3">
        <v>0.95359497953080652</v>
      </c>
    </row>
    <row r="734" spans="1:13" x14ac:dyDescent="0.45">
      <c r="A734" t="s">
        <v>3190</v>
      </c>
      <c r="B734">
        <v>1</v>
      </c>
      <c r="C734" t="s">
        <v>1761</v>
      </c>
      <c r="D734" t="s">
        <v>3191</v>
      </c>
      <c r="E734" t="s">
        <v>3192</v>
      </c>
      <c r="F734" s="3">
        <v>95.731136892774472</v>
      </c>
      <c r="G734" s="3">
        <v>95.193305025919571</v>
      </c>
      <c r="H734" t="s">
        <v>73</v>
      </c>
      <c r="I734" t="s">
        <v>3190</v>
      </c>
      <c r="J734" s="3">
        <v>11.694840456708739</v>
      </c>
      <c r="K734" s="3">
        <v>0.56181497923430779</v>
      </c>
    </row>
    <row r="735" spans="1:13" x14ac:dyDescent="0.45">
      <c r="A735" t="s">
        <v>729</v>
      </c>
      <c r="B735">
        <v>6</v>
      </c>
      <c r="C735" t="s">
        <v>1751</v>
      </c>
      <c r="D735" t="s">
        <v>728</v>
      </c>
      <c r="E735" t="s">
        <v>726</v>
      </c>
      <c r="F735" s="3">
        <v>21.350848798093448</v>
      </c>
      <c r="G735" s="3">
        <v>21.30215365090034</v>
      </c>
      <c r="H735" t="s">
        <v>73</v>
      </c>
      <c r="I735" t="s">
        <v>729</v>
      </c>
      <c r="J735" s="3">
        <v>40.723285961998101</v>
      </c>
      <c r="K735" s="3">
        <v>0.22807124744125851</v>
      </c>
    </row>
    <row r="736" spans="1:13" x14ac:dyDescent="0.45">
      <c r="A736" t="s">
        <v>3193</v>
      </c>
      <c r="B736">
        <v>1</v>
      </c>
      <c r="C736" t="s">
        <v>1761</v>
      </c>
      <c r="D736" t="s">
        <v>3194</v>
      </c>
      <c r="E736" t="s">
        <v>3195</v>
      </c>
      <c r="F736" s="3">
        <v>345.50462635565589</v>
      </c>
      <c r="G736" s="3">
        <v>342.2521949570646</v>
      </c>
      <c r="H736" t="s">
        <v>73</v>
      </c>
      <c r="I736" t="s">
        <v>3193</v>
      </c>
      <c r="J736" s="3">
        <v>0.1223489037157164</v>
      </c>
      <c r="K736" s="3">
        <v>0.94135683012341131</v>
      </c>
    </row>
    <row r="737" spans="1:13" x14ac:dyDescent="0.45">
      <c r="A737" t="s">
        <v>3196</v>
      </c>
      <c r="B737">
        <v>1</v>
      </c>
      <c r="C737" t="s">
        <v>1774</v>
      </c>
      <c r="G737" s="3">
        <v>538.75815096762528</v>
      </c>
      <c r="H737" t="s">
        <v>1755</v>
      </c>
      <c r="I737" t="s">
        <v>3196</v>
      </c>
      <c r="M737" t="s">
        <v>1757</v>
      </c>
    </row>
    <row r="738" spans="1:13" x14ac:dyDescent="0.45">
      <c r="A738" t="s">
        <v>3197</v>
      </c>
      <c r="B738">
        <v>1</v>
      </c>
      <c r="C738" t="s">
        <v>1774</v>
      </c>
      <c r="G738" s="3">
        <v>307.14765786703379</v>
      </c>
      <c r="H738" t="s">
        <v>1755</v>
      </c>
      <c r="I738" t="s">
        <v>3197</v>
      </c>
      <c r="M738" t="s">
        <v>1757</v>
      </c>
    </row>
    <row r="739" spans="1:13" x14ac:dyDescent="0.45">
      <c r="A739" t="s">
        <v>3198</v>
      </c>
      <c r="B739">
        <v>2</v>
      </c>
      <c r="C739" t="s">
        <v>1761</v>
      </c>
      <c r="D739" t="s">
        <v>3199</v>
      </c>
      <c r="E739" t="s">
        <v>3200</v>
      </c>
      <c r="F739" s="3">
        <v>235.83258741013469</v>
      </c>
      <c r="G739" s="3">
        <v>238.4659740038197</v>
      </c>
      <c r="H739" t="s">
        <v>73</v>
      </c>
      <c r="I739" t="s">
        <v>3198</v>
      </c>
      <c r="J739" s="3">
        <v>0.15166642185719709</v>
      </c>
      <c r="K739" s="3">
        <v>1.1166338895757799</v>
      </c>
    </row>
    <row r="740" spans="1:13" x14ac:dyDescent="0.45">
      <c r="A740" t="s">
        <v>3201</v>
      </c>
      <c r="B740">
        <v>1</v>
      </c>
      <c r="C740" t="s">
        <v>1761</v>
      </c>
      <c r="D740" t="s">
        <v>3202</v>
      </c>
      <c r="E740" t="s">
        <v>3203</v>
      </c>
      <c r="F740" s="3">
        <v>1058.9491978209701</v>
      </c>
      <c r="G740" s="3">
        <v>1058.507908241919</v>
      </c>
      <c r="H740" t="s">
        <v>73</v>
      </c>
      <c r="I740" t="s">
        <v>3201</v>
      </c>
      <c r="J740" s="3">
        <v>0.17700685994508769</v>
      </c>
      <c r="K740" s="3">
        <v>4.1672403167094148E-2</v>
      </c>
    </row>
    <row r="741" spans="1:13" x14ac:dyDescent="0.45">
      <c r="A741" t="s">
        <v>3204</v>
      </c>
      <c r="B741">
        <v>1</v>
      </c>
      <c r="C741" t="s">
        <v>1761</v>
      </c>
      <c r="D741" t="s">
        <v>3205</v>
      </c>
      <c r="E741" t="s">
        <v>3206</v>
      </c>
      <c r="F741" s="3">
        <v>205.00102502457099</v>
      </c>
      <c r="G741" s="3">
        <v>210.08058445113161</v>
      </c>
      <c r="H741" t="s">
        <v>73</v>
      </c>
      <c r="I741" t="s">
        <v>3204</v>
      </c>
      <c r="J741" s="3">
        <v>6.5022870260200074</v>
      </c>
      <c r="K741" s="3">
        <v>2.477821477210536</v>
      </c>
    </row>
    <row r="742" spans="1:13" x14ac:dyDescent="0.45">
      <c r="A742" t="s">
        <v>3207</v>
      </c>
      <c r="B742">
        <v>1</v>
      </c>
      <c r="C742" t="s">
        <v>1761</v>
      </c>
      <c r="D742" t="s">
        <v>3208</v>
      </c>
      <c r="E742" t="s">
        <v>3209</v>
      </c>
      <c r="F742" s="3">
        <v>145.34604507104549</v>
      </c>
      <c r="G742" s="3">
        <v>152.89493443329951</v>
      </c>
      <c r="H742" t="s">
        <v>73</v>
      </c>
      <c r="I742" t="s">
        <v>3207</v>
      </c>
      <c r="J742" s="3">
        <v>2.760037755011775</v>
      </c>
      <c r="K742" s="3">
        <v>5.1937356524314904</v>
      </c>
    </row>
    <row r="743" spans="1:13" x14ac:dyDescent="0.45">
      <c r="A743" t="s">
        <v>3210</v>
      </c>
      <c r="B743">
        <v>1</v>
      </c>
      <c r="C743" t="s">
        <v>1761</v>
      </c>
      <c r="D743" t="s">
        <v>3211</v>
      </c>
      <c r="E743" t="s">
        <v>3212</v>
      </c>
      <c r="F743" s="3">
        <v>165.98293755831699</v>
      </c>
      <c r="G743" s="3">
        <v>164.74256485386019</v>
      </c>
      <c r="H743" t="s">
        <v>73</v>
      </c>
      <c r="I743" t="s">
        <v>3210</v>
      </c>
      <c r="J743" s="3">
        <v>3.4697040701997079</v>
      </c>
      <c r="K743" s="3">
        <v>0.74728928328610456</v>
      </c>
    </row>
    <row r="744" spans="1:13" x14ac:dyDescent="0.45">
      <c r="A744" t="s">
        <v>3213</v>
      </c>
      <c r="B744">
        <v>1</v>
      </c>
      <c r="C744" t="s">
        <v>1761</v>
      </c>
      <c r="D744" t="s">
        <v>3214</v>
      </c>
      <c r="E744" t="s">
        <v>3215</v>
      </c>
      <c r="F744" s="3">
        <v>203.46613311103599</v>
      </c>
      <c r="G744" s="3">
        <v>210.85944588111909</v>
      </c>
      <c r="H744" t="s">
        <v>73</v>
      </c>
      <c r="I744" t="s">
        <v>3213</v>
      </c>
      <c r="J744" s="3">
        <v>2.807692111383552</v>
      </c>
      <c r="K744" s="3">
        <v>3.6336822531779429</v>
      </c>
    </row>
    <row r="745" spans="1:13" x14ac:dyDescent="0.45">
      <c r="A745" t="s">
        <v>3216</v>
      </c>
      <c r="B745">
        <v>1</v>
      </c>
      <c r="C745" t="s">
        <v>1761</v>
      </c>
      <c r="D745" t="s">
        <v>3217</v>
      </c>
      <c r="E745" t="s">
        <v>3218</v>
      </c>
      <c r="F745" s="3">
        <v>180.29663635079399</v>
      </c>
      <c r="G745" s="3">
        <v>182.39675726691209</v>
      </c>
      <c r="H745" t="s">
        <v>73</v>
      </c>
      <c r="I745" t="s">
        <v>3216</v>
      </c>
      <c r="J745" s="3">
        <v>3.5529873474977118</v>
      </c>
      <c r="K745" s="3">
        <v>1.1648142520152149</v>
      </c>
    </row>
    <row r="746" spans="1:13" x14ac:dyDescent="0.45">
      <c r="A746" t="s">
        <v>3219</v>
      </c>
      <c r="B746">
        <v>1</v>
      </c>
      <c r="C746" t="s">
        <v>1761</v>
      </c>
      <c r="D746" t="s">
        <v>3220</v>
      </c>
      <c r="E746" t="s">
        <v>3221</v>
      </c>
      <c r="F746" s="3">
        <v>316.65674705936539</v>
      </c>
      <c r="G746" s="3">
        <v>311.63687424992708</v>
      </c>
      <c r="H746" t="s">
        <v>73</v>
      </c>
      <c r="I746" t="s">
        <v>3219</v>
      </c>
      <c r="J746" s="3">
        <v>1.760846041491237</v>
      </c>
      <c r="K746" s="3">
        <v>1.5852726512400219</v>
      </c>
    </row>
    <row r="747" spans="1:13" x14ac:dyDescent="0.45">
      <c r="A747" t="s">
        <v>3222</v>
      </c>
      <c r="B747">
        <v>1</v>
      </c>
      <c r="C747" t="s">
        <v>1761</v>
      </c>
      <c r="D747" t="s">
        <v>3223</v>
      </c>
      <c r="E747" t="s">
        <v>3224</v>
      </c>
      <c r="F747" s="3">
        <v>102.5328019936794</v>
      </c>
      <c r="G747" s="3">
        <v>101.5699883666596</v>
      </c>
      <c r="H747" t="s">
        <v>73</v>
      </c>
      <c r="I747" t="s">
        <v>3222</v>
      </c>
      <c r="J747" s="3">
        <v>0.33033927840813948</v>
      </c>
      <c r="K747" s="3">
        <v>0.93902986000438249</v>
      </c>
    </row>
    <row r="748" spans="1:13" x14ac:dyDescent="0.45">
      <c r="A748" t="s">
        <v>3225</v>
      </c>
      <c r="B748">
        <v>1</v>
      </c>
      <c r="C748" t="s">
        <v>1761</v>
      </c>
      <c r="D748" t="s">
        <v>3226</v>
      </c>
      <c r="E748" t="s">
        <v>3227</v>
      </c>
      <c r="F748" s="3">
        <v>187.44631030672269</v>
      </c>
      <c r="G748" s="3">
        <v>182.16975242802121</v>
      </c>
      <c r="H748" t="s">
        <v>73</v>
      </c>
      <c r="I748" t="s">
        <v>3225</v>
      </c>
      <c r="J748" s="3">
        <v>8.9216759644577053</v>
      </c>
      <c r="K748" s="3">
        <v>2.814970254718447</v>
      </c>
    </row>
    <row r="749" spans="1:13" x14ac:dyDescent="0.45">
      <c r="A749" t="s">
        <v>3228</v>
      </c>
      <c r="B749">
        <v>1</v>
      </c>
      <c r="C749" t="s">
        <v>1761</v>
      </c>
      <c r="D749" t="s">
        <v>3229</v>
      </c>
      <c r="E749" t="s">
        <v>3230</v>
      </c>
      <c r="F749" s="3">
        <v>272.25088238960859</v>
      </c>
      <c r="G749" s="3">
        <v>297.30393223116482</v>
      </c>
      <c r="H749" t="s">
        <v>73</v>
      </c>
      <c r="I749" t="s">
        <v>3228</v>
      </c>
      <c r="J749" s="3">
        <v>1.8556911433153911</v>
      </c>
      <c r="K749" s="3">
        <v>9.202192338794223</v>
      </c>
    </row>
    <row r="750" spans="1:13" x14ac:dyDescent="0.45">
      <c r="A750" t="s">
        <v>3231</v>
      </c>
      <c r="B750">
        <v>1</v>
      </c>
      <c r="C750" t="s">
        <v>1761</v>
      </c>
      <c r="D750" t="s">
        <v>3232</v>
      </c>
      <c r="E750" t="s">
        <v>3233</v>
      </c>
      <c r="F750" s="3">
        <v>160.03743294891851</v>
      </c>
      <c r="G750" s="3">
        <v>165.06056732213401</v>
      </c>
      <c r="H750" t="s">
        <v>73</v>
      </c>
      <c r="I750" t="s">
        <v>3231</v>
      </c>
      <c r="J750" s="3">
        <v>4.0439554168570941</v>
      </c>
      <c r="K750" s="3">
        <v>3.138724660010547</v>
      </c>
    </row>
    <row r="751" spans="1:13" x14ac:dyDescent="0.45">
      <c r="A751" t="s">
        <v>3234</v>
      </c>
      <c r="B751">
        <v>1</v>
      </c>
      <c r="C751" t="s">
        <v>1761</v>
      </c>
      <c r="D751" t="s">
        <v>3235</v>
      </c>
      <c r="E751" t="s">
        <v>3236</v>
      </c>
      <c r="F751" s="3">
        <v>37.249341429896113</v>
      </c>
      <c r="G751" s="3">
        <v>37.334794400857888</v>
      </c>
      <c r="H751" t="s">
        <v>73</v>
      </c>
      <c r="I751" t="s">
        <v>3234</v>
      </c>
      <c r="J751" s="3">
        <v>11.83274776571475</v>
      </c>
      <c r="K751" s="3">
        <v>0.22940800476327489</v>
      </c>
    </row>
    <row r="752" spans="1:13" x14ac:dyDescent="0.45">
      <c r="A752" t="s">
        <v>3237</v>
      </c>
      <c r="B752">
        <v>1</v>
      </c>
      <c r="C752" t="s">
        <v>1761</v>
      </c>
      <c r="D752" t="s">
        <v>3238</v>
      </c>
      <c r="E752" t="s">
        <v>3239</v>
      </c>
      <c r="F752" s="3">
        <v>136.23910669243861</v>
      </c>
      <c r="G752" s="3">
        <v>137.50296265609089</v>
      </c>
      <c r="H752" t="s">
        <v>73</v>
      </c>
      <c r="I752" t="s">
        <v>3237</v>
      </c>
      <c r="J752" s="3">
        <v>2.832645765107932</v>
      </c>
      <c r="K752" s="3">
        <v>0.92767487569157348</v>
      </c>
    </row>
    <row r="753" spans="1:13" x14ac:dyDescent="0.45">
      <c r="A753" t="s">
        <v>3240</v>
      </c>
      <c r="B753">
        <v>3</v>
      </c>
      <c r="C753" t="s">
        <v>1774</v>
      </c>
      <c r="G753" s="3">
        <v>344.02974721562089</v>
      </c>
      <c r="H753" t="s">
        <v>1755</v>
      </c>
      <c r="I753" t="s">
        <v>3240</v>
      </c>
      <c r="M753" t="s">
        <v>1757</v>
      </c>
    </row>
    <row r="754" spans="1:13" x14ac:dyDescent="0.45">
      <c r="A754" t="s">
        <v>3241</v>
      </c>
      <c r="B754">
        <v>1</v>
      </c>
      <c r="C754" t="s">
        <v>1761</v>
      </c>
      <c r="D754" t="s">
        <v>3242</v>
      </c>
      <c r="E754" t="s">
        <v>3243</v>
      </c>
      <c r="F754" s="3">
        <v>253.62083009442819</v>
      </c>
      <c r="G754" s="3">
        <v>257.861841473879</v>
      </c>
      <c r="H754" t="s">
        <v>73</v>
      </c>
      <c r="I754" t="s">
        <v>3241</v>
      </c>
      <c r="J754" s="3">
        <v>1.684328515809361</v>
      </c>
      <c r="K754" s="3">
        <v>1.672185749834437</v>
      </c>
    </row>
    <row r="755" spans="1:13" x14ac:dyDescent="0.45">
      <c r="A755" t="s">
        <v>3244</v>
      </c>
      <c r="B755">
        <v>1</v>
      </c>
      <c r="C755" t="s">
        <v>1761</v>
      </c>
      <c r="D755" t="s">
        <v>3245</v>
      </c>
      <c r="E755" t="s">
        <v>3246</v>
      </c>
      <c r="F755" s="3">
        <v>321.02006708046008</v>
      </c>
      <c r="G755" s="3">
        <v>304.96110551082069</v>
      </c>
      <c r="H755" t="s">
        <v>73</v>
      </c>
      <c r="I755" t="s">
        <v>3244</v>
      </c>
      <c r="J755" s="3">
        <v>2.3932258464413678</v>
      </c>
      <c r="K755" s="3">
        <v>5.002479039920682</v>
      </c>
    </row>
    <row r="756" spans="1:13" x14ac:dyDescent="0.45">
      <c r="A756" t="s">
        <v>3247</v>
      </c>
      <c r="B756">
        <v>1</v>
      </c>
      <c r="C756" t="s">
        <v>1761</v>
      </c>
      <c r="D756" t="s">
        <v>3248</v>
      </c>
      <c r="E756" t="s">
        <v>3249</v>
      </c>
      <c r="F756" s="3">
        <v>44.381076785050418</v>
      </c>
      <c r="G756" s="3">
        <v>44.342916488857547</v>
      </c>
      <c r="H756" t="s">
        <v>73</v>
      </c>
      <c r="I756" t="s">
        <v>3247</v>
      </c>
      <c r="J756" s="3">
        <v>8.8571500813581512</v>
      </c>
      <c r="K756" s="3">
        <v>8.5983258985993946E-2</v>
      </c>
    </row>
    <row r="757" spans="1:13" x14ac:dyDescent="0.45">
      <c r="A757" t="s">
        <v>3250</v>
      </c>
      <c r="B757">
        <v>1</v>
      </c>
      <c r="C757" t="s">
        <v>1761</v>
      </c>
      <c r="D757" t="s">
        <v>3251</v>
      </c>
      <c r="E757" t="s">
        <v>3252</v>
      </c>
      <c r="F757" s="3">
        <v>537.32501984393787</v>
      </c>
      <c r="G757" s="3">
        <v>525.7086342951784</v>
      </c>
      <c r="H757" t="s">
        <v>73</v>
      </c>
      <c r="I757" t="s">
        <v>3250</v>
      </c>
      <c r="J757" s="3">
        <v>1.142368022530962</v>
      </c>
      <c r="K757" s="3">
        <v>2.16189180100592</v>
      </c>
    </row>
    <row r="758" spans="1:13" x14ac:dyDescent="0.45">
      <c r="A758" t="s">
        <v>3253</v>
      </c>
      <c r="B758">
        <v>1</v>
      </c>
      <c r="C758" t="s">
        <v>1761</v>
      </c>
      <c r="D758" t="s">
        <v>3254</v>
      </c>
      <c r="E758" t="s">
        <v>3255</v>
      </c>
      <c r="F758" s="3">
        <v>106.9013405168175</v>
      </c>
      <c r="G758" s="3">
        <v>106.33806845250071</v>
      </c>
      <c r="H758" t="s">
        <v>73</v>
      </c>
      <c r="I758" t="s">
        <v>3253</v>
      </c>
      <c r="J758" s="3">
        <v>1.5954269518229891</v>
      </c>
      <c r="K758" s="3">
        <v>0.5269083264939971</v>
      </c>
    </row>
    <row r="759" spans="1:13" x14ac:dyDescent="0.45">
      <c r="A759" t="s">
        <v>3256</v>
      </c>
      <c r="B759">
        <v>3</v>
      </c>
      <c r="C759" t="s">
        <v>1761</v>
      </c>
      <c r="D759" t="s">
        <v>3257</v>
      </c>
      <c r="E759" t="s">
        <v>3258</v>
      </c>
      <c r="F759" s="3">
        <v>194.95312549625129</v>
      </c>
      <c r="G759" s="3">
        <v>204.75836467954969</v>
      </c>
      <c r="H759" t="s">
        <v>73</v>
      </c>
      <c r="I759" t="s">
        <v>3256</v>
      </c>
      <c r="J759" s="3">
        <v>1.942321458071838</v>
      </c>
      <c r="K759" s="3">
        <v>5.029536796775802</v>
      </c>
    </row>
    <row r="760" spans="1:13" x14ac:dyDescent="0.45">
      <c r="A760" t="s">
        <v>3259</v>
      </c>
      <c r="B760">
        <v>2</v>
      </c>
      <c r="C760" t="s">
        <v>1761</v>
      </c>
      <c r="D760" t="s">
        <v>3260</v>
      </c>
      <c r="E760" t="s">
        <v>3261</v>
      </c>
      <c r="F760" s="3">
        <v>110.52395940411741</v>
      </c>
      <c r="G760" s="3">
        <v>109.1289885766229</v>
      </c>
      <c r="H760" t="s">
        <v>73</v>
      </c>
      <c r="I760" t="s">
        <v>3259</v>
      </c>
      <c r="J760" s="3">
        <v>3.9369464896168931</v>
      </c>
      <c r="K760" s="3">
        <v>1.2621433714602781</v>
      </c>
    </row>
    <row r="761" spans="1:13" x14ac:dyDescent="0.45">
      <c r="A761" t="s">
        <v>3262</v>
      </c>
      <c r="B761">
        <v>1</v>
      </c>
      <c r="C761" t="s">
        <v>1761</v>
      </c>
      <c r="D761" t="s">
        <v>3263</v>
      </c>
      <c r="E761" t="s">
        <v>3264</v>
      </c>
      <c r="F761" s="3">
        <v>321.97081292150438</v>
      </c>
      <c r="G761" s="3">
        <v>306.11569908793808</v>
      </c>
      <c r="H761" t="s">
        <v>73</v>
      </c>
      <c r="I761" t="s">
        <v>3262</v>
      </c>
      <c r="J761" s="3">
        <v>2.650099502817568</v>
      </c>
      <c r="K761" s="3">
        <v>4.9243947579284928</v>
      </c>
    </row>
    <row r="762" spans="1:13" x14ac:dyDescent="0.45">
      <c r="A762" t="s">
        <v>3265</v>
      </c>
      <c r="B762">
        <v>1</v>
      </c>
      <c r="C762" t="s">
        <v>1761</v>
      </c>
      <c r="D762" t="s">
        <v>3266</v>
      </c>
      <c r="E762" t="s">
        <v>3267</v>
      </c>
      <c r="F762" s="3">
        <v>386.44116563563989</v>
      </c>
      <c r="G762" s="3">
        <v>355.1092793666586</v>
      </c>
      <c r="H762" t="s">
        <v>73</v>
      </c>
      <c r="I762" t="s">
        <v>3265</v>
      </c>
      <c r="J762" s="3">
        <v>1.019381039886069</v>
      </c>
      <c r="K762" s="3">
        <v>8.1078024432114599</v>
      </c>
    </row>
    <row r="763" spans="1:13" x14ac:dyDescent="0.45">
      <c r="A763" t="s">
        <v>3268</v>
      </c>
      <c r="B763">
        <v>1</v>
      </c>
      <c r="C763" t="s">
        <v>1774</v>
      </c>
      <c r="G763" s="3">
        <v>2762.7336899598922</v>
      </c>
      <c r="H763" t="s">
        <v>1755</v>
      </c>
      <c r="I763" t="s">
        <v>3268</v>
      </c>
      <c r="M763" t="s">
        <v>1757</v>
      </c>
    </row>
    <row r="764" spans="1:13" x14ac:dyDescent="0.45">
      <c r="A764" t="s">
        <v>3269</v>
      </c>
      <c r="B764">
        <v>1</v>
      </c>
      <c r="C764" t="s">
        <v>1761</v>
      </c>
      <c r="D764" t="s">
        <v>3270</v>
      </c>
      <c r="E764" t="s">
        <v>3271</v>
      </c>
      <c r="F764" s="3">
        <v>189.625687222626</v>
      </c>
      <c r="G764" s="3">
        <v>191.59077939836939</v>
      </c>
      <c r="H764" t="s">
        <v>73</v>
      </c>
      <c r="I764" t="s">
        <v>3269</v>
      </c>
      <c r="J764" s="3">
        <v>9.0752448631946745</v>
      </c>
      <c r="K764" s="3">
        <v>1.0363006217803721</v>
      </c>
    </row>
    <row r="765" spans="1:13" x14ac:dyDescent="0.45">
      <c r="A765" t="s">
        <v>3272</v>
      </c>
      <c r="B765">
        <v>5</v>
      </c>
      <c r="C765" t="s">
        <v>1761</v>
      </c>
      <c r="D765" t="s">
        <v>3273</v>
      </c>
      <c r="E765" t="s">
        <v>3274</v>
      </c>
      <c r="F765" s="3">
        <v>134.00004315941311</v>
      </c>
      <c r="G765" s="3">
        <v>127.3122066343313</v>
      </c>
      <c r="H765" t="s">
        <v>73</v>
      </c>
      <c r="I765" t="s">
        <v>3272</v>
      </c>
      <c r="J765" s="3">
        <v>2.168469348963336</v>
      </c>
      <c r="K765" s="3">
        <v>4.9909211724100988</v>
      </c>
    </row>
    <row r="766" spans="1:13" x14ac:dyDescent="0.45">
      <c r="A766" t="s">
        <v>3275</v>
      </c>
      <c r="B766">
        <v>1</v>
      </c>
      <c r="C766" t="s">
        <v>1761</v>
      </c>
      <c r="D766" t="s">
        <v>3276</v>
      </c>
      <c r="E766" t="s">
        <v>3277</v>
      </c>
      <c r="F766" s="3">
        <v>135.9550244874473</v>
      </c>
      <c r="G766" s="3">
        <v>134.28053764424951</v>
      </c>
      <c r="H766" t="s">
        <v>73</v>
      </c>
      <c r="I766" t="s">
        <v>3275</v>
      </c>
      <c r="J766" s="3">
        <v>3.8582735649181932</v>
      </c>
      <c r="K766" s="3">
        <v>1.2316476345840059</v>
      </c>
    </row>
    <row r="767" spans="1:13" x14ac:dyDescent="0.45">
      <c r="A767" t="s">
        <v>3278</v>
      </c>
      <c r="B767">
        <v>1</v>
      </c>
      <c r="C767" t="s">
        <v>1761</v>
      </c>
      <c r="D767" t="s">
        <v>3279</v>
      </c>
      <c r="E767" t="s">
        <v>3280</v>
      </c>
      <c r="F767" s="3">
        <v>164.4760950932656</v>
      </c>
      <c r="G767" s="3">
        <v>169.60718722750539</v>
      </c>
      <c r="H767" t="s">
        <v>73</v>
      </c>
      <c r="I767" t="s">
        <v>3278</v>
      </c>
      <c r="J767" s="3">
        <v>1.0052760811304591</v>
      </c>
      <c r="K767" s="3">
        <v>3.1196582891454452</v>
      </c>
    </row>
    <row r="768" spans="1:13" x14ac:dyDescent="0.45">
      <c r="A768" t="s">
        <v>3281</v>
      </c>
      <c r="B768">
        <v>1</v>
      </c>
      <c r="C768" t="s">
        <v>1761</v>
      </c>
      <c r="D768" t="s">
        <v>3282</v>
      </c>
      <c r="E768" t="s">
        <v>3283</v>
      </c>
      <c r="F768" s="3">
        <v>50.621752916282581</v>
      </c>
      <c r="G768" s="3">
        <v>49.691228770656707</v>
      </c>
      <c r="H768" t="s">
        <v>73</v>
      </c>
      <c r="I768" t="s">
        <v>3281</v>
      </c>
      <c r="J768" s="3">
        <v>4.6863132325718428</v>
      </c>
      <c r="K768" s="3">
        <v>1.83819028780918</v>
      </c>
    </row>
    <row r="769" spans="1:13" x14ac:dyDescent="0.45">
      <c r="A769" t="s">
        <v>3284</v>
      </c>
      <c r="B769">
        <v>1</v>
      </c>
      <c r="C769" t="s">
        <v>1761</v>
      </c>
      <c r="D769" t="s">
        <v>3285</v>
      </c>
      <c r="E769" t="s">
        <v>3286</v>
      </c>
      <c r="F769" s="3">
        <v>326156.37771674333</v>
      </c>
      <c r="G769" s="3">
        <v>1694.225827177178</v>
      </c>
      <c r="H769" t="s">
        <v>73</v>
      </c>
      <c r="I769" t="s">
        <v>3284</v>
      </c>
      <c r="J769" s="3">
        <v>0.1129973822579903</v>
      </c>
      <c r="K769" s="3">
        <v>99.480547999999985</v>
      </c>
      <c r="M769" t="s">
        <v>1752</v>
      </c>
    </row>
    <row r="770" spans="1:13" x14ac:dyDescent="0.45">
      <c r="A770" t="s">
        <v>3287</v>
      </c>
      <c r="B770">
        <v>1</v>
      </c>
      <c r="C770" t="s">
        <v>1774</v>
      </c>
      <c r="G770" s="3">
        <v>1214.6226584360379</v>
      </c>
      <c r="H770" t="s">
        <v>1755</v>
      </c>
      <c r="I770" t="s">
        <v>3287</v>
      </c>
      <c r="M770" t="s">
        <v>1757</v>
      </c>
    </row>
    <row r="771" spans="1:13" x14ac:dyDescent="0.45">
      <c r="A771" t="s">
        <v>3288</v>
      </c>
      <c r="B771">
        <v>1</v>
      </c>
      <c r="C771" t="s">
        <v>1761</v>
      </c>
      <c r="D771" t="s">
        <v>3289</v>
      </c>
      <c r="E771" t="s">
        <v>3290</v>
      </c>
      <c r="F771" s="3">
        <v>326156.37771674333</v>
      </c>
      <c r="G771" s="3">
        <v>3044.2686136412071</v>
      </c>
      <c r="H771" t="s">
        <v>73</v>
      </c>
      <c r="I771" t="s">
        <v>3288</v>
      </c>
      <c r="J771" s="3">
        <v>6.0197247905203657E-2</v>
      </c>
      <c r="K771" s="3">
        <v>99.066623000000007</v>
      </c>
      <c r="M771" t="s">
        <v>1752</v>
      </c>
    </row>
    <row r="772" spans="1:13" x14ac:dyDescent="0.45">
      <c r="A772" t="s">
        <v>3291</v>
      </c>
      <c r="B772">
        <v>2</v>
      </c>
      <c r="C772" t="s">
        <v>1761</v>
      </c>
      <c r="D772" t="s">
        <v>3292</v>
      </c>
      <c r="E772" t="s">
        <v>3293</v>
      </c>
      <c r="F772" s="3">
        <v>151.9833273575812</v>
      </c>
      <c r="G772" s="3">
        <v>152.0619310446109</v>
      </c>
      <c r="H772" t="s">
        <v>73</v>
      </c>
      <c r="I772" t="s">
        <v>3291</v>
      </c>
      <c r="J772" s="3">
        <v>4.2892114426283854</v>
      </c>
      <c r="K772" s="3">
        <v>5.1718624928371038E-2</v>
      </c>
    </row>
    <row r="773" spans="1:13" x14ac:dyDescent="0.45">
      <c r="A773" t="s">
        <v>3294</v>
      </c>
      <c r="B773">
        <v>1</v>
      </c>
      <c r="C773" t="s">
        <v>1761</v>
      </c>
      <c r="D773" t="s">
        <v>3295</v>
      </c>
      <c r="E773" t="s">
        <v>3296</v>
      </c>
      <c r="F773" s="3">
        <v>876.76444219957341</v>
      </c>
      <c r="G773" s="3">
        <v>979.27473940319044</v>
      </c>
      <c r="H773" t="s">
        <v>73</v>
      </c>
      <c r="I773" t="s">
        <v>3294</v>
      </c>
      <c r="J773" s="3">
        <v>0.35748145262828951</v>
      </c>
      <c r="K773" s="3">
        <v>11.69188578707017</v>
      </c>
    </row>
    <row r="774" spans="1:13" x14ac:dyDescent="0.45">
      <c r="A774" t="s">
        <v>3297</v>
      </c>
      <c r="B774">
        <v>1</v>
      </c>
      <c r="C774" t="s">
        <v>1761</v>
      </c>
      <c r="D774" t="s">
        <v>3298</v>
      </c>
      <c r="E774" t="s">
        <v>3299</v>
      </c>
      <c r="F774" s="3">
        <v>170.67306626988369</v>
      </c>
      <c r="G774" s="3">
        <v>179.06115599200291</v>
      </c>
      <c r="H774" t="s">
        <v>73</v>
      </c>
      <c r="I774" t="s">
        <v>3297</v>
      </c>
      <c r="J774" s="3">
        <v>1.5171822790267919</v>
      </c>
      <c r="K774" s="3">
        <v>4.9147120312792536</v>
      </c>
    </row>
    <row r="775" spans="1:13" x14ac:dyDescent="0.45">
      <c r="A775" t="s">
        <v>3300</v>
      </c>
      <c r="B775">
        <v>1</v>
      </c>
      <c r="C775" t="s">
        <v>1761</v>
      </c>
      <c r="D775" t="s">
        <v>3301</v>
      </c>
      <c r="E775" t="s">
        <v>3302</v>
      </c>
      <c r="F775" s="3">
        <v>120.8435471950751</v>
      </c>
      <c r="G775" s="3">
        <v>122.0901168707085</v>
      </c>
      <c r="H775" t="s">
        <v>73</v>
      </c>
      <c r="I775" t="s">
        <v>3300</v>
      </c>
      <c r="J775" s="3">
        <v>2.5106619490584001</v>
      </c>
      <c r="K775" s="3">
        <v>1.0315566735401049</v>
      </c>
    </row>
    <row r="776" spans="1:13" x14ac:dyDescent="0.45">
      <c r="A776" t="s">
        <v>3303</v>
      </c>
      <c r="B776">
        <v>1</v>
      </c>
      <c r="C776" t="s">
        <v>1761</v>
      </c>
      <c r="D776" t="s">
        <v>3304</v>
      </c>
      <c r="E776" t="s">
        <v>3305</v>
      </c>
      <c r="F776" s="3">
        <v>179.30544711891281</v>
      </c>
      <c r="G776" s="3">
        <v>181.39056484165599</v>
      </c>
      <c r="H776" t="s">
        <v>73</v>
      </c>
      <c r="I776" t="s">
        <v>3303</v>
      </c>
      <c r="J776" s="3">
        <v>3.2181384784118299</v>
      </c>
      <c r="K776" s="3">
        <v>1.1628858778396951</v>
      </c>
    </row>
    <row r="777" spans="1:13" x14ac:dyDescent="0.45">
      <c r="A777" t="s">
        <v>3306</v>
      </c>
      <c r="B777">
        <v>2</v>
      </c>
      <c r="C777" t="s">
        <v>1761</v>
      </c>
      <c r="D777" t="s">
        <v>3307</v>
      </c>
      <c r="E777" t="s">
        <v>3308</v>
      </c>
      <c r="F777" s="3">
        <v>148.0508599114504</v>
      </c>
      <c r="G777" s="3">
        <v>148.7863425432017</v>
      </c>
      <c r="H777" t="s">
        <v>73</v>
      </c>
      <c r="I777" t="s">
        <v>3306</v>
      </c>
      <c r="J777" s="3">
        <v>2.9455400968580152</v>
      </c>
      <c r="K777" s="3">
        <v>0.49677700770609462</v>
      </c>
    </row>
    <row r="778" spans="1:13" x14ac:dyDescent="0.45">
      <c r="A778" t="s">
        <v>3309</v>
      </c>
      <c r="B778">
        <v>1</v>
      </c>
      <c r="C778" t="s">
        <v>1761</v>
      </c>
      <c r="D778" t="s">
        <v>3310</v>
      </c>
      <c r="E778" t="s">
        <v>3311</v>
      </c>
      <c r="F778" s="3">
        <v>384.61827764058103</v>
      </c>
      <c r="G778" s="3">
        <v>374.47970663925611</v>
      </c>
      <c r="H778" t="s">
        <v>73</v>
      </c>
      <c r="I778" t="s">
        <v>3309</v>
      </c>
      <c r="J778" s="3">
        <v>0.33819371967469403</v>
      </c>
      <c r="K778" s="3">
        <v>2.6360086326420649</v>
      </c>
    </row>
    <row r="779" spans="1:13" x14ac:dyDescent="0.45">
      <c r="A779" t="s">
        <v>3312</v>
      </c>
      <c r="B779">
        <v>2</v>
      </c>
      <c r="C779" t="s">
        <v>1761</v>
      </c>
      <c r="D779" t="s">
        <v>3313</v>
      </c>
      <c r="E779" t="s">
        <v>3314</v>
      </c>
      <c r="F779" s="3">
        <v>160.98524338256331</v>
      </c>
      <c r="G779" s="3">
        <v>160.3583708245917</v>
      </c>
      <c r="H779" t="s">
        <v>73</v>
      </c>
      <c r="I779" t="s">
        <v>3312</v>
      </c>
      <c r="J779" s="3">
        <v>2.7336467892313521</v>
      </c>
      <c r="K779" s="3">
        <v>0.38939752787271792</v>
      </c>
    </row>
    <row r="780" spans="1:13" x14ac:dyDescent="0.45">
      <c r="A780" t="s">
        <v>3315</v>
      </c>
      <c r="B780">
        <v>2</v>
      </c>
      <c r="C780" t="s">
        <v>1761</v>
      </c>
      <c r="D780" t="s">
        <v>3316</v>
      </c>
      <c r="E780" t="s">
        <v>3317</v>
      </c>
      <c r="F780" s="3">
        <v>31.789157510540111</v>
      </c>
      <c r="G780" s="3">
        <v>32.633576372448751</v>
      </c>
      <c r="H780" t="s">
        <v>73</v>
      </c>
      <c r="I780" t="s">
        <v>3315</v>
      </c>
      <c r="J780" s="3">
        <v>13.1939366653733</v>
      </c>
      <c r="K780" s="3">
        <v>2.6563109186793219</v>
      </c>
    </row>
    <row r="781" spans="1:13" x14ac:dyDescent="0.45">
      <c r="A781" t="s">
        <v>3318</v>
      </c>
      <c r="B781">
        <v>1</v>
      </c>
      <c r="C781" t="s">
        <v>1761</v>
      </c>
      <c r="D781" t="s">
        <v>3319</v>
      </c>
      <c r="E781" t="s">
        <v>3320</v>
      </c>
      <c r="F781" s="3">
        <v>132.58387216736699</v>
      </c>
      <c r="G781" s="3">
        <v>133.4397065024958</v>
      </c>
      <c r="H781" t="s">
        <v>73</v>
      </c>
      <c r="I781" t="s">
        <v>3318</v>
      </c>
      <c r="J781" s="3">
        <v>1.564199245399247</v>
      </c>
      <c r="K781" s="3">
        <v>0.64550410328065544</v>
      </c>
    </row>
    <row r="782" spans="1:13" x14ac:dyDescent="0.45">
      <c r="A782" t="s">
        <v>3321</v>
      </c>
      <c r="B782">
        <v>1</v>
      </c>
      <c r="C782" t="s">
        <v>1761</v>
      </c>
      <c r="D782" t="s">
        <v>3322</v>
      </c>
      <c r="E782" t="s">
        <v>3323</v>
      </c>
      <c r="F782" s="3">
        <v>162.8338977314618</v>
      </c>
      <c r="G782" s="3">
        <v>179.26239447705419</v>
      </c>
      <c r="H782" t="s">
        <v>73</v>
      </c>
      <c r="I782" t="s">
        <v>3321</v>
      </c>
      <c r="J782" s="3">
        <v>3.839621656180991</v>
      </c>
      <c r="K782" s="3">
        <v>10.08911349201103</v>
      </c>
    </row>
    <row r="783" spans="1:13" x14ac:dyDescent="0.45">
      <c r="A783" t="s">
        <v>3324</v>
      </c>
      <c r="B783">
        <v>1</v>
      </c>
      <c r="C783" t="s">
        <v>1774</v>
      </c>
      <c r="G783" s="3">
        <v>642.04535266296364</v>
      </c>
      <c r="H783" t="s">
        <v>1755</v>
      </c>
      <c r="I783" t="s">
        <v>3324</v>
      </c>
      <c r="M783" t="s">
        <v>1757</v>
      </c>
    </row>
    <row r="784" spans="1:13" x14ac:dyDescent="0.45">
      <c r="A784" t="s">
        <v>3325</v>
      </c>
      <c r="B784">
        <v>1</v>
      </c>
      <c r="C784" t="s">
        <v>1761</v>
      </c>
      <c r="D784" t="s">
        <v>3326</v>
      </c>
      <c r="E784" t="s">
        <v>3327</v>
      </c>
      <c r="F784" s="3">
        <v>59.485052480735078</v>
      </c>
      <c r="G784" s="3">
        <v>59.590074834359868</v>
      </c>
      <c r="H784" t="s">
        <v>73</v>
      </c>
      <c r="I784" t="s">
        <v>3325</v>
      </c>
      <c r="J784" s="3">
        <v>2.76780689875548</v>
      </c>
      <c r="K784" s="3">
        <v>0.1765525106644272</v>
      </c>
    </row>
    <row r="785" spans="1:13" x14ac:dyDescent="0.45">
      <c r="A785" t="s">
        <v>3328</v>
      </c>
      <c r="B785">
        <v>1</v>
      </c>
      <c r="C785" t="s">
        <v>1761</v>
      </c>
      <c r="D785" t="s">
        <v>3329</v>
      </c>
      <c r="E785" t="s">
        <v>3330</v>
      </c>
      <c r="F785" s="3">
        <v>148.38777944963181</v>
      </c>
      <c r="G785" s="3">
        <v>164.011648411397</v>
      </c>
      <c r="H785" t="s">
        <v>73</v>
      </c>
      <c r="I785" t="s">
        <v>3328</v>
      </c>
      <c r="J785" s="3">
        <v>1.5910443104841601</v>
      </c>
      <c r="K785" s="3">
        <v>10.52908064243152</v>
      </c>
    </row>
    <row r="786" spans="1:13" x14ac:dyDescent="0.45">
      <c r="A786" t="s">
        <v>3331</v>
      </c>
      <c r="B786">
        <v>1</v>
      </c>
      <c r="C786" t="s">
        <v>1774</v>
      </c>
      <c r="G786" s="3">
        <v>945.29576797266009</v>
      </c>
      <c r="H786" t="s">
        <v>1755</v>
      </c>
      <c r="I786" t="s">
        <v>3331</v>
      </c>
      <c r="M786" t="s">
        <v>1757</v>
      </c>
    </row>
    <row r="787" spans="1:13" x14ac:dyDescent="0.45">
      <c r="A787" t="s">
        <v>3332</v>
      </c>
      <c r="B787">
        <v>3</v>
      </c>
      <c r="C787" t="s">
        <v>1761</v>
      </c>
      <c r="D787" t="s">
        <v>3333</v>
      </c>
      <c r="E787" t="s">
        <v>3334</v>
      </c>
      <c r="F787" s="3">
        <v>143.11383082195209</v>
      </c>
      <c r="G787" s="3">
        <v>142.92629090476501</v>
      </c>
      <c r="H787" t="s">
        <v>73</v>
      </c>
      <c r="I787" t="s">
        <v>3332</v>
      </c>
      <c r="J787" s="3">
        <v>5.5229477921321539</v>
      </c>
      <c r="K787" s="3">
        <v>0.13104248283344511</v>
      </c>
    </row>
    <row r="788" spans="1:13" x14ac:dyDescent="0.45">
      <c r="A788" t="s">
        <v>3335</v>
      </c>
      <c r="B788">
        <v>1</v>
      </c>
      <c r="C788" t="s">
        <v>1761</v>
      </c>
      <c r="D788" t="s">
        <v>3336</v>
      </c>
      <c r="E788" t="s">
        <v>3337</v>
      </c>
      <c r="F788" s="3">
        <v>240.88344507545619</v>
      </c>
      <c r="G788" s="3">
        <v>221.56715976155979</v>
      </c>
      <c r="H788" t="s">
        <v>73</v>
      </c>
      <c r="I788" t="s">
        <v>3335</v>
      </c>
      <c r="J788" s="3">
        <v>3.6491485251439189</v>
      </c>
      <c r="K788" s="3">
        <v>8.0189343472091288</v>
      </c>
    </row>
    <row r="789" spans="1:13" x14ac:dyDescent="0.45">
      <c r="A789" t="s">
        <v>3338</v>
      </c>
      <c r="B789">
        <v>3</v>
      </c>
      <c r="C789" t="s">
        <v>1761</v>
      </c>
      <c r="D789" t="s">
        <v>3339</v>
      </c>
      <c r="E789" t="s">
        <v>3340</v>
      </c>
      <c r="F789" s="3">
        <v>458.08467556489973</v>
      </c>
      <c r="G789" s="3">
        <v>455.35018049412253</v>
      </c>
      <c r="H789" t="s">
        <v>73</v>
      </c>
      <c r="I789" t="s">
        <v>3338</v>
      </c>
      <c r="J789" s="3">
        <v>0.4908536557267062</v>
      </c>
      <c r="K789" s="3">
        <v>0.59694096236794691</v>
      </c>
    </row>
    <row r="790" spans="1:13" x14ac:dyDescent="0.45">
      <c r="A790" t="s">
        <v>3341</v>
      </c>
      <c r="B790">
        <v>2</v>
      </c>
      <c r="C790" t="s">
        <v>1761</v>
      </c>
      <c r="D790" t="s">
        <v>3342</v>
      </c>
      <c r="E790" t="s">
        <v>3343</v>
      </c>
      <c r="F790" s="3">
        <v>138.08482563393761</v>
      </c>
      <c r="G790" s="3">
        <v>128.44331695225301</v>
      </c>
      <c r="H790" t="s">
        <v>73</v>
      </c>
      <c r="I790" t="s">
        <v>3341</v>
      </c>
      <c r="J790" s="3">
        <v>1.644984403181726</v>
      </c>
      <c r="K790" s="3">
        <v>6.9823086189385313</v>
      </c>
    </row>
    <row r="791" spans="1:13" x14ac:dyDescent="0.45">
      <c r="A791" t="s">
        <v>3344</v>
      </c>
      <c r="B791">
        <v>1</v>
      </c>
      <c r="C791" t="s">
        <v>1761</v>
      </c>
      <c r="D791" t="s">
        <v>3345</v>
      </c>
      <c r="E791" t="s">
        <v>3346</v>
      </c>
      <c r="F791" s="3">
        <v>167.86225060672089</v>
      </c>
      <c r="G791" s="3">
        <v>162.44642395473431</v>
      </c>
      <c r="H791" t="s">
        <v>73</v>
      </c>
      <c r="I791" t="s">
        <v>3344</v>
      </c>
      <c r="J791" s="3">
        <v>0.75772632513028693</v>
      </c>
      <c r="K791" s="3">
        <v>3.2263517452027308</v>
      </c>
    </row>
    <row r="792" spans="1:13" x14ac:dyDescent="0.45">
      <c r="A792" t="s">
        <v>3347</v>
      </c>
      <c r="B792">
        <v>1</v>
      </c>
      <c r="C792" t="s">
        <v>1761</v>
      </c>
      <c r="D792" t="s">
        <v>3348</v>
      </c>
      <c r="E792" t="s">
        <v>3349</v>
      </c>
      <c r="F792" s="3">
        <v>178.32502104749631</v>
      </c>
      <c r="G792" s="3">
        <v>180.32664273754389</v>
      </c>
      <c r="H792" t="s">
        <v>73</v>
      </c>
      <c r="I792" t="s">
        <v>3347</v>
      </c>
      <c r="J792" s="3">
        <v>2.5531253435603869</v>
      </c>
      <c r="K792" s="3">
        <v>1.1224570047938101</v>
      </c>
    </row>
    <row r="793" spans="1:13" x14ac:dyDescent="0.45">
      <c r="A793" t="s">
        <v>3350</v>
      </c>
      <c r="B793">
        <v>1</v>
      </c>
      <c r="C793" t="s">
        <v>1774</v>
      </c>
      <c r="G793" s="3">
        <v>384.23504389676378</v>
      </c>
      <c r="H793" t="s">
        <v>1755</v>
      </c>
      <c r="I793" t="s">
        <v>3350</v>
      </c>
      <c r="M793" t="s">
        <v>1757</v>
      </c>
    </row>
    <row r="794" spans="1:13" x14ac:dyDescent="0.45">
      <c r="A794" t="s">
        <v>3351</v>
      </c>
      <c r="B794">
        <v>3</v>
      </c>
      <c r="C794" t="s">
        <v>1761</v>
      </c>
      <c r="D794" t="s">
        <v>3352</v>
      </c>
      <c r="E794" t="s">
        <v>3353</v>
      </c>
      <c r="F794" s="3">
        <v>138.90804433129469</v>
      </c>
      <c r="G794" s="3">
        <v>142.3525818363612</v>
      </c>
      <c r="H794" t="s">
        <v>73</v>
      </c>
      <c r="I794" t="s">
        <v>3351</v>
      </c>
      <c r="J794" s="3">
        <v>5.1438452757943383</v>
      </c>
      <c r="K794" s="3">
        <v>2.4797250019958041</v>
      </c>
    </row>
    <row r="795" spans="1:13" x14ac:dyDescent="0.45">
      <c r="A795" t="s">
        <v>3354</v>
      </c>
      <c r="B795">
        <v>1</v>
      </c>
      <c r="C795" t="s">
        <v>1761</v>
      </c>
      <c r="D795" t="s">
        <v>3355</v>
      </c>
      <c r="E795" t="s">
        <v>3356</v>
      </c>
      <c r="F795" s="3">
        <v>134.8310896098354</v>
      </c>
      <c r="G795" s="3">
        <v>146.86593379120549</v>
      </c>
      <c r="H795" t="s">
        <v>73</v>
      </c>
      <c r="I795" t="s">
        <v>3354</v>
      </c>
      <c r="J795" s="3">
        <v>2.0143665718250099</v>
      </c>
      <c r="K795" s="3">
        <v>8.9258673323754127</v>
      </c>
    </row>
    <row r="796" spans="1:13" x14ac:dyDescent="0.45">
      <c r="A796" t="s">
        <v>3357</v>
      </c>
      <c r="B796">
        <v>1</v>
      </c>
      <c r="C796" t="s">
        <v>1761</v>
      </c>
      <c r="D796" t="s">
        <v>3358</v>
      </c>
      <c r="E796" t="s">
        <v>3359</v>
      </c>
      <c r="F796" s="3">
        <v>30.24741631307306</v>
      </c>
      <c r="G796" s="3">
        <v>30.888476673475321</v>
      </c>
      <c r="H796" t="s">
        <v>73</v>
      </c>
      <c r="I796" t="s">
        <v>3357</v>
      </c>
      <c r="J796" s="3">
        <v>20.25364586093772</v>
      </c>
      <c r="K796" s="3">
        <v>2.1193888223940331</v>
      </c>
    </row>
    <row r="797" spans="1:13" x14ac:dyDescent="0.45">
      <c r="A797" t="s">
        <v>3360</v>
      </c>
      <c r="B797">
        <v>1</v>
      </c>
      <c r="C797" t="s">
        <v>1761</v>
      </c>
      <c r="D797" t="s">
        <v>3361</v>
      </c>
      <c r="E797" t="s">
        <v>3362</v>
      </c>
      <c r="F797" s="3">
        <v>739.5837220446665</v>
      </c>
      <c r="G797" s="3">
        <v>619.39705379431291</v>
      </c>
      <c r="H797" t="s">
        <v>73</v>
      </c>
      <c r="I797" t="s">
        <v>3360</v>
      </c>
      <c r="J797" s="3">
        <v>0.13906393495476191</v>
      </c>
      <c r="K797" s="3">
        <v>16.250583222421849</v>
      </c>
    </row>
    <row r="798" spans="1:13" x14ac:dyDescent="0.45">
      <c r="A798" t="s">
        <v>3363</v>
      </c>
      <c r="B798">
        <v>1</v>
      </c>
      <c r="C798" t="s">
        <v>1761</v>
      </c>
      <c r="D798" t="s">
        <v>3364</v>
      </c>
      <c r="E798" t="s">
        <v>3365</v>
      </c>
      <c r="F798" s="3">
        <v>98.65578113176052</v>
      </c>
      <c r="G798" s="3">
        <v>101.08858155314969</v>
      </c>
      <c r="H798" t="s">
        <v>73</v>
      </c>
      <c r="I798" t="s">
        <v>3363</v>
      </c>
      <c r="J798" s="3">
        <v>1.3014884854480151</v>
      </c>
      <c r="K798" s="3">
        <v>2.4659481618619381</v>
      </c>
    </row>
    <row r="799" spans="1:13" x14ac:dyDescent="0.45">
      <c r="A799" t="s">
        <v>3366</v>
      </c>
      <c r="B799">
        <v>1</v>
      </c>
      <c r="C799" t="s">
        <v>1761</v>
      </c>
      <c r="D799" t="s">
        <v>3367</v>
      </c>
      <c r="E799" t="s">
        <v>3368</v>
      </c>
      <c r="F799" s="3">
        <v>184.7910712357307</v>
      </c>
      <c r="G799" s="3">
        <v>184.05982863688979</v>
      </c>
      <c r="H799" t="s">
        <v>73</v>
      </c>
      <c r="I799" t="s">
        <v>3366</v>
      </c>
      <c r="J799" s="3">
        <v>1.598258426864108</v>
      </c>
      <c r="K799" s="3">
        <v>0.39571316619953562</v>
      </c>
    </row>
    <row r="800" spans="1:13" x14ac:dyDescent="0.45">
      <c r="A800" t="s">
        <v>3369</v>
      </c>
      <c r="B800">
        <v>1</v>
      </c>
      <c r="C800" t="s">
        <v>1761</v>
      </c>
      <c r="D800" t="s">
        <v>3370</v>
      </c>
      <c r="E800" t="s">
        <v>3371</v>
      </c>
      <c r="F800" s="3">
        <v>147.24884137864501</v>
      </c>
      <c r="G800" s="3">
        <v>144.0039115767411</v>
      </c>
      <c r="H800" t="s">
        <v>73</v>
      </c>
      <c r="I800" t="s">
        <v>3369</v>
      </c>
      <c r="J800" s="3">
        <v>2.3982936122321918</v>
      </c>
      <c r="K800" s="3">
        <v>2.2037048112043651</v>
      </c>
    </row>
    <row r="801" spans="1:13" x14ac:dyDescent="0.45">
      <c r="A801" t="s">
        <v>3372</v>
      </c>
      <c r="B801">
        <v>1</v>
      </c>
      <c r="C801" t="s">
        <v>1761</v>
      </c>
      <c r="D801" t="s">
        <v>3373</v>
      </c>
      <c r="E801" t="s">
        <v>3374</v>
      </c>
      <c r="F801" s="3">
        <v>372.32479145168151</v>
      </c>
      <c r="G801" s="3">
        <v>359.10795655746591</v>
      </c>
      <c r="H801" t="s">
        <v>73</v>
      </c>
      <c r="I801" t="s">
        <v>3372</v>
      </c>
      <c r="J801" s="3">
        <v>1.4775275223050821</v>
      </c>
      <c r="K801" s="3">
        <v>3.5498132806799179</v>
      </c>
    </row>
    <row r="802" spans="1:13" x14ac:dyDescent="0.45">
      <c r="A802" t="s">
        <v>3375</v>
      </c>
      <c r="B802">
        <v>1</v>
      </c>
      <c r="C802" t="s">
        <v>1761</v>
      </c>
      <c r="D802" t="s">
        <v>3376</v>
      </c>
      <c r="E802" t="s">
        <v>3377</v>
      </c>
      <c r="F802" s="3">
        <v>99.528901754908247</v>
      </c>
      <c r="G802" s="3">
        <v>101.9913824066697</v>
      </c>
      <c r="H802" t="s">
        <v>73</v>
      </c>
      <c r="I802" t="s">
        <v>3375</v>
      </c>
      <c r="J802" s="3">
        <v>4.5746350962350206</v>
      </c>
      <c r="K802" s="3">
        <v>2.47413626428364</v>
      </c>
    </row>
    <row r="803" spans="1:13" x14ac:dyDescent="0.45">
      <c r="A803" t="s">
        <v>3378</v>
      </c>
      <c r="B803">
        <v>2</v>
      </c>
      <c r="C803" t="s">
        <v>1761</v>
      </c>
      <c r="D803" t="s">
        <v>3379</v>
      </c>
      <c r="E803" t="s">
        <v>3380</v>
      </c>
      <c r="F803" s="3">
        <v>172.29602040540229</v>
      </c>
      <c r="G803" s="3">
        <v>181.29956721227299</v>
      </c>
      <c r="H803" t="s">
        <v>73</v>
      </c>
      <c r="I803" t="s">
        <v>3378</v>
      </c>
      <c r="J803" s="3">
        <v>1.331198333773131</v>
      </c>
      <c r="K803" s="3">
        <v>5.2256266776713094</v>
      </c>
    </row>
    <row r="804" spans="1:13" x14ac:dyDescent="0.45">
      <c r="A804" t="s">
        <v>3381</v>
      </c>
      <c r="B804">
        <v>1</v>
      </c>
      <c r="C804" t="s">
        <v>1761</v>
      </c>
      <c r="D804" t="s">
        <v>3382</v>
      </c>
      <c r="E804" t="s">
        <v>3383</v>
      </c>
      <c r="F804" s="3">
        <v>86.17084114914131</v>
      </c>
      <c r="G804" s="3">
        <v>85.321529941566908</v>
      </c>
      <c r="H804" t="s">
        <v>73</v>
      </c>
      <c r="I804" t="s">
        <v>3381</v>
      </c>
      <c r="J804" s="3">
        <v>6.1745310193389598</v>
      </c>
      <c r="K804" s="3">
        <v>0.98561322629361969</v>
      </c>
    </row>
    <row r="805" spans="1:13" x14ac:dyDescent="0.45">
      <c r="A805" t="s">
        <v>3384</v>
      </c>
      <c r="B805">
        <v>1</v>
      </c>
      <c r="C805" t="s">
        <v>1761</v>
      </c>
      <c r="D805" t="s">
        <v>3385</v>
      </c>
      <c r="E805" t="s">
        <v>3386</v>
      </c>
      <c r="F805" s="3">
        <v>186.26855962678749</v>
      </c>
      <c r="G805" s="3">
        <v>189.4459750585041</v>
      </c>
      <c r="H805" t="s">
        <v>73</v>
      </c>
      <c r="I805" t="s">
        <v>3384</v>
      </c>
      <c r="J805" s="3">
        <v>4.0291136450035507</v>
      </c>
      <c r="K805" s="3">
        <v>1.7058248789183079</v>
      </c>
    </row>
    <row r="806" spans="1:13" x14ac:dyDescent="0.45">
      <c r="A806" t="s">
        <v>3387</v>
      </c>
      <c r="B806">
        <v>1</v>
      </c>
      <c r="C806" t="s">
        <v>1774</v>
      </c>
      <c r="G806" s="3">
        <v>210.69604153588301</v>
      </c>
      <c r="H806" t="s">
        <v>1755</v>
      </c>
      <c r="I806" t="s">
        <v>3387</v>
      </c>
      <c r="M806" t="s">
        <v>1757</v>
      </c>
    </row>
    <row r="807" spans="1:13" x14ac:dyDescent="0.45">
      <c r="A807" t="s">
        <v>3388</v>
      </c>
      <c r="B807">
        <v>1</v>
      </c>
      <c r="C807" t="s">
        <v>1761</v>
      </c>
      <c r="D807" t="s">
        <v>3389</v>
      </c>
      <c r="E807" t="s">
        <v>3390</v>
      </c>
      <c r="F807" s="3">
        <v>385.07261347474042</v>
      </c>
      <c r="G807" s="3">
        <v>427.91390600059009</v>
      </c>
      <c r="H807" t="s">
        <v>73</v>
      </c>
      <c r="I807" t="s">
        <v>3388</v>
      </c>
      <c r="J807" s="3">
        <v>0.4250060206848994</v>
      </c>
      <c r="K807" s="3">
        <v>11.12551010555311</v>
      </c>
    </row>
    <row r="808" spans="1:13" x14ac:dyDescent="0.45">
      <c r="A808" t="s">
        <v>3391</v>
      </c>
      <c r="B808">
        <v>1</v>
      </c>
      <c r="C808" t="s">
        <v>1761</v>
      </c>
      <c r="D808" t="s">
        <v>3392</v>
      </c>
      <c r="E808" t="s">
        <v>3393</v>
      </c>
      <c r="F808" s="3">
        <v>164.06252880632081</v>
      </c>
      <c r="G808" s="3">
        <v>189.63971194686781</v>
      </c>
      <c r="H808" t="s">
        <v>73</v>
      </c>
      <c r="I808" t="s">
        <v>3391</v>
      </c>
      <c r="J808" s="3">
        <v>1.557988897591609</v>
      </c>
      <c r="K808" s="3">
        <v>15.58989936741826</v>
      </c>
    </row>
    <row r="809" spans="1:13" x14ac:dyDescent="0.45">
      <c r="A809" t="s">
        <v>3394</v>
      </c>
      <c r="B809">
        <v>3</v>
      </c>
      <c r="C809" t="s">
        <v>1761</v>
      </c>
      <c r="D809" t="s">
        <v>3395</v>
      </c>
      <c r="E809" t="s">
        <v>3396</v>
      </c>
      <c r="F809" s="3">
        <v>125.7835116919729</v>
      </c>
      <c r="G809" s="3">
        <v>125.3983210098895</v>
      </c>
      <c r="H809" t="s">
        <v>73</v>
      </c>
      <c r="I809" t="s">
        <v>3394</v>
      </c>
      <c r="J809" s="3">
        <v>2.279053287668467</v>
      </c>
      <c r="K809" s="3">
        <v>0.30623304827643</v>
      </c>
    </row>
    <row r="810" spans="1:13" x14ac:dyDescent="0.45">
      <c r="A810" t="s">
        <v>3397</v>
      </c>
      <c r="B810">
        <v>4</v>
      </c>
      <c r="C810" t="s">
        <v>1761</v>
      </c>
      <c r="D810" t="s">
        <v>3398</v>
      </c>
      <c r="E810" t="s">
        <v>3399</v>
      </c>
      <c r="F810" s="3">
        <v>149.47583712569491</v>
      </c>
      <c r="G810" s="3">
        <v>154.23902486587019</v>
      </c>
      <c r="H810" t="s">
        <v>73</v>
      </c>
      <c r="I810" t="s">
        <v>3397</v>
      </c>
      <c r="J810" s="3">
        <v>3.1547466348200222</v>
      </c>
      <c r="K810" s="3">
        <v>3.1865937878440742</v>
      </c>
    </row>
    <row r="811" spans="1:13" x14ac:dyDescent="0.45">
      <c r="A811" t="s">
        <v>3400</v>
      </c>
      <c r="B811">
        <v>1</v>
      </c>
      <c r="C811" t="s">
        <v>1761</v>
      </c>
      <c r="D811" t="s">
        <v>3401</v>
      </c>
      <c r="E811" t="s">
        <v>3402</v>
      </c>
      <c r="F811" s="3">
        <v>393.43363221750923</v>
      </c>
      <c r="G811" s="3">
        <v>398.28586064880108</v>
      </c>
      <c r="H811" t="s">
        <v>73</v>
      </c>
      <c r="I811" t="s">
        <v>3400</v>
      </c>
      <c r="J811" s="3">
        <v>1.617606967282057</v>
      </c>
      <c r="K811" s="3">
        <v>1.233302909042969</v>
      </c>
    </row>
    <row r="812" spans="1:13" x14ac:dyDescent="0.45">
      <c r="A812" t="s">
        <v>3403</v>
      </c>
      <c r="B812">
        <v>1</v>
      </c>
      <c r="C812" t="s">
        <v>1761</v>
      </c>
      <c r="D812" t="s">
        <v>3404</v>
      </c>
      <c r="E812" t="s">
        <v>3405</v>
      </c>
      <c r="F812" s="3">
        <v>118.6886320075006</v>
      </c>
      <c r="G812" s="3">
        <v>124.1957824452478</v>
      </c>
      <c r="H812" t="s">
        <v>73</v>
      </c>
      <c r="I812" t="s">
        <v>3403</v>
      </c>
      <c r="J812" s="3">
        <v>1.530345792784922</v>
      </c>
      <c r="K812" s="3">
        <v>4.6399982412799217</v>
      </c>
    </row>
    <row r="813" spans="1:13" x14ac:dyDescent="0.45">
      <c r="A813" t="s">
        <v>3406</v>
      </c>
      <c r="B813">
        <v>1</v>
      </c>
      <c r="C813" t="s">
        <v>1761</v>
      </c>
      <c r="D813" t="s">
        <v>3407</v>
      </c>
      <c r="E813" t="s">
        <v>3408</v>
      </c>
      <c r="F813" s="3">
        <v>161.7840003515916</v>
      </c>
      <c r="G813" s="3">
        <v>147.74525138552991</v>
      </c>
      <c r="H813" t="s">
        <v>73</v>
      </c>
      <c r="I813" t="s">
        <v>3406</v>
      </c>
      <c r="J813" s="3">
        <v>4.5574308823449101</v>
      </c>
      <c r="K813" s="3">
        <v>8.6774643571382448</v>
      </c>
    </row>
    <row r="814" spans="1:13" x14ac:dyDescent="0.45">
      <c r="A814" t="s">
        <v>3409</v>
      </c>
      <c r="B814">
        <v>1</v>
      </c>
      <c r="C814" t="s">
        <v>1761</v>
      </c>
      <c r="D814" t="s">
        <v>3410</v>
      </c>
      <c r="E814" t="s">
        <v>3411</v>
      </c>
      <c r="F814" s="3">
        <v>179.60159710987961</v>
      </c>
      <c r="G814" s="3">
        <v>163.70701835460949</v>
      </c>
      <c r="H814" t="s">
        <v>73</v>
      </c>
      <c r="I814" t="s">
        <v>3409</v>
      </c>
      <c r="J814" s="3">
        <v>3.0705836246423921</v>
      </c>
      <c r="K814" s="3">
        <v>8.8499094724340388</v>
      </c>
    </row>
    <row r="815" spans="1:13" x14ac:dyDescent="0.45">
      <c r="A815" t="s">
        <v>3412</v>
      </c>
      <c r="B815">
        <v>3</v>
      </c>
      <c r="C815" t="s">
        <v>1761</v>
      </c>
      <c r="D815" t="s">
        <v>3413</v>
      </c>
      <c r="E815" t="s">
        <v>3414</v>
      </c>
      <c r="F815" s="3">
        <v>410.77634528984152</v>
      </c>
      <c r="G815" s="3">
        <v>395.87230345369721</v>
      </c>
      <c r="H815" t="s">
        <v>73</v>
      </c>
      <c r="I815" t="s">
        <v>3412</v>
      </c>
      <c r="J815" s="3">
        <v>0.52332787410271253</v>
      </c>
      <c r="K815" s="3">
        <v>3.628261950095514</v>
      </c>
    </row>
    <row r="816" spans="1:13" x14ac:dyDescent="0.45">
      <c r="A816" t="s">
        <v>3415</v>
      </c>
      <c r="B816">
        <v>1</v>
      </c>
      <c r="C816" t="s">
        <v>1774</v>
      </c>
      <c r="G816" s="3">
        <v>263.09893443087668</v>
      </c>
      <c r="H816" t="s">
        <v>1755</v>
      </c>
      <c r="I816" t="s">
        <v>3415</v>
      </c>
      <c r="M816" t="s">
        <v>1757</v>
      </c>
    </row>
    <row r="817" spans="1:11" x14ac:dyDescent="0.45">
      <c r="A817" t="s">
        <v>3416</v>
      </c>
      <c r="B817">
        <v>1</v>
      </c>
      <c r="C817" t="s">
        <v>1761</v>
      </c>
      <c r="D817" t="s">
        <v>3417</v>
      </c>
      <c r="E817" t="s">
        <v>3418</v>
      </c>
      <c r="F817" s="3">
        <v>307.1153683856399</v>
      </c>
      <c r="G817" s="3">
        <v>293.09162261295307</v>
      </c>
      <c r="H817" t="s">
        <v>73</v>
      </c>
      <c r="I817" t="s">
        <v>3416</v>
      </c>
      <c r="J817" s="3">
        <v>1.1829980014653241</v>
      </c>
      <c r="K817" s="3">
        <v>4.5662793908370691</v>
      </c>
    </row>
    <row r="818" spans="1:11" x14ac:dyDescent="0.45">
      <c r="A818" t="s">
        <v>3419</v>
      </c>
      <c r="B818">
        <v>1</v>
      </c>
      <c r="C818" t="s">
        <v>1761</v>
      </c>
      <c r="D818" t="s">
        <v>3420</v>
      </c>
      <c r="E818" t="s">
        <v>3421</v>
      </c>
      <c r="F818" s="3">
        <v>68.119390268030429</v>
      </c>
      <c r="G818" s="3">
        <v>68.339871979366947</v>
      </c>
      <c r="H818" t="s">
        <v>73</v>
      </c>
      <c r="I818" t="s">
        <v>3419</v>
      </c>
      <c r="J818" s="3">
        <v>3.0830245836179291</v>
      </c>
      <c r="K818" s="3">
        <v>0.32366953149313532</v>
      </c>
    </row>
    <row r="819" spans="1:11" x14ac:dyDescent="0.45">
      <c r="A819" t="s">
        <v>3422</v>
      </c>
      <c r="B819">
        <v>2</v>
      </c>
      <c r="C819" t="s">
        <v>1761</v>
      </c>
      <c r="D819" t="s">
        <v>3423</v>
      </c>
      <c r="E819" t="s">
        <v>3424</v>
      </c>
      <c r="F819" s="3">
        <v>329.11852993916682</v>
      </c>
      <c r="G819" s="3">
        <v>345.00495478499391</v>
      </c>
      <c r="H819" t="s">
        <v>73</v>
      </c>
      <c r="I819" t="s">
        <v>3422</v>
      </c>
      <c r="J819" s="3">
        <v>0.69639997725773528</v>
      </c>
      <c r="K819" s="3">
        <v>4.8269615353360811</v>
      </c>
    </row>
    <row r="820" spans="1:11" x14ac:dyDescent="0.45">
      <c r="A820" t="s">
        <v>3425</v>
      </c>
      <c r="B820">
        <v>6</v>
      </c>
      <c r="C820" t="s">
        <v>1761</v>
      </c>
      <c r="D820" t="s">
        <v>3426</v>
      </c>
      <c r="E820" t="s">
        <v>3427</v>
      </c>
      <c r="F820" s="3">
        <v>151.55965022292719</v>
      </c>
      <c r="G820" s="3">
        <v>150.32775758429099</v>
      </c>
      <c r="H820" t="s">
        <v>73</v>
      </c>
      <c r="I820" t="s">
        <v>3425</v>
      </c>
      <c r="J820" s="3">
        <v>2.2588343985603698</v>
      </c>
      <c r="K820" s="3">
        <v>0.81281042600994302</v>
      </c>
    </row>
    <row r="821" spans="1:11" x14ac:dyDescent="0.45">
      <c r="A821" t="s">
        <v>3428</v>
      </c>
      <c r="B821">
        <v>1</v>
      </c>
      <c r="C821" t="s">
        <v>1761</v>
      </c>
      <c r="D821" t="s">
        <v>3429</v>
      </c>
      <c r="E821" t="s">
        <v>3430</v>
      </c>
      <c r="F821" s="3">
        <v>235.83258741013469</v>
      </c>
      <c r="G821" s="3">
        <v>232.36130508209541</v>
      </c>
      <c r="H821" t="s">
        <v>73</v>
      </c>
      <c r="I821" t="s">
        <v>3428</v>
      </c>
      <c r="J821" s="3">
        <v>1.5664400969875869</v>
      </c>
      <c r="K821" s="3">
        <v>1.47192649080444</v>
      </c>
    </row>
    <row r="822" spans="1:11" x14ac:dyDescent="0.45">
      <c r="A822" t="s">
        <v>3431</v>
      </c>
      <c r="B822">
        <v>2</v>
      </c>
      <c r="C822" t="s">
        <v>1761</v>
      </c>
      <c r="D822" t="s">
        <v>3432</v>
      </c>
      <c r="E822" t="s">
        <v>3433</v>
      </c>
      <c r="F822" s="3">
        <v>221.27296670885929</v>
      </c>
      <c r="G822" s="3">
        <v>227.013318956674</v>
      </c>
      <c r="H822" t="s">
        <v>73</v>
      </c>
      <c r="I822" t="s">
        <v>3431</v>
      </c>
      <c r="J822" s="3">
        <v>1.8901953953673181</v>
      </c>
      <c r="K822" s="3">
        <v>2.5942401971622409</v>
      </c>
    </row>
    <row r="823" spans="1:11" x14ac:dyDescent="0.45">
      <c r="A823" t="s">
        <v>3434</v>
      </c>
      <c r="B823">
        <v>1</v>
      </c>
      <c r="C823" t="s">
        <v>1761</v>
      </c>
      <c r="D823" t="s">
        <v>3435</v>
      </c>
      <c r="E823" t="s">
        <v>3436</v>
      </c>
      <c r="F823" s="3">
        <v>321.02006708046008</v>
      </c>
      <c r="G823" s="3">
        <v>363.80134683280983</v>
      </c>
      <c r="H823" t="s">
        <v>73</v>
      </c>
      <c r="I823" t="s">
        <v>3434</v>
      </c>
      <c r="J823" s="3">
        <v>0.77637393285168332</v>
      </c>
      <c r="K823" s="3">
        <v>13.32666837354661</v>
      </c>
    </row>
    <row r="824" spans="1:11" x14ac:dyDescent="0.45">
      <c r="A824" t="s">
        <v>3437</v>
      </c>
      <c r="B824">
        <v>1</v>
      </c>
      <c r="C824" t="s">
        <v>1761</v>
      </c>
      <c r="D824" t="s">
        <v>3438</v>
      </c>
      <c r="E824" t="s">
        <v>3439</v>
      </c>
      <c r="F824" s="3">
        <v>702.92309287654916</v>
      </c>
      <c r="G824" s="3">
        <v>682.67465263513827</v>
      </c>
      <c r="H824" t="s">
        <v>73</v>
      </c>
      <c r="I824" t="s">
        <v>3437</v>
      </c>
      <c r="J824" s="3">
        <v>0.44808214200536439</v>
      </c>
      <c r="K824" s="3">
        <v>2.8806053530762301</v>
      </c>
    </row>
    <row r="825" spans="1:11" x14ac:dyDescent="0.45">
      <c r="A825" t="s">
        <v>3440</v>
      </c>
      <c r="B825">
        <v>1</v>
      </c>
      <c r="C825" t="s">
        <v>1761</v>
      </c>
      <c r="D825" t="s">
        <v>3441</v>
      </c>
      <c r="E825" t="s">
        <v>3442</v>
      </c>
      <c r="F825" s="3">
        <v>36.07126459358323</v>
      </c>
      <c r="G825" s="3">
        <v>36.312946469471328</v>
      </c>
      <c r="H825" t="s">
        <v>73</v>
      </c>
      <c r="I825" t="s">
        <v>3440</v>
      </c>
      <c r="J825" s="3">
        <v>9.3972011923616812</v>
      </c>
      <c r="K825" s="3">
        <v>0.67001220670011852</v>
      </c>
    </row>
    <row r="826" spans="1:11" x14ac:dyDescent="0.45">
      <c r="A826" t="s">
        <v>3443</v>
      </c>
      <c r="B826">
        <v>3</v>
      </c>
      <c r="C826" t="s">
        <v>1761</v>
      </c>
      <c r="D826" t="s">
        <v>3444</v>
      </c>
      <c r="E826" t="s">
        <v>3445</v>
      </c>
      <c r="F826" s="3">
        <v>109.81685237722751</v>
      </c>
      <c r="G826" s="3">
        <v>103.2721985019633</v>
      </c>
      <c r="H826" t="s">
        <v>73</v>
      </c>
      <c r="I826" t="s">
        <v>3443</v>
      </c>
      <c r="J826" s="3">
        <v>6.6359779538674424</v>
      </c>
      <c r="K826" s="3">
        <v>5.9596079596079674</v>
      </c>
    </row>
    <row r="827" spans="1:11" x14ac:dyDescent="0.45">
      <c r="A827" t="s">
        <v>3446</v>
      </c>
      <c r="B827">
        <v>2</v>
      </c>
      <c r="C827" t="s">
        <v>1761</v>
      </c>
      <c r="D827" t="s">
        <v>3447</v>
      </c>
      <c r="E827" t="s">
        <v>3448</v>
      </c>
      <c r="F827" s="3">
        <v>143.42857172644881</v>
      </c>
      <c r="G827" s="3">
        <v>152.5968275040664</v>
      </c>
      <c r="H827" t="s">
        <v>73</v>
      </c>
      <c r="I827" t="s">
        <v>3446</v>
      </c>
      <c r="J827" s="3">
        <v>3.9243984051715088</v>
      </c>
      <c r="K827" s="3">
        <v>6.3922101902427269</v>
      </c>
    </row>
    <row r="828" spans="1:11" x14ac:dyDescent="0.45">
      <c r="A828" t="s">
        <v>3449</v>
      </c>
      <c r="B828">
        <v>1</v>
      </c>
      <c r="C828" t="s">
        <v>1761</v>
      </c>
      <c r="D828" t="s">
        <v>3450</v>
      </c>
      <c r="E828" t="s">
        <v>3451</v>
      </c>
      <c r="F828" s="3">
        <v>56.516377130757277</v>
      </c>
      <c r="G828" s="3">
        <v>58.466792269503401</v>
      </c>
      <c r="H828" t="s">
        <v>73</v>
      </c>
      <c r="I828" t="s">
        <v>3449</v>
      </c>
      <c r="J828" s="3">
        <v>12.112472605124751</v>
      </c>
      <c r="K828" s="3">
        <v>3.451061865189283</v>
      </c>
    </row>
    <row r="829" spans="1:11" x14ac:dyDescent="0.45">
      <c r="A829" t="s">
        <v>3452</v>
      </c>
      <c r="B829">
        <v>1</v>
      </c>
      <c r="C829" t="s">
        <v>1761</v>
      </c>
      <c r="D829" t="s">
        <v>3453</v>
      </c>
      <c r="E829" t="s">
        <v>3454</v>
      </c>
      <c r="F829" s="3">
        <v>124.96420687114851</v>
      </c>
      <c r="G829" s="3">
        <v>124.1400097046583</v>
      </c>
      <c r="H829" t="s">
        <v>73</v>
      </c>
      <c r="I829" t="s">
        <v>3452</v>
      </c>
      <c r="J829" s="3">
        <v>3.469409359177964</v>
      </c>
      <c r="K829" s="3">
        <v>0.65954659108110636</v>
      </c>
    </row>
    <row r="830" spans="1:11" x14ac:dyDescent="0.45">
      <c r="A830" t="s">
        <v>3455</v>
      </c>
      <c r="B830">
        <v>2</v>
      </c>
      <c r="C830" t="s">
        <v>1761</v>
      </c>
      <c r="D830" t="s">
        <v>3456</v>
      </c>
      <c r="E830" t="s">
        <v>3457</v>
      </c>
      <c r="F830" s="3">
        <v>128.10541894493841</v>
      </c>
      <c r="G830" s="3">
        <v>138.139619905394</v>
      </c>
      <c r="H830" t="s">
        <v>73</v>
      </c>
      <c r="I830" t="s">
        <v>3455</v>
      </c>
      <c r="J830" s="3">
        <v>2.474483825294195</v>
      </c>
      <c r="K830" s="3">
        <v>7.8327685456994329</v>
      </c>
    </row>
    <row r="831" spans="1:11" x14ac:dyDescent="0.45">
      <c r="A831" t="s">
        <v>3458</v>
      </c>
      <c r="B831">
        <v>1</v>
      </c>
      <c r="C831" t="s">
        <v>1761</v>
      </c>
      <c r="D831" t="s">
        <v>3459</v>
      </c>
      <c r="E831" t="s">
        <v>3460</v>
      </c>
      <c r="F831" s="3">
        <v>295.9676695516593</v>
      </c>
      <c r="G831" s="3">
        <v>298.22075780892652</v>
      </c>
      <c r="H831" t="s">
        <v>73</v>
      </c>
      <c r="I831" t="s">
        <v>3458</v>
      </c>
      <c r="J831" s="3">
        <v>1.474003706283926</v>
      </c>
      <c r="K831" s="3">
        <v>0.76126161370270451</v>
      </c>
    </row>
    <row r="832" spans="1:11" x14ac:dyDescent="0.45">
      <c r="A832" t="s">
        <v>3461</v>
      </c>
      <c r="B832">
        <v>3</v>
      </c>
      <c r="C832" t="s">
        <v>1761</v>
      </c>
      <c r="D832" t="s">
        <v>3462</v>
      </c>
      <c r="E832" t="s">
        <v>3463</v>
      </c>
      <c r="F832" s="3">
        <v>59.735540578821542</v>
      </c>
      <c r="G832" s="3">
        <v>59.589422521604433</v>
      </c>
      <c r="H832" t="s">
        <v>73</v>
      </c>
      <c r="I832" t="s">
        <v>3461</v>
      </c>
      <c r="J832" s="3">
        <v>17.739823456739892</v>
      </c>
      <c r="K832" s="3">
        <v>0.24460824460825639</v>
      </c>
    </row>
    <row r="833" spans="1:13" x14ac:dyDescent="0.45">
      <c r="A833" t="s">
        <v>3464</v>
      </c>
      <c r="B833">
        <v>3</v>
      </c>
      <c r="C833" t="s">
        <v>1761</v>
      </c>
      <c r="D833" t="s">
        <v>3465</v>
      </c>
      <c r="E833" t="s">
        <v>3466</v>
      </c>
      <c r="F833" s="3">
        <v>84.474501828636519</v>
      </c>
      <c r="G833" s="3">
        <v>86.14801020270113</v>
      </c>
      <c r="H833" t="s">
        <v>73</v>
      </c>
      <c r="I833" t="s">
        <v>3464</v>
      </c>
      <c r="J833" s="3">
        <v>20.29411148035334</v>
      </c>
      <c r="K833" s="3">
        <v>1.981081081081087</v>
      </c>
    </row>
    <row r="834" spans="1:13" x14ac:dyDescent="0.45">
      <c r="A834" t="s">
        <v>3467</v>
      </c>
      <c r="B834">
        <v>1</v>
      </c>
      <c r="C834" t="s">
        <v>1761</v>
      </c>
      <c r="D834" t="s">
        <v>3468</v>
      </c>
      <c r="E834" t="s">
        <v>3469</v>
      </c>
      <c r="F834" s="3">
        <v>76.869187413037508</v>
      </c>
      <c r="G834" s="3">
        <v>75.863647300536769</v>
      </c>
      <c r="H834" t="s">
        <v>73</v>
      </c>
      <c r="I834" t="s">
        <v>3467</v>
      </c>
      <c r="J834" s="3">
        <v>1.5123989206936519</v>
      </c>
      <c r="K834" s="3">
        <v>1.308118566543065</v>
      </c>
    </row>
    <row r="835" spans="1:13" x14ac:dyDescent="0.45">
      <c r="A835" t="s">
        <v>3470</v>
      </c>
      <c r="B835">
        <v>5</v>
      </c>
      <c r="C835" t="s">
        <v>1761</v>
      </c>
      <c r="D835" t="s">
        <v>3471</v>
      </c>
      <c r="E835" t="s">
        <v>3472</v>
      </c>
      <c r="F835" s="3">
        <v>42.385652066179382</v>
      </c>
      <c r="G835" s="3">
        <v>42.192567490571072</v>
      </c>
      <c r="H835" t="s">
        <v>73</v>
      </c>
      <c r="I835" t="s">
        <v>3470</v>
      </c>
      <c r="J835" s="3">
        <v>1.38437613970229</v>
      </c>
      <c r="K835" s="3">
        <v>0.45554230310492538</v>
      </c>
    </row>
    <row r="836" spans="1:13" x14ac:dyDescent="0.45">
      <c r="A836" t="s">
        <v>3473</v>
      </c>
      <c r="B836">
        <v>1</v>
      </c>
      <c r="C836" t="s">
        <v>1761</v>
      </c>
      <c r="D836" t="s">
        <v>3474</v>
      </c>
      <c r="E836" t="s">
        <v>3475</v>
      </c>
      <c r="F836" s="3">
        <v>386.44116563563989</v>
      </c>
      <c r="G836" s="3">
        <v>380.27550547128249</v>
      </c>
      <c r="H836" t="s">
        <v>73</v>
      </c>
      <c r="I836" t="s">
        <v>3473</v>
      </c>
      <c r="J836" s="3">
        <v>0.72587584709221808</v>
      </c>
      <c r="K836" s="3">
        <v>1.5954977659317671</v>
      </c>
    </row>
    <row r="837" spans="1:13" x14ac:dyDescent="0.45">
      <c r="A837" t="s">
        <v>3476</v>
      </c>
      <c r="B837">
        <v>1</v>
      </c>
      <c r="C837" t="s">
        <v>1761</v>
      </c>
      <c r="D837" t="s">
        <v>3477</v>
      </c>
      <c r="E837" t="s">
        <v>3478</v>
      </c>
      <c r="F837" s="3">
        <v>107.99885672783439</v>
      </c>
      <c r="G837" s="3">
        <v>111.1811645052166</v>
      </c>
      <c r="H837" t="s">
        <v>73</v>
      </c>
      <c r="I837" t="s">
        <v>3476</v>
      </c>
      <c r="J837" s="3">
        <v>2.9250348284252352</v>
      </c>
      <c r="K837" s="3">
        <v>2.946612467761506</v>
      </c>
    </row>
    <row r="838" spans="1:13" x14ac:dyDescent="0.45">
      <c r="A838" t="s">
        <v>3479</v>
      </c>
      <c r="B838">
        <v>1</v>
      </c>
      <c r="C838" t="s">
        <v>1774</v>
      </c>
      <c r="G838" s="3">
        <v>119.67059101389241</v>
      </c>
      <c r="H838" t="s">
        <v>1755</v>
      </c>
      <c r="I838" t="s">
        <v>3479</v>
      </c>
      <c r="M838" t="s">
        <v>1757</v>
      </c>
    </row>
    <row r="839" spans="1:13" x14ac:dyDescent="0.45">
      <c r="A839" t="s">
        <v>3480</v>
      </c>
      <c r="B839">
        <v>1</v>
      </c>
      <c r="C839" t="s">
        <v>1774</v>
      </c>
      <c r="G839" s="3">
        <v>135.51927956681769</v>
      </c>
      <c r="H839" t="s">
        <v>1755</v>
      </c>
      <c r="I839" t="s">
        <v>3480</v>
      </c>
      <c r="M839" t="s">
        <v>1757</v>
      </c>
    </row>
    <row r="840" spans="1:13" x14ac:dyDescent="0.45">
      <c r="A840" t="s">
        <v>3481</v>
      </c>
      <c r="B840">
        <v>1</v>
      </c>
      <c r="C840" t="s">
        <v>1761</v>
      </c>
      <c r="D840" t="s">
        <v>3482</v>
      </c>
      <c r="E840" t="s">
        <v>3483</v>
      </c>
      <c r="F840" s="3">
        <v>143.6813429191792</v>
      </c>
      <c r="G840" s="3">
        <v>136.57048157219879</v>
      </c>
      <c r="H840" t="s">
        <v>73</v>
      </c>
      <c r="I840" t="s">
        <v>3481</v>
      </c>
      <c r="J840" s="3">
        <v>1.9606868011545531</v>
      </c>
      <c r="K840" s="3">
        <v>4.9490498922885866</v>
      </c>
    </row>
    <row r="841" spans="1:13" x14ac:dyDescent="0.45">
      <c r="A841" t="s">
        <v>3484</v>
      </c>
      <c r="B841">
        <v>1</v>
      </c>
      <c r="C841" t="s">
        <v>1761</v>
      </c>
      <c r="D841" t="s">
        <v>3485</v>
      </c>
      <c r="E841" t="s">
        <v>3486</v>
      </c>
      <c r="F841" s="3">
        <v>121.0676166265665</v>
      </c>
      <c r="G841" s="3">
        <v>120.0203284977181</v>
      </c>
      <c r="H841" t="s">
        <v>73</v>
      </c>
      <c r="I841" t="s">
        <v>3484</v>
      </c>
      <c r="J841" s="3">
        <v>4.1093902850669632</v>
      </c>
      <c r="K841" s="3">
        <v>0.86504397957946966</v>
      </c>
    </row>
    <row r="842" spans="1:13" x14ac:dyDescent="0.45">
      <c r="A842" t="s">
        <v>3487</v>
      </c>
      <c r="B842">
        <v>2</v>
      </c>
      <c r="C842" t="s">
        <v>1761</v>
      </c>
      <c r="D842" t="s">
        <v>3488</v>
      </c>
      <c r="E842" t="s">
        <v>3489</v>
      </c>
      <c r="F842" s="3">
        <v>251.85828102924691</v>
      </c>
      <c r="G842" s="3">
        <v>265.42442940399712</v>
      </c>
      <c r="H842" t="s">
        <v>73</v>
      </c>
      <c r="I842" t="s">
        <v>3487</v>
      </c>
      <c r="J842" s="3">
        <v>2.7292405711648868</v>
      </c>
      <c r="K842" s="3">
        <v>5.3864214110056716</v>
      </c>
    </row>
    <row r="843" spans="1:13" x14ac:dyDescent="0.45">
      <c r="A843" t="s">
        <v>3490</v>
      </c>
      <c r="B843">
        <v>1</v>
      </c>
      <c r="C843" t="s">
        <v>1761</v>
      </c>
      <c r="D843" t="s">
        <v>3491</v>
      </c>
      <c r="E843" t="s">
        <v>3492</v>
      </c>
      <c r="F843" s="3">
        <v>105.5862780018636</v>
      </c>
      <c r="G843" s="3">
        <v>111.5249333273301</v>
      </c>
      <c r="H843" t="s">
        <v>73</v>
      </c>
      <c r="I843" t="s">
        <v>3490</v>
      </c>
      <c r="J843" s="3">
        <v>5.6562484391486061</v>
      </c>
      <c r="K843" s="3">
        <v>5.6244574937679301</v>
      </c>
    </row>
    <row r="844" spans="1:13" x14ac:dyDescent="0.45">
      <c r="A844" t="s">
        <v>3493</v>
      </c>
      <c r="B844">
        <v>1</v>
      </c>
      <c r="C844" t="s">
        <v>1761</v>
      </c>
      <c r="D844" t="s">
        <v>3494</v>
      </c>
      <c r="E844" t="s">
        <v>3495</v>
      </c>
      <c r="F844" s="3">
        <v>76.652619578233583</v>
      </c>
      <c r="G844" s="3">
        <v>79.372763768391223</v>
      </c>
      <c r="H844" t="s">
        <v>73</v>
      </c>
      <c r="I844" t="s">
        <v>3493</v>
      </c>
      <c r="J844" s="3">
        <v>5.0206137867991751</v>
      </c>
      <c r="K844" s="3">
        <v>3.5486643576236698</v>
      </c>
    </row>
    <row r="845" spans="1:13" x14ac:dyDescent="0.45">
      <c r="A845" t="s">
        <v>3496</v>
      </c>
      <c r="B845">
        <v>1</v>
      </c>
      <c r="C845" t="s">
        <v>1761</v>
      </c>
      <c r="D845" t="s">
        <v>3497</v>
      </c>
      <c r="E845" t="s">
        <v>3498</v>
      </c>
      <c r="F845" s="3">
        <v>71.935746043694039</v>
      </c>
      <c r="G845" s="3">
        <v>71.805935805362779</v>
      </c>
      <c r="H845" t="s">
        <v>73</v>
      </c>
      <c r="I845" t="s">
        <v>3496</v>
      </c>
      <c r="J845" s="3">
        <v>11.946412074953111</v>
      </c>
      <c r="K845" s="3">
        <v>0.18045303687045289</v>
      </c>
    </row>
    <row r="846" spans="1:13" x14ac:dyDescent="0.45">
      <c r="A846" t="s">
        <v>3499</v>
      </c>
      <c r="B846">
        <v>1</v>
      </c>
      <c r="C846" t="s">
        <v>1761</v>
      </c>
      <c r="D846" t="s">
        <v>3500</v>
      </c>
      <c r="E846" t="s">
        <v>3501</v>
      </c>
      <c r="F846" s="3">
        <v>446.78955404819118</v>
      </c>
      <c r="G846" s="3">
        <v>444.57723533813851</v>
      </c>
      <c r="H846" t="s">
        <v>73</v>
      </c>
      <c r="I846" t="s">
        <v>3499</v>
      </c>
      <c r="J846" s="3">
        <v>0.16061639704010749</v>
      </c>
      <c r="K846" s="3">
        <v>0.49515900495159532</v>
      </c>
    </row>
    <row r="847" spans="1:13" x14ac:dyDescent="0.45">
      <c r="A847" t="s">
        <v>3502</v>
      </c>
      <c r="B847">
        <v>2</v>
      </c>
      <c r="C847" t="s">
        <v>1761</v>
      </c>
      <c r="D847" t="s">
        <v>3503</v>
      </c>
      <c r="E847" t="s">
        <v>3504</v>
      </c>
      <c r="F847" s="3">
        <v>183.64658850632259</v>
      </c>
      <c r="G847" s="3">
        <v>203.5581092095521</v>
      </c>
      <c r="H847" t="s">
        <v>73</v>
      </c>
      <c r="I847" t="s">
        <v>3502</v>
      </c>
      <c r="J847" s="3">
        <v>2.4748035154177561</v>
      </c>
      <c r="K847" s="3">
        <v>10.842303614338009</v>
      </c>
    </row>
    <row r="848" spans="1:13" x14ac:dyDescent="0.45">
      <c r="A848" t="s">
        <v>3505</v>
      </c>
      <c r="B848">
        <v>1</v>
      </c>
      <c r="C848" t="s">
        <v>1761</v>
      </c>
      <c r="D848" t="s">
        <v>3506</v>
      </c>
      <c r="E848" t="s">
        <v>3507</v>
      </c>
      <c r="F848" s="3">
        <v>262.18373963500358</v>
      </c>
      <c r="G848" s="3">
        <v>279.1927947329317</v>
      </c>
      <c r="H848" t="s">
        <v>73</v>
      </c>
      <c r="I848" t="s">
        <v>3505</v>
      </c>
      <c r="J848" s="3">
        <v>0.90946368836451408</v>
      </c>
      <c r="K848" s="3">
        <v>6.4874561334761296</v>
      </c>
    </row>
    <row r="849" spans="1:13" x14ac:dyDescent="0.45">
      <c r="A849" t="s">
        <v>3508</v>
      </c>
      <c r="B849">
        <v>1</v>
      </c>
      <c r="C849" t="s">
        <v>1761</v>
      </c>
      <c r="D849" t="s">
        <v>3509</v>
      </c>
      <c r="E849" t="s">
        <v>3510</v>
      </c>
      <c r="F849" s="3">
        <v>164.4760950932656</v>
      </c>
      <c r="G849" s="3">
        <v>172.55335778742079</v>
      </c>
      <c r="H849" t="s">
        <v>73</v>
      </c>
      <c r="I849" t="s">
        <v>3508</v>
      </c>
      <c r="J849" s="3">
        <v>1.1502938723267719</v>
      </c>
      <c r="K849" s="3">
        <v>4.9109037331990066</v>
      </c>
    </row>
    <row r="850" spans="1:13" x14ac:dyDescent="0.45">
      <c r="A850" t="s">
        <v>3511</v>
      </c>
      <c r="B850">
        <v>2</v>
      </c>
      <c r="C850" t="s">
        <v>1761</v>
      </c>
      <c r="D850" t="s">
        <v>3512</v>
      </c>
      <c r="E850" t="s">
        <v>3513</v>
      </c>
      <c r="F850" s="3">
        <v>71.368886259222336</v>
      </c>
      <c r="G850" s="3">
        <v>71.601761912912096</v>
      </c>
      <c r="H850" t="s">
        <v>73</v>
      </c>
      <c r="I850" t="s">
        <v>3511</v>
      </c>
      <c r="J850" s="3">
        <v>3.3510533972124379</v>
      </c>
      <c r="K850" s="3">
        <v>0.32629856775951049</v>
      </c>
    </row>
    <row r="851" spans="1:13" x14ac:dyDescent="0.45">
      <c r="A851" t="s">
        <v>3514</v>
      </c>
      <c r="B851">
        <v>1</v>
      </c>
      <c r="C851" t="s">
        <v>1761</v>
      </c>
      <c r="D851" t="s">
        <v>3515</v>
      </c>
      <c r="E851" t="s">
        <v>3516</v>
      </c>
      <c r="F851" s="3">
        <v>159.4118650164578</v>
      </c>
      <c r="G851" s="3">
        <v>152.88025739630231</v>
      </c>
      <c r="H851" t="s">
        <v>73</v>
      </c>
      <c r="I851" t="s">
        <v>3514</v>
      </c>
      <c r="J851" s="3">
        <v>1.113476775430168</v>
      </c>
      <c r="K851" s="3">
        <v>4.0973158550533109</v>
      </c>
    </row>
    <row r="852" spans="1:13" x14ac:dyDescent="0.45">
      <c r="A852" t="s">
        <v>3517</v>
      </c>
      <c r="B852">
        <v>2</v>
      </c>
      <c r="C852" t="s">
        <v>1761</v>
      </c>
      <c r="D852" t="s">
        <v>3518</v>
      </c>
      <c r="E852" t="s">
        <v>3519</v>
      </c>
      <c r="F852" s="3">
        <v>106.6218245011142</v>
      </c>
      <c r="G852" s="3">
        <v>112.04776200081</v>
      </c>
      <c r="H852" t="s">
        <v>73</v>
      </c>
      <c r="I852" t="s">
        <v>3517</v>
      </c>
      <c r="J852" s="3">
        <v>0.87385084484381625</v>
      </c>
      <c r="K852" s="3">
        <v>5.0889557790666453</v>
      </c>
    </row>
    <row r="853" spans="1:13" x14ac:dyDescent="0.45">
      <c r="A853" t="s">
        <v>3520</v>
      </c>
      <c r="B853">
        <v>1</v>
      </c>
      <c r="C853" t="s">
        <v>1761</v>
      </c>
      <c r="D853" t="s">
        <v>3521</v>
      </c>
      <c r="E853" t="s">
        <v>3522</v>
      </c>
      <c r="F853" s="3">
        <v>112.0428696551442</v>
      </c>
      <c r="G853" s="3">
        <v>113.6788700457714</v>
      </c>
      <c r="H853" t="s">
        <v>73</v>
      </c>
      <c r="I853" t="s">
        <v>3520</v>
      </c>
      <c r="J853" s="3">
        <v>3.3799483257077489</v>
      </c>
      <c r="K853" s="3">
        <v>1.4601557383014441</v>
      </c>
    </row>
    <row r="854" spans="1:13" x14ac:dyDescent="0.45">
      <c r="A854" t="s">
        <v>3523</v>
      </c>
      <c r="B854">
        <v>1</v>
      </c>
      <c r="C854" t="s">
        <v>1761</v>
      </c>
      <c r="D854" t="s">
        <v>3524</v>
      </c>
      <c r="E854" t="s">
        <v>3525</v>
      </c>
      <c r="F854" s="3">
        <v>196.12533151776529</v>
      </c>
      <c r="G854" s="3">
        <v>179.50831638585259</v>
      </c>
      <c r="H854" t="s">
        <v>73</v>
      </c>
      <c r="I854" t="s">
        <v>3523</v>
      </c>
      <c r="J854" s="3">
        <v>2.0068083464893789</v>
      </c>
      <c r="K854" s="3">
        <v>8.472651137574978</v>
      </c>
    </row>
    <row r="855" spans="1:13" x14ac:dyDescent="0.45">
      <c r="A855" t="s">
        <v>3526</v>
      </c>
      <c r="B855">
        <v>1</v>
      </c>
      <c r="C855" t="s">
        <v>1761</v>
      </c>
      <c r="D855" t="s">
        <v>3527</v>
      </c>
      <c r="E855" t="s">
        <v>3528</v>
      </c>
      <c r="F855" s="3">
        <v>113.5640630008151</v>
      </c>
      <c r="G855" s="3">
        <v>96.388668150251448</v>
      </c>
      <c r="H855" t="s">
        <v>73</v>
      </c>
      <c r="I855" t="s">
        <v>3526</v>
      </c>
      <c r="J855" s="3">
        <v>2.3022693605884008</v>
      </c>
      <c r="K855" s="3">
        <v>15.12397002777227</v>
      </c>
    </row>
    <row r="856" spans="1:13" x14ac:dyDescent="0.45">
      <c r="A856" t="s">
        <v>3529</v>
      </c>
      <c r="B856">
        <v>2</v>
      </c>
      <c r="C856" t="s">
        <v>1761</v>
      </c>
      <c r="D856" t="s">
        <v>3530</v>
      </c>
      <c r="E856" t="s">
        <v>3531</v>
      </c>
      <c r="F856" s="3">
        <v>129.11976527963751</v>
      </c>
      <c r="G856" s="3">
        <v>122.1696990268714</v>
      </c>
      <c r="H856" t="s">
        <v>73</v>
      </c>
      <c r="I856" t="s">
        <v>3529</v>
      </c>
      <c r="J856" s="3">
        <v>4.0874605980217593</v>
      </c>
      <c r="K856" s="3">
        <v>5.3826509347458646</v>
      </c>
    </row>
    <row r="857" spans="1:13" x14ac:dyDescent="0.45">
      <c r="A857" t="s">
        <v>3532</v>
      </c>
      <c r="B857">
        <v>2</v>
      </c>
      <c r="C857" t="s">
        <v>1761</v>
      </c>
      <c r="D857" t="s">
        <v>3533</v>
      </c>
      <c r="E857" t="s">
        <v>3534</v>
      </c>
      <c r="F857" s="3">
        <v>188.85726279672531</v>
      </c>
      <c r="G857" s="3">
        <v>178.68183612471839</v>
      </c>
      <c r="H857" t="s">
        <v>73</v>
      </c>
      <c r="I857" t="s">
        <v>3532</v>
      </c>
      <c r="J857" s="3">
        <v>1.5892692706618641</v>
      </c>
      <c r="K857" s="3">
        <v>5.3878926980738742</v>
      </c>
    </row>
    <row r="858" spans="1:13" x14ac:dyDescent="0.45">
      <c r="A858" t="s">
        <v>3535</v>
      </c>
      <c r="B858">
        <v>2</v>
      </c>
      <c r="C858" t="s">
        <v>1761</v>
      </c>
      <c r="D858" t="s">
        <v>3536</v>
      </c>
      <c r="E858" t="s">
        <v>3537</v>
      </c>
      <c r="F858" s="3">
        <v>260.92510217339458</v>
      </c>
      <c r="G858" s="3">
        <v>275.12986473571419</v>
      </c>
      <c r="H858" t="s">
        <v>73</v>
      </c>
      <c r="I858" t="s">
        <v>3535</v>
      </c>
      <c r="J858" s="3">
        <v>1.963144674070552</v>
      </c>
      <c r="K858" s="3">
        <v>5.4439999999999964</v>
      </c>
    </row>
    <row r="859" spans="1:13" x14ac:dyDescent="0.45">
      <c r="A859" t="s">
        <v>3538</v>
      </c>
      <c r="B859">
        <v>1</v>
      </c>
      <c r="C859" t="s">
        <v>1761</v>
      </c>
      <c r="D859" t="s">
        <v>3539</v>
      </c>
      <c r="E859" t="s">
        <v>3540</v>
      </c>
      <c r="F859" s="3">
        <v>402.16581691811939</v>
      </c>
      <c r="G859" s="3">
        <v>399.65897899898857</v>
      </c>
      <c r="H859" t="s">
        <v>73</v>
      </c>
      <c r="I859" t="s">
        <v>3538</v>
      </c>
      <c r="J859" s="3">
        <v>2.0695768085987578</v>
      </c>
      <c r="K859" s="3">
        <v>0.62333440925966443</v>
      </c>
    </row>
    <row r="860" spans="1:13" x14ac:dyDescent="0.45">
      <c r="A860" t="s">
        <v>3541</v>
      </c>
      <c r="B860">
        <v>1</v>
      </c>
      <c r="C860" t="s">
        <v>1761</v>
      </c>
      <c r="D860" t="s">
        <v>3542</v>
      </c>
      <c r="E860" t="s">
        <v>3543</v>
      </c>
      <c r="F860" s="3">
        <v>2651.677769503719</v>
      </c>
      <c r="G860" s="3">
        <v>1754.3070935163789</v>
      </c>
      <c r="H860" t="s">
        <v>73</v>
      </c>
      <c r="I860" t="s">
        <v>3541</v>
      </c>
      <c r="J860" s="3">
        <v>0.35706207832158449</v>
      </c>
      <c r="K860" s="3">
        <v>33.841618552139877</v>
      </c>
      <c r="M860" t="s">
        <v>1752</v>
      </c>
    </row>
    <row r="861" spans="1:13" x14ac:dyDescent="0.45">
      <c r="A861" t="s">
        <v>3544</v>
      </c>
      <c r="B861">
        <v>2</v>
      </c>
      <c r="C861" t="s">
        <v>1761</v>
      </c>
      <c r="D861" t="s">
        <v>3545</v>
      </c>
      <c r="E861" t="s">
        <v>3546</v>
      </c>
      <c r="F861" s="3">
        <v>278.528088035145</v>
      </c>
      <c r="G861" s="3">
        <v>295.31698757811438</v>
      </c>
      <c r="H861" t="s">
        <v>73</v>
      </c>
      <c r="I861" t="s">
        <v>3544</v>
      </c>
      <c r="J861" s="3">
        <v>0.67394685358157425</v>
      </c>
      <c r="K861" s="3">
        <v>6.0277222528633976</v>
      </c>
    </row>
    <row r="862" spans="1:13" x14ac:dyDescent="0.45">
      <c r="A862" t="s">
        <v>3547</v>
      </c>
      <c r="B862">
        <v>3</v>
      </c>
      <c r="C862" t="s">
        <v>1761</v>
      </c>
      <c r="D862" t="s">
        <v>3548</v>
      </c>
      <c r="E862" t="s">
        <v>3549</v>
      </c>
      <c r="F862" s="3">
        <v>54.232956330362363</v>
      </c>
      <c r="G862" s="3">
        <v>55.134452558371443</v>
      </c>
      <c r="H862" t="s">
        <v>73</v>
      </c>
      <c r="I862" t="s">
        <v>3547</v>
      </c>
      <c r="J862" s="3">
        <v>8.1330738117044401</v>
      </c>
      <c r="K862" s="3">
        <v>1.6622664317201741</v>
      </c>
    </row>
    <row r="863" spans="1:13" x14ac:dyDescent="0.45">
      <c r="A863" t="s">
        <v>3550</v>
      </c>
      <c r="B863">
        <v>1</v>
      </c>
      <c r="C863" t="s">
        <v>1761</v>
      </c>
      <c r="D863" t="s">
        <v>3551</v>
      </c>
      <c r="E863" t="s">
        <v>3552</v>
      </c>
      <c r="F863" s="3">
        <v>438.3822210997867</v>
      </c>
      <c r="G863" s="3">
        <v>666.26246370843171</v>
      </c>
      <c r="H863" t="s">
        <v>73</v>
      </c>
      <c r="I863" t="s">
        <v>3550</v>
      </c>
      <c r="J863" s="3">
        <v>0.46149925457262642</v>
      </c>
      <c r="K863" s="3">
        <v>51.982090431713431</v>
      </c>
      <c r="M863" t="s">
        <v>1752</v>
      </c>
    </row>
    <row r="864" spans="1:13" x14ac:dyDescent="0.45">
      <c r="A864" t="s">
        <v>3553</v>
      </c>
      <c r="B864">
        <v>1</v>
      </c>
      <c r="C864" t="s">
        <v>1761</v>
      </c>
      <c r="D864" t="s">
        <v>3554</v>
      </c>
      <c r="E864" t="s">
        <v>3555</v>
      </c>
      <c r="F864" s="3">
        <v>144.2530950493167</v>
      </c>
      <c r="G864" s="3">
        <v>140.3773788129086</v>
      </c>
      <c r="H864" t="s">
        <v>73</v>
      </c>
      <c r="I864" t="s">
        <v>3553</v>
      </c>
      <c r="J864" s="3">
        <v>1.994273766938581</v>
      </c>
      <c r="K864" s="3">
        <v>2.6867473693254489</v>
      </c>
    </row>
    <row r="865" spans="1:13" x14ac:dyDescent="0.45">
      <c r="A865" t="s">
        <v>3556</v>
      </c>
      <c r="B865">
        <v>2</v>
      </c>
      <c r="C865" t="s">
        <v>1761</v>
      </c>
      <c r="D865" t="s">
        <v>3557</v>
      </c>
      <c r="E865" t="s">
        <v>3558</v>
      </c>
      <c r="F865" s="3">
        <v>150.44126000373649</v>
      </c>
      <c r="G865" s="3">
        <v>150.95984864430611</v>
      </c>
      <c r="H865" t="s">
        <v>73</v>
      </c>
      <c r="I865" t="s">
        <v>3556</v>
      </c>
      <c r="J865" s="3">
        <v>1.5716624666590111</v>
      </c>
      <c r="K865" s="3">
        <v>0.34471171044216092</v>
      </c>
    </row>
    <row r="866" spans="1:13" x14ac:dyDescent="0.45">
      <c r="A866" t="s">
        <v>3559</v>
      </c>
      <c r="B866">
        <v>3</v>
      </c>
      <c r="C866" t="s">
        <v>1761</v>
      </c>
      <c r="D866" t="s">
        <v>3560</v>
      </c>
      <c r="E866" t="s">
        <v>3561</v>
      </c>
      <c r="F866" s="3">
        <v>97.564135735542578</v>
      </c>
      <c r="G866" s="3">
        <v>101.65120130471109</v>
      </c>
      <c r="H866" t="s">
        <v>73</v>
      </c>
      <c r="I866" t="s">
        <v>3559</v>
      </c>
      <c r="J866" s="3">
        <v>1.601873430118453</v>
      </c>
      <c r="K866" s="3">
        <v>4.1891065178365476</v>
      </c>
    </row>
    <row r="867" spans="1:13" x14ac:dyDescent="0.45">
      <c r="A867" t="s">
        <v>3562</v>
      </c>
      <c r="B867">
        <v>2</v>
      </c>
      <c r="C867" t="s">
        <v>1761</v>
      </c>
      <c r="D867" t="s">
        <v>3563</v>
      </c>
      <c r="E867" t="s">
        <v>3564</v>
      </c>
      <c r="F867" s="3">
        <v>113.6038540788966</v>
      </c>
      <c r="G867" s="3">
        <v>114.3350966777375</v>
      </c>
      <c r="H867" t="s">
        <v>73</v>
      </c>
      <c r="I867" t="s">
        <v>3562</v>
      </c>
      <c r="J867" s="3">
        <v>2.542355425467965</v>
      </c>
      <c r="K867" s="3">
        <v>0.6436776329200149</v>
      </c>
    </row>
    <row r="868" spans="1:13" x14ac:dyDescent="0.45">
      <c r="A868" t="s">
        <v>3565</v>
      </c>
      <c r="B868">
        <v>1</v>
      </c>
      <c r="C868" t="s">
        <v>1761</v>
      </c>
      <c r="D868" t="s">
        <v>3566</v>
      </c>
      <c r="E868" t="s">
        <v>3567</v>
      </c>
      <c r="F868" s="3">
        <v>94.455865455902014</v>
      </c>
      <c r="G868" s="3">
        <v>97.782660508612793</v>
      </c>
      <c r="H868" t="s">
        <v>73</v>
      </c>
      <c r="I868" t="s">
        <v>3565</v>
      </c>
      <c r="J868" s="3">
        <v>2.201183840460077</v>
      </c>
      <c r="K868" s="3">
        <v>3.52206296205495</v>
      </c>
    </row>
    <row r="869" spans="1:13" x14ac:dyDescent="0.45">
      <c r="A869" t="s">
        <v>3568</v>
      </c>
      <c r="B869">
        <v>2</v>
      </c>
      <c r="C869" t="s">
        <v>1761</v>
      </c>
      <c r="D869" t="s">
        <v>3569</v>
      </c>
      <c r="E869" t="s">
        <v>3570</v>
      </c>
      <c r="F869" s="3">
        <v>191.40617488858169</v>
      </c>
      <c r="G869" s="3">
        <v>187.8158454826758</v>
      </c>
      <c r="H869" t="s">
        <v>73</v>
      </c>
      <c r="I869" t="s">
        <v>3568</v>
      </c>
      <c r="J869" s="3">
        <v>3.2880565108998532</v>
      </c>
      <c r="K869" s="3">
        <v>1.875764670599501</v>
      </c>
    </row>
    <row r="870" spans="1:13" x14ac:dyDescent="0.45">
      <c r="A870" t="s">
        <v>3571</v>
      </c>
      <c r="B870">
        <v>2</v>
      </c>
      <c r="C870" t="s">
        <v>1761</v>
      </c>
      <c r="D870" t="s">
        <v>3572</v>
      </c>
      <c r="E870" t="s">
        <v>3573</v>
      </c>
      <c r="F870" s="3">
        <v>373.17671191027762</v>
      </c>
      <c r="G870" s="3">
        <v>395.97015036701231</v>
      </c>
      <c r="H870" t="s">
        <v>73</v>
      </c>
      <c r="I870" t="s">
        <v>3571</v>
      </c>
      <c r="J870" s="3">
        <v>0.76566029016538451</v>
      </c>
      <c r="K870" s="3">
        <v>6.1079477173309806</v>
      </c>
    </row>
    <row r="871" spans="1:13" x14ac:dyDescent="0.45">
      <c r="A871" t="s">
        <v>3574</v>
      </c>
      <c r="B871">
        <v>1</v>
      </c>
      <c r="C871" t="s">
        <v>1761</v>
      </c>
      <c r="D871" t="s">
        <v>3575</v>
      </c>
      <c r="E871" t="s">
        <v>3576</v>
      </c>
      <c r="F871" s="3">
        <v>175.16456574742099</v>
      </c>
      <c r="G871" s="3">
        <v>173.0784695555447</v>
      </c>
      <c r="H871" t="s">
        <v>73</v>
      </c>
      <c r="I871" t="s">
        <v>3574</v>
      </c>
      <c r="J871" s="3">
        <v>3.1376853448814348</v>
      </c>
      <c r="K871" s="3">
        <v>1.190935040414707</v>
      </c>
    </row>
    <row r="872" spans="1:13" x14ac:dyDescent="0.45">
      <c r="A872" t="s">
        <v>3577</v>
      </c>
      <c r="B872">
        <v>1</v>
      </c>
      <c r="C872" t="s">
        <v>1761</v>
      </c>
      <c r="D872" t="s">
        <v>3578</v>
      </c>
      <c r="E872" t="s">
        <v>3579</v>
      </c>
      <c r="F872" s="3">
        <v>233.1352741664173</v>
      </c>
      <c r="G872" s="3">
        <v>254.30184461110079</v>
      </c>
      <c r="H872" t="s">
        <v>73</v>
      </c>
      <c r="I872" t="s">
        <v>3577</v>
      </c>
      <c r="J872" s="3">
        <v>0.65809533339454207</v>
      </c>
      <c r="K872" s="3">
        <v>9.0790938953211811</v>
      </c>
    </row>
    <row r="873" spans="1:13" x14ac:dyDescent="0.45">
      <c r="A873" t="s">
        <v>3580</v>
      </c>
      <c r="B873">
        <v>1</v>
      </c>
      <c r="C873" t="s">
        <v>1774</v>
      </c>
      <c r="G873" s="3">
        <v>714.98696497553613</v>
      </c>
      <c r="H873" t="s">
        <v>1755</v>
      </c>
      <c r="I873" t="s">
        <v>3580</v>
      </c>
      <c r="M873" t="s">
        <v>1757</v>
      </c>
    </row>
    <row r="874" spans="1:13" x14ac:dyDescent="0.45">
      <c r="A874" t="s">
        <v>3581</v>
      </c>
      <c r="B874">
        <v>1</v>
      </c>
      <c r="C874" t="s">
        <v>1761</v>
      </c>
      <c r="D874" t="s">
        <v>3582</v>
      </c>
      <c r="E874" t="s">
        <v>3583</v>
      </c>
      <c r="F874" s="3">
        <v>183.85369780617279</v>
      </c>
      <c r="G874" s="3">
        <v>189.53110187308809</v>
      </c>
      <c r="H874" t="s">
        <v>73</v>
      </c>
      <c r="I874" t="s">
        <v>3581</v>
      </c>
      <c r="J874" s="3">
        <v>1.2724566040659651</v>
      </c>
      <c r="K874" s="3">
        <v>3.0880010218237501</v>
      </c>
    </row>
    <row r="875" spans="1:13" x14ac:dyDescent="0.45">
      <c r="A875" t="s">
        <v>3584</v>
      </c>
      <c r="B875">
        <v>1</v>
      </c>
      <c r="C875" t="s">
        <v>1761</v>
      </c>
      <c r="D875" t="s">
        <v>3585</v>
      </c>
      <c r="E875" t="s">
        <v>3586</v>
      </c>
      <c r="F875" s="3">
        <v>174.97669967385619</v>
      </c>
      <c r="G875" s="3">
        <v>166.88084606617119</v>
      </c>
      <c r="H875" t="s">
        <v>73</v>
      </c>
      <c r="I875" t="s">
        <v>3584</v>
      </c>
      <c r="J875" s="3">
        <v>1.791814584307323</v>
      </c>
      <c r="K875" s="3">
        <v>4.6268180979382283</v>
      </c>
    </row>
    <row r="876" spans="1:13" x14ac:dyDescent="0.45">
      <c r="A876" t="s">
        <v>3587</v>
      </c>
      <c r="B876">
        <v>1</v>
      </c>
      <c r="C876" t="s">
        <v>1774</v>
      </c>
      <c r="G876" s="3">
        <v>887.85310672918718</v>
      </c>
      <c r="H876" t="s">
        <v>1755</v>
      </c>
      <c r="I876" t="s">
        <v>3587</v>
      </c>
      <c r="M876" t="s">
        <v>1757</v>
      </c>
    </row>
    <row r="877" spans="1:13" x14ac:dyDescent="0.45">
      <c r="A877" t="s">
        <v>3588</v>
      </c>
      <c r="B877">
        <v>1</v>
      </c>
      <c r="C877" t="s">
        <v>1761</v>
      </c>
      <c r="D877" t="s">
        <v>3589</v>
      </c>
      <c r="E877" t="s">
        <v>3590</v>
      </c>
      <c r="F877" s="3">
        <v>200.0959592600889</v>
      </c>
      <c r="G877" s="3">
        <v>200.5617105674684</v>
      </c>
      <c r="H877" t="s">
        <v>73</v>
      </c>
      <c r="I877" t="s">
        <v>3588</v>
      </c>
      <c r="J877" s="3">
        <v>1.9788399767577061</v>
      </c>
      <c r="K877" s="3">
        <v>0.23276397439596469</v>
      </c>
    </row>
    <row r="878" spans="1:13" x14ac:dyDescent="0.45">
      <c r="A878" t="s">
        <v>3591</v>
      </c>
      <c r="B878">
        <v>1</v>
      </c>
      <c r="C878" t="s">
        <v>1761</v>
      </c>
      <c r="D878" t="s">
        <v>3592</v>
      </c>
      <c r="E878" t="s">
        <v>3593</v>
      </c>
      <c r="F878" s="3">
        <v>819.48844686511381</v>
      </c>
      <c r="G878" s="3">
        <v>924.65985395452174</v>
      </c>
      <c r="H878" t="s">
        <v>73</v>
      </c>
      <c r="I878" t="s">
        <v>3591</v>
      </c>
      <c r="J878" s="3">
        <v>0.61856656501790552</v>
      </c>
      <c r="K878" s="3">
        <v>12.83378765029971</v>
      </c>
    </row>
    <row r="879" spans="1:13" x14ac:dyDescent="0.45">
      <c r="A879" t="s">
        <v>3594</v>
      </c>
      <c r="B879">
        <v>1</v>
      </c>
      <c r="C879" t="s">
        <v>1774</v>
      </c>
      <c r="G879" s="3">
        <v>291.16664767166878</v>
      </c>
      <c r="H879" t="s">
        <v>1755</v>
      </c>
      <c r="I879" t="s">
        <v>3594</v>
      </c>
      <c r="M879" t="s">
        <v>1757</v>
      </c>
    </row>
    <row r="880" spans="1:13" x14ac:dyDescent="0.45">
      <c r="A880" t="s">
        <v>3595</v>
      </c>
      <c r="B880">
        <v>1</v>
      </c>
      <c r="C880" t="s">
        <v>1761</v>
      </c>
      <c r="D880" t="s">
        <v>3596</v>
      </c>
      <c r="E880" t="s">
        <v>3597</v>
      </c>
      <c r="F880" s="3">
        <v>1489.2985134939699</v>
      </c>
      <c r="G880" s="3">
        <v>1028.080779764724</v>
      </c>
      <c r="H880" t="s">
        <v>73</v>
      </c>
      <c r="I880" t="s">
        <v>3595</v>
      </c>
      <c r="J880" s="3">
        <v>0.43638014537046632</v>
      </c>
      <c r="K880" s="3">
        <v>30.9687903096879</v>
      </c>
      <c r="M880" t="s">
        <v>1752</v>
      </c>
    </row>
    <row r="881" spans="1:13" x14ac:dyDescent="0.45">
      <c r="A881" t="s">
        <v>3598</v>
      </c>
      <c r="B881">
        <v>2</v>
      </c>
      <c r="C881" t="s">
        <v>1761</v>
      </c>
      <c r="D881" t="s">
        <v>3599</v>
      </c>
      <c r="E881" t="s">
        <v>3600</v>
      </c>
      <c r="F881" s="3">
        <v>82.508431183759996</v>
      </c>
      <c r="G881" s="3">
        <v>84.7080297950817</v>
      </c>
      <c r="H881" t="s">
        <v>73</v>
      </c>
      <c r="I881" t="s">
        <v>3598</v>
      </c>
      <c r="J881" s="3">
        <v>0.98193694732764891</v>
      </c>
      <c r="K881" s="3">
        <v>2.6659076893885429</v>
      </c>
    </row>
    <row r="882" spans="1:13" x14ac:dyDescent="0.45">
      <c r="A882" t="s">
        <v>3601</v>
      </c>
      <c r="B882">
        <v>1</v>
      </c>
      <c r="C882" t="s">
        <v>1774</v>
      </c>
      <c r="G882" s="3">
        <v>220.547921081195</v>
      </c>
      <c r="H882" t="s">
        <v>1755</v>
      </c>
      <c r="I882" t="s">
        <v>3601</v>
      </c>
      <c r="M882" t="s">
        <v>1757</v>
      </c>
    </row>
    <row r="883" spans="1:13" x14ac:dyDescent="0.45">
      <c r="A883" t="s">
        <v>3602</v>
      </c>
      <c r="B883">
        <v>2</v>
      </c>
      <c r="C883" t="s">
        <v>1761</v>
      </c>
      <c r="D883" t="s">
        <v>3603</v>
      </c>
      <c r="E883" t="s">
        <v>3604</v>
      </c>
      <c r="F883" s="3">
        <v>117.7884404050024</v>
      </c>
      <c r="G883" s="3">
        <v>115.6044972998111</v>
      </c>
      <c r="H883" t="s">
        <v>73</v>
      </c>
      <c r="I883" t="s">
        <v>3602</v>
      </c>
      <c r="J883" s="3">
        <v>4.6343636134976913</v>
      </c>
      <c r="K883" s="3">
        <v>1.8541234587045019</v>
      </c>
    </row>
    <row r="884" spans="1:13" x14ac:dyDescent="0.45">
      <c r="A884" t="s">
        <v>3605</v>
      </c>
      <c r="B884">
        <v>2</v>
      </c>
      <c r="C884" t="s">
        <v>1761</v>
      </c>
      <c r="D884" t="s">
        <v>3606</v>
      </c>
      <c r="E884" t="s">
        <v>3607</v>
      </c>
      <c r="F884" s="3">
        <v>171.0311859726167</v>
      </c>
      <c r="G884" s="3">
        <v>173.22817533291669</v>
      </c>
      <c r="H884" t="s">
        <v>73</v>
      </c>
      <c r="I884" t="s">
        <v>3605</v>
      </c>
      <c r="J884" s="3">
        <v>2.7348068505133658</v>
      </c>
      <c r="K884" s="3">
        <v>1.2845548300482099</v>
      </c>
    </row>
    <row r="885" spans="1:13" x14ac:dyDescent="0.45">
      <c r="A885" t="s">
        <v>3608</v>
      </c>
      <c r="B885">
        <v>1</v>
      </c>
      <c r="C885" t="s">
        <v>1761</v>
      </c>
      <c r="D885" t="s">
        <v>3609</v>
      </c>
      <c r="E885" t="s">
        <v>3610</v>
      </c>
      <c r="F885" s="3">
        <v>33.784582229411143</v>
      </c>
      <c r="H885" t="s">
        <v>73</v>
      </c>
      <c r="I885" t="s">
        <v>3608</v>
      </c>
      <c r="J885" s="3">
        <v>1.083330135349873</v>
      </c>
    </row>
    <row r="886" spans="1:13" x14ac:dyDescent="0.45">
      <c r="A886" t="s">
        <v>3611</v>
      </c>
      <c r="B886">
        <v>1</v>
      </c>
      <c r="C886" t="s">
        <v>1761</v>
      </c>
      <c r="D886" t="s">
        <v>3612</v>
      </c>
      <c r="E886" t="s">
        <v>3613</v>
      </c>
      <c r="F886" s="3">
        <v>155.16465666583031</v>
      </c>
      <c r="G886" s="3">
        <v>160.8945719095581</v>
      </c>
      <c r="H886" t="s">
        <v>73</v>
      </c>
      <c r="I886" t="s">
        <v>3611</v>
      </c>
      <c r="J886" s="3">
        <v>2.9924829098109238</v>
      </c>
      <c r="K886" s="3">
        <v>3.6927966502500289</v>
      </c>
    </row>
    <row r="887" spans="1:13" x14ac:dyDescent="0.45">
      <c r="A887" t="s">
        <v>3614</v>
      </c>
      <c r="B887">
        <v>3</v>
      </c>
      <c r="C887" t="s">
        <v>1761</v>
      </c>
      <c r="D887" t="s">
        <v>3615</v>
      </c>
      <c r="E887" t="s">
        <v>3616</v>
      </c>
      <c r="F887" s="3">
        <v>71.761578537993302</v>
      </c>
      <c r="G887" s="3">
        <v>73.070444081770589</v>
      </c>
      <c r="H887" t="s">
        <v>73</v>
      </c>
      <c r="I887" t="s">
        <v>3614</v>
      </c>
      <c r="J887" s="3">
        <v>0.25555389769382642</v>
      </c>
      <c r="K887" s="3">
        <v>1.8239085182390971</v>
      </c>
    </row>
    <row r="888" spans="1:13" x14ac:dyDescent="0.45">
      <c r="A888" t="s">
        <v>3617</v>
      </c>
      <c r="B888">
        <v>1</v>
      </c>
      <c r="C888" t="s">
        <v>1761</v>
      </c>
      <c r="D888" t="s">
        <v>3618</v>
      </c>
      <c r="E888" t="s">
        <v>3619</v>
      </c>
      <c r="F888" s="3">
        <v>112.6619144600506</v>
      </c>
      <c r="G888" s="3">
        <v>122.9263818231743</v>
      </c>
      <c r="H888" t="s">
        <v>73</v>
      </c>
      <c r="I888" t="s">
        <v>3617</v>
      </c>
      <c r="J888" s="3">
        <v>0.76837393282660782</v>
      </c>
      <c r="K888" s="3">
        <v>9.1108582810061911</v>
      </c>
    </row>
    <row r="889" spans="1:13" x14ac:dyDescent="0.45">
      <c r="A889" t="s">
        <v>3620</v>
      </c>
      <c r="B889">
        <v>1</v>
      </c>
      <c r="C889" t="s">
        <v>1761</v>
      </c>
      <c r="D889" t="s">
        <v>3621</v>
      </c>
      <c r="E889" t="s">
        <v>3622</v>
      </c>
      <c r="F889" s="3">
        <v>108.465586504347</v>
      </c>
      <c r="G889" s="3">
        <v>106.1234575559631</v>
      </c>
      <c r="H889" t="s">
        <v>73</v>
      </c>
      <c r="I889" t="s">
        <v>3620</v>
      </c>
      <c r="J889" s="3">
        <v>5.1768040881938262</v>
      </c>
      <c r="K889" s="3">
        <v>2.159329077421313</v>
      </c>
    </row>
    <row r="890" spans="1:13" x14ac:dyDescent="0.45">
      <c r="A890" t="s">
        <v>3623</v>
      </c>
      <c r="B890">
        <v>2</v>
      </c>
      <c r="C890" t="s">
        <v>1761</v>
      </c>
      <c r="D890" t="s">
        <v>3624</v>
      </c>
      <c r="E890" t="s">
        <v>3625</v>
      </c>
      <c r="F890" s="3">
        <v>158.63626515024731</v>
      </c>
      <c r="G890" s="3">
        <v>159.73149826662021</v>
      </c>
      <c r="H890" t="s">
        <v>73</v>
      </c>
      <c r="I890" t="s">
        <v>3623</v>
      </c>
      <c r="J890" s="3">
        <v>3.170214965162788</v>
      </c>
      <c r="K890" s="3">
        <v>0.69040525842908951</v>
      </c>
    </row>
    <row r="891" spans="1:13" x14ac:dyDescent="0.45">
      <c r="A891" t="s">
        <v>3626</v>
      </c>
      <c r="B891">
        <v>1</v>
      </c>
      <c r="C891" t="s">
        <v>1761</v>
      </c>
      <c r="D891" t="s">
        <v>3627</v>
      </c>
      <c r="E891" t="s">
        <v>3628</v>
      </c>
      <c r="F891" s="3">
        <v>101.5745545559477</v>
      </c>
      <c r="G891" s="3">
        <v>102.82471195173591</v>
      </c>
      <c r="H891" t="s">
        <v>73</v>
      </c>
      <c r="I891" t="s">
        <v>3626</v>
      </c>
      <c r="J891" s="3">
        <v>2.8927883770098721</v>
      </c>
      <c r="K891" s="3">
        <v>1.2307781227823951</v>
      </c>
    </row>
    <row r="892" spans="1:13" x14ac:dyDescent="0.45">
      <c r="A892" t="s">
        <v>3629</v>
      </c>
      <c r="B892">
        <v>1</v>
      </c>
      <c r="C892" t="s">
        <v>1761</v>
      </c>
      <c r="D892" t="s">
        <v>3630</v>
      </c>
      <c r="E892" t="s">
        <v>3631</v>
      </c>
      <c r="F892" s="3">
        <v>448.0168804975392</v>
      </c>
      <c r="G892" s="3">
        <v>423.89239786334258</v>
      </c>
      <c r="H892" t="s">
        <v>73</v>
      </c>
      <c r="I892" t="s">
        <v>3629</v>
      </c>
      <c r="J892" s="3">
        <v>1.1583355762079921</v>
      </c>
      <c r="K892" s="3">
        <v>5.3847262646455283</v>
      </c>
    </row>
    <row r="893" spans="1:13" x14ac:dyDescent="0.45">
      <c r="A893" t="s">
        <v>3632</v>
      </c>
      <c r="B893">
        <v>1</v>
      </c>
      <c r="C893" t="s">
        <v>1761</v>
      </c>
      <c r="D893" t="s">
        <v>3633</v>
      </c>
      <c r="E893" t="s">
        <v>3634</v>
      </c>
      <c r="F893" s="3">
        <v>134.94263509101449</v>
      </c>
      <c r="G893" s="3">
        <v>138.15331847325811</v>
      </c>
      <c r="H893" t="s">
        <v>73</v>
      </c>
      <c r="I893" t="s">
        <v>3632</v>
      </c>
      <c r="J893" s="3">
        <v>8.7147138938205142</v>
      </c>
      <c r="K893" s="3">
        <v>2.379295009377945</v>
      </c>
    </row>
    <row r="894" spans="1:13" x14ac:dyDescent="0.45">
      <c r="A894" t="s">
        <v>3635</v>
      </c>
      <c r="B894">
        <v>2</v>
      </c>
      <c r="C894" t="s">
        <v>1761</v>
      </c>
      <c r="D894" t="s">
        <v>3636</v>
      </c>
      <c r="E894" t="s">
        <v>3637</v>
      </c>
      <c r="F894" s="3">
        <v>116.0285005908429</v>
      </c>
      <c r="G894" s="3">
        <v>114.5477506360088</v>
      </c>
      <c r="H894" t="s">
        <v>73</v>
      </c>
      <c r="I894" t="s">
        <v>3635</v>
      </c>
      <c r="J894" s="3">
        <v>3.4154658563697051</v>
      </c>
      <c r="K894" s="3">
        <v>1.2761950273369991</v>
      </c>
    </row>
    <row r="895" spans="1:13" x14ac:dyDescent="0.45">
      <c r="A895" t="s">
        <v>3638</v>
      </c>
      <c r="B895">
        <v>1</v>
      </c>
      <c r="C895" t="s">
        <v>1761</v>
      </c>
      <c r="D895" t="s">
        <v>3639</v>
      </c>
      <c r="E895" t="s">
        <v>3640</v>
      </c>
      <c r="F895" s="3">
        <v>254.01580546784319</v>
      </c>
      <c r="G895" s="3">
        <v>222.27850682136</v>
      </c>
      <c r="H895" t="s">
        <v>73</v>
      </c>
      <c r="I895" t="s">
        <v>3638</v>
      </c>
      <c r="J895" s="3">
        <v>1.693391886925516</v>
      </c>
      <c r="K895" s="3">
        <v>12.49422199852085</v>
      </c>
    </row>
    <row r="896" spans="1:13" x14ac:dyDescent="0.45">
      <c r="A896" t="s">
        <v>3641</v>
      </c>
      <c r="B896">
        <v>2</v>
      </c>
      <c r="C896" t="s">
        <v>1761</v>
      </c>
      <c r="D896" t="s">
        <v>3642</v>
      </c>
      <c r="E896" t="s">
        <v>3643</v>
      </c>
      <c r="F896" s="3">
        <v>179.10844866677189</v>
      </c>
      <c r="G896" s="3">
        <v>173.78166270590199</v>
      </c>
      <c r="H896" t="s">
        <v>73</v>
      </c>
      <c r="I896" t="s">
        <v>3641</v>
      </c>
      <c r="J896" s="3">
        <v>3.3682888910315731</v>
      </c>
      <c r="K896" s="3">
        <v>2.9740562215355069</v>
      </c>
    </row>
    <row r="897" spans="1:13" x14ac:dyDescent="0.45">
      <c r="A897" t="s">
        <v>3644</v>
      </c>
      <c r="B897">
        <v>2</v>
      </c>
      <c r="C897" t="s">
        <v>1761</v>
      </c>
      <c r="D897" t="s">
        <v>3645</v>
      </c>
      <c r="E897" t="s">
        <v>3646</v>
      </c>
      <c r="F897" s="3">
        <v>268.44137589787698</v>
      </c>
      <c r="G897" s="3">
        <v>249.5804048872732</v>
      </c>
      <c r="H897" t="s">
        <v>73</v>
      </c>
      <c r="I897" t="s">
        <v>3644</v>
      </c>
      <c r="J897" s="3">
        <v>0.64504112381086876</v>
      </c>
      <c r="K897" s="3">
        <v>7.0261042834839023</v>
      </c>
    </row>
    <row r="898" spans="1:13" x14ac:dyDescent="0.45">
      <c r="A898" t="s">
        <v>3647</v>
      </c>
      <c r="B898">
        <v>1</v>
      </c>
      <c r="C898" t="s">
        <v>1761</v>
      </c>
      <c r="D898" t="s">
        <v>3648</v>
      </c>
      <c r="E898" t="s">
        <v>3649</v>
      </c>
      <c r="F898" s="3">
        <v>178.9117763710087</v>
      </c>
      <c r="G898" s="3">
        <v>167.46303520039561</v>
      </c>
      <c r="H898" t="s">
        <v>73</v>
      </c>
      <c r="I898" t="s">
        <v>3647</v>
      </c>
      <c r="J898" s="3">
        <v>3.0118942589827489</v>
      </c>
      <c r="K898" s="3">
        <v>6.3990987082213664</v>
      </c>
    </row>
    <row r="899" spans="1:13" x14ac:dyDescent="0.45">
      <c r="A899" t="s">
        <v>3650</v>
      </c>
      <c r="B899">
        <v>1</v>
      </c>
      <c r="C899" t="s">
        <v>1761</v>
      </c>
      <c r="D899" t="s">
        <v>3651</v>
      </c>
      <c r="E899" t="s">
        <v>3652</v>
      </c>
      <c r="F899" s="3">
        <v>254.41208546676901</v>
      </c>
      <c r="G899" s="3">
        <v>255.80216394859781</v>
      </c>
      <c r="H899" t="s">
        <v>73</v>
      </c>
      <c r="I899" t="s">
        <v>3650</v>
      </c>
      <c r="J899" s="3">
        <v>2.1077320020312702</v>
      </c>
      <c r="K899" s="3">
        <v>0.5463885409682363</v>
      </c>
    </row>
    <row r="900" spans="1:13" x14ac:dyDescent="0.45">
      <c r="A900" t="s">
        <v>3653</v>
      </c>
      <c r="B900">
        <v>1</v>
      </c>
      <c r="C900" t="s">
        <v>1761</v>
      </c>
      <c r="D900" t="s">
        <v>3654</v>
      </c>
      <c r="E900" t="s">
        <v>3655</v>
      </c>
      <c r="F900" s="3">
        <v>110.59897537099221</v>
      </c>
      <c r="G900" s="3">
        <v>109.0330986015741</v>
      </c>
      <c r="H900" t="s">
        <v>73</v>
      </c>
      <c r="I900" t="s">
        <v>3653</v>
      </c>
      <c r="J900" s="3">
        <v>5.308322333123181</v>
      </c>
      <c r="K900" s="3">
        <v>1.4158148971683711</v>
      </c>
    </row>
    <row r="901" spans="1:13" x14ac:dyDescent="0.45">
      <c r="A901" t="s">
        <v>3656</v>
      </c>
      <c r="B901">
        <v>1</v>
      </c>
      <c r="C901" t="s">
        <v>1761</v>
      </c>
      <c r="D901" t="s">
        <v>3657</v>
      </c>
      <c r="E901" t="s">
        <v>3658</v>
      </c>
      <c r="F901" s="3">
        <v>197.4312616541431</v>
      </c>
      <c r="G901" s="3">
        <v>199.36207479458841</v>
      </c>
      <c r="H901" t="s">
        <v>73</v>
      </c>
      <c r="I901" t="s">
        <v>3656</v>
      </c>
      <c r="J901" s="3">
        <v>0.29306384745395281</v>
      </c>
      <c r="K901" s="3">
        <v>0.97796728049467918</v>
      </c>
    </row>
    <row r="902" spans="1:13" x14ac:dyDescent="0.45">
      <c r="A902" t="s">
        <v>3659</v>
      </c>
      <c r="B902">
        <v>2</v>
      </c>
      <c r="C902" t="s">
        <v>1761</v>
      </c>
      <c r="D902" t="s">
        <v>3660</v>
      </c>
      <c r="E902" t="s">
        <v>3661</v>
      </c>
      <c r="F902" s="3">
        <v>177.83872188832061</v>
      </c>
      <c r="G902" s="3">
        <v>198.4488695526193</v>
      </c>
      <c r="H902" t="s">
        <v>73</v>
      </c>
      <c r="I902" t="s">
        <v>3659</v>
      </c>
      <c r="J902" s="3">
        <v>2.6267887877616691</v>
      </c>
      <c r="K902" s="3">
        <v>11.58923514826064</v>
      </c>
    </row>
    <row r="903" spans="1:13" x14ac:dyDescent="0.45">
      <c r="A903" t="s">
        <v>3662</v>
      </c>
      <c r="B903">
        <v>1</v>
      </c>
      <c r="C903" t="s">
        <v>1761</v>
      </c>
      <c r="D903" t="s">
        <v>3663</v>
      </c>
      <c r="E903" t="s">
        <v>3664</v>
      </c>
      <c r="F903" s="3">
        <v>224.62552811540971</v>
      </c>
      <c r="G903" s="3">
        <v>244.99562468570889</v>
      </c>
      <c r="H903" t="s">
        <v>73</v>
      </c>
      <c r="I903" t="s">
        <v>3662</v>
      </c>
      <c r="J903" s="3">
        <v>0.84785153440343031</v>
      </c>
      <c r="K903" s="3">
        <v>9.0684690832794761</v>
      </c>
    </row>
    <row r="904" spans="1:13" x14ac:dyDescent="0.45">
      <c r="A904" t="s">
        <v>3665</v>
      </c>
      <c r="B904">
        <v>3</v>
      </c>
      <c r="C904" t="s">
        <v>1761</v>
      </c>
      <c r="D904" t="s">
        <v>3666</v>
      </c>
      <c r="E904" t="s">
        <v>3667</v>
      </c>
      <c r="F904" s="3">
        <v>40.749325519174477</v>
      </c>
      <c r="G904" s="3">
        <v>40.962305633823512</v>
      </c>
      <c r="H904" t="s">
        <v>73</v>
      </c>
      <c r="I904" t="s">
        <v>3665</v>
      </c>
      <c r="J904" s="3">
        <v>15.91747185010987</v>
      </c>
      <c r="K904" s="3">
        <v>0.52265923898253996</v>
      </c>
    </row>
    <row r="905" spans="1:13" x14ac:dyDescent="0.45">
      <c r="A905" t="s">
        <v>3668</v>
      </c>
      <c r="B905">
        <v>1</v>
      </c>
      <c r="C905" t="s">
        <v>1774</v>
      </c>
      <c r="G905" s="3">
        <v>193.02586746032301</v>
      </c>
      <c r="H905" t="s">
        <v>1755</v>
      </c>
      <c r="I905" t="s">
        <v>3668</v>
      </c>
      <c r="M905" t="s">
        <v>1757</v>
      </c>
    </row>
    <row r="906" spans="1:13" x14ac:dyDescent="0.45">
      <c r="A906" t="s">
        <v>3669</v>
      </c>
      <c r="B906">
        <v>1</v>
      </c>
      <c r="C906" t="s">
        <v>1761</v>
      </c>
      <c r="D906" t="s">
        <v>3670</v>
      </c>
      <c r="E906" t="s">
        <v>3671</v>
      </c>
      <c r="F906" s="3">
        <v>91.539701282736615</v>
      </c>
      <c r="G906" s="3">
        <v>95.485541140353774</v>
      </c>
      <c r="H906" t="s">
        <v>73</v>
      </c>
      <c r="I906" t="s">
        <v>3669</v>
      </c>
      <c r="J906" s="3">
        <v>4.9401077968782934</v>
      </c>
      <c r="K906" s="3">
        <v>4.3105229778167384</v>
      </c>
    </row>
    <row r="907" spans="1:13" x14ac:dyDescent="0.45">
      <c r="A907" t="s">
        <v>3672</v>
      </c>
      <c r="B907">
        <v>1</v>
      </c>
      <c r="C907" t="s">
        <v>1774</v>
      </c>
      <c r="G907" s="3">
        <v>545.50632642258472</v>
      </c>
      <c r="H907" t="s">
        <v>1755</v>
      </c>
      <c r="I907" t="s">
        <v>3672</v>
      </c>
      <c r="M907" t="s">
        <v>1757</v>
      </c>
    </row>
    <row r="908" spans="1:13" x14ac:dyDescent="0.45">
      <c r="A908" t="s">
        <v>3673</v>
      </c>
      <c r="B908">
        <v>1</v>
      </c>
      <c r="C908" t="s">
        <v>1761</v>
      </c>
      <c r="D908" t="s">
        <v>3674</v>
      </c>
      <c r="E908" t="s">
        <v>3675</v>
      </c>
      <c r="F908" s="3">
        <v>115.12765667558919</v>
      </c>
      <c r="G908" s="3">
        <v>117.9156413923119</v>
      </c>
      <c r="H908" t="s">
        <v>73</v>
      </c>
      <c r="I908" t="s">
        <v>3673</v>
      </c>
      <c r="J908" s="3">
        <v>2.98657183845246</v>
      </c>
      <c r="K908" s="3">
        <v>2.4216463682387102</v>
      </c>
    </row>
    <row r="909" spans="1:13" x14ac:dyDescent="0.45">
      <c r="A909" t="s">
        <v>3676</v>
      </c>
      <c r="B909">
        <v>1</v>
      </c>
      <c r="C909" t="s">
        <v>1761</v>
      </c>
      <c r="D909" t="s">
        <v>3677</v>
      </c>
      <c r="E909" t="s">
        <v>3678</v>
      </c>
      <c r="F909" s="3">
        <v>427.46576713760732</v>
      </c>
      <c r="G909" s="3">
        <v>412.06270604355637</v>
      </c>
      <c r="H909" t="s">
        <v>73</v>
      </c>
      <c r="I909" t="s">
        <v>3676</v>
      </c>
      <c r="J909" s="3">
        <v>0.47313882580791072</v>
      </c>
      <c r="K909" s="3">
        <v>3.6033437711732499</v>
      </c>
    </row>
    <row r="910" spans="1:13" x14ac:dyDescent="0.45">
      <c r="A910" t="s">
        <v>3679</v>
      </c>
      <c r="B910">
        <v>2</v>
      </c>
      <c r="C910" t="s">
        <v>1761</v>
      </c>
      <c r="D910" t="s">
        <v>3680</v>
      </c>
      <c r="E910" t="s">
        <v>3681</v>
      </c>
      <c r="F910" s="3">
        <v>162.5093721356337</v>
      </c>
      <c r="G910" s="3">
        <v>169.25852605972619</v>
      </c>
      <c r="H910" t="s">
        <v>73</v>
      </c>
      <c r="I910" t="s">
        <v>3679</v>
      </c>
      <c r="J910" s="3">
        <v>2.305812417746572</v>
      </c>
      <c r="K910" s="3">
        <v>4.1530859638418773</v>
      </c>
    </row>
    <row r="911" spans="1:13" x14ac:dyDescent="0.45">
      <c r="A911" t="s">
        <v>3682</v>
      </c>
      <c r="B911">
        <v>1</v>
      </c>
      <c r="C911" t="s">
        <v>1761</v>
      </c>
      <c r="D911" t="s">
        <v>3683</v>
      </c>
      <c r="E911" t="s">
        <v>3684</v>
      </c>
      <c r="F911" s="3">
        <v>237.3772640150012</v>
      </c>
      <c r="G911" s="3">
        <v>227.43242990204001</v>
      </c>
      <c r="H911" t="s">
        <v>73</v>
      </c>
      <c r="I911" t="s">
        <v>3682</v>
      </c>
      <c r="J911" s="3">
        <v>3.0229681333731691</v>
      </c>
      <c r="K911" s="3">
        <v>4.1894636178521028</v>
      </c>
    </row>
    <row r="912" spans="1:13" x14ac:dyDescent="0.45">
      <c r="A912" t="s">
        <v>3685</v>
      </c>
      <c r="B912">
        <v>1</v>
      </c>
      <c r="C912" t="s">
        <v>1761</v>
      </c>
      <c r="D912" t="s">
        <v>3686</v>
      </c>
      <c r="E912" t="s">
        <v>3687</v>
      </c>
      <c r="F912" s="3">
        <v>123.17099910646181</v>
      </c>
      <c r="G912" s="3">
        <v>119.7254831322621</v>
      </c>
      <c r="H912" t="s">
        <v>73</v>
      </c>
      <c r="I912" t="s">
        <v>3685</v>
      </c>
      <c r="J912" s="3">
        <v>3.2133523856715152</v>
      </c>
      <c r="K912" s="3">
        <v>2.797343529885298</v>
      </c>
    </row>
    <row r="913" spans="1:11" x14ac:dyDescent="0.45">
      <c r="A913" t="s">
        <v>3688</v>
      </c>
      <c r="B913">
        <v>2</v>
      </c>
      <c r="C913" t="s">
        <v>1761</v>
      </c>
      <c r="D913" t="s">
        <v>3689</v>
      </c>
      <c r="E913" t="s">
        <v>3690</v>
      </c>
      <c r="F913" s="3">
        <v>176.77838750436351</v>
      </c>
      <c r="G913" s="3">
        <v>164.4131469123663</v>
      </c>
      <c r="H913" t="s">
        <v>73</v>
      </c>
      <c r="I913" t="s">
        <v>3688</v>
      </c>
      <c r="J913" s="3">
        <v>2.6210386710975979</v>
      </c>
      <c r="K913" s="3">
        <v>6.9947694209462954</v>
      </c>
    </row>
    <row r="914" spans="1:11" x14ac:dyDescent="0.45">
      <c r="A914" t="s">
        <v>3691</v>
      </c>
      <c r="B914">
        <v>3</v>
      </c>
      <c r="C914" t="s">
        <v>1761</v>
      </c>
      <c r="D914" t="s">
        <v>3692</v>
      </c>
      <c r="E914" t="s">
        <v>3693</v>
      </c>
      <c r="F914" s="3">
        <v>112.8569559739252</v>
      </c>
      <c r="G914" s="3">
        <v>115.0027387829237</v>
      </c>
      <c r="H914" t="s">
        <v>73</v>
      </c>
      <c r="I914" t="s">
        <v>3691</v>
      </c>
      <c r="J914" s="3">
        <v>2.4350892867285929</v>
      </c>
      <c r="K914" s="3">
        <v>1.901329688082509</v>
      </c>
    </row>
    <row r="915" spans="1:11" x14ac:dyDescent="0.45">
      <c r="A915" t="s">
        <v>3694</v>
      </c>
      <c r="B915">
        <v>2</v>
      </c>
      <c r="C915" t="s">
        <v>1761</v>
      </c>
      <c r="D915" t="s">
        <v>3695</v>
      </c>
      <c r="E915" t="s">
        <v>3696</v>
      </c>
      <c r="F915" s="3">
        <v>328.45545402326871</v>
      </c>
      <c r="G915" s="3">
        <v>317.15315706625029</v>
      </c>
      <c r="H915" t="s">
        <v>73</v>
      </c>
      <c r="I915" t="s">
        <v>3694</v>
      </c>
      <c r="J915" s="3">
        <v>2.6770326087560421</v>
      </c>
      <c r="K915" s="3">
        <v>3.441044080278119</v>
      </c>
    </row>
    <row r="916" spans="1:11" x14ac:dyDescent="0.45">
      <c r="A916" t="s">
        <v>3697</v>
      </c>
      <c r="B916">
        <v>1</v>
      </c>
      <c r="C916" t="s">
        <v>1761</v>
      </c>
      <c r="D916" t="s">
        <v>3698</v>
      </c>
      <c r="E916" t="s">
        <v>3699</v>
      </c>
      <c r="F916" s="3">
        <v>264.30832227945052</v>
      </c>
      <c r="G916" s="3">
        <v>271.79295883529431</v>
      </c>
      <c r="H916" t="s">
        <v>73</v>
      </c>
      <c r="I916" t="s">
        <v>3697</v>
      </c>
      <c r="J916" s="3">
        <v>2.3016625502183339</v>
      </c>
      <c r="K916" s="3">
        <v>2.8317824014373572</v>
      </c>
    </row>
    <row r="917" spans="1:11" x14ac:dyDescent="0.45">
      <c r="A917" t="s">
        <v>3700</v>
      </c>
      <c r="B917">
        <v>2</v>
      </c>
      <c r="C917" t="s">
        <v>1761</v>
      </c>
      <c r="D917" t="s">
        <v>3701</v>
      </c>
      <c r="E917" t="s">
        <v>3702</v>
      </c>
      <c r="F917" s="3">
        <v>114.2003940937405</v>
      </c>
      <c r="G917" s="3">
        <v>102.9564791283335</v>
      </c>
      <c r="H917" t="s">
        <v>73</v>
      </c>
      <c r="I917" t="s">
        <v>3700</v>
      </c>
      <c r="J917" s="3">
        <v>1.1642906082316831</v>
      </c>
      <c r="K917" s="3">
        <v>9.8457759753241607</v>
      </c>
    </row>
    <row r="918" spans="1:11" x14ac:dyDescent="0.45">
      <c r="A918" t="s">
        <v>3703</v>
      </c>
      <c r="B918">
        <v>2</v>
      </c>
      <c r="C918" t="s">
        <v>1761</v>
      </c>
      <c r="D918" t="s">
        <v>3704</v>
      </c>
      <c r="E918" t="s">
        <v>3705</v>
      </c>
      <c r="F918" s="3">
        <v>210.15233885422921</v>
      </c>
      <c r="G918" s="3">
        <v>187.87585825617569</v>
      </c>
      <c r="H918" t="s">
        <v>73</v>
      </c>
      <c r="I918" t="s">
        <v>3703</v>
      </c>
      <c r="J918" s="3">
        <v>3.136652594325247</v>
      </c>
      <c r="K918" s="3">
        <v>10.600158303974681</v>
      </c>
    </row>
    <row r="919" spans="1:11" x14ac:dyDescent="0.45">
      <c r="A919" t="s">
        <v>3706</v>
      </c>
      <c r="B919">
        <v>1</v>
      </c>
      <c r="C919" t="s">
        <v>1761</v>
      </c>
      <c r="D919" t="s">
        <v>3707</v>
      </c>
      <c r="E919" t="s">
        <v>3708</v>
      </c>
      <c r="F919" s="3">
        <v>126.9586531208864</v>
      </c>
      <c r="G919" s="3">
        <v>126.0985787528473</v>
      </c>
      <c r="H919" t="s">
        <v>73</v>
      </c>
      <c r="I919" t="s">
        <v>3706</v>
      </c>
      <c r="J919" s="3">
        <v>3.2894910833971251</v>
      </c>
      <c r="K919" s="3">
        <v>0.67744446471097519</v>
      </c>
    </row>
    <row r="920" spans="1:11" x14ac:dyDescent="0.45">
      <c r="A920" t="s">
        <v>3709</v>
      </c>
      <c r="B920">
        <v>2</v>
      </c>
      <c r="C920" t="s">
        <v>1761</v>
      </c>
      <c r="D920" t="s">
        <v>3710</v>
      </c>
      <c r="E920" t="s">
        <v>3711</v>
      </c>
      <c r="F920" s="3">
        <v>161.30389816359261</v>
      </c>
      <c r="G920" s="3">
        <v>169.812665745467</v>
      </c>
      <c r="H920" t="s">
        <v>73</v>
      </c>
      <c r="I920" t="s">
        <v>3709</v>
      </c>
      <c r="J920" s="3">
        <v>2.4856352837723819</v>
      </c>
      <c r="K920" s="3">
        <v>5.2749919120025783</v>
      </c>
    </row>
    <row r="921" spans="1:11" x14ac:dyDescent="0.45">
      <c r="A921" t="s">
        <v>3712</v>
      </c>
      <c r="B921">
        <v>1</v>
      </c>
      <c r="C921" t="s">
        <v>1761</v>
      </c>
      <c r="D921" t="s">
        <v>3713</v>
      </c>
      <c r="E921" t="s">
        <v>3714</v>
      </c>
      <c r="F921" s="3">
        <v>95.061537849322008</v>
      </c>
      <c r="G921" s="3">
        <v>94.963038623251549</v>
      </c>
      <c r="H921" t="s">
        <v>73</v>
      </c>
      <c r="I921" t="s">
        <v>3712</v>
      </c>
      <c r="J921" s="3">
        <v>3.5575886716797989</v>
      </c>
      <c r="K921" s="3">
        <v>0.103616276676047</v>
      </c>
    </row>
    <row r="922" spans="1:11" x14ac:dyDescent="0.45">
      <c r="A922" t="s">
        <v>3715</v>
      </c>
      <c r="B922">
        <v>1</v>
      </c>
      <c r="C922" t="s">
        <v>1761</v>
      </c>
      <c r="D922" t="s">
        <v>3716</v>
      </c>
      <c r="E922" t="s">
        <v>3717</v>
      </c>
      <c r="F922" s="3">
        <v>101.10228012101381</v>
      </c>
      <c r="G922" s="3">
        <v>98.919315484955661</v>
      </c>
      <c r="H922" t="s">
        <v>73</v>
      </c>
      <c r="I922" t="s">
        <v>3715</v>
      </c>
      <c r="J922" s="3">
        <v>2.4846989097647878</v>
      </c>
      <c r="K922" s="3">
        <v>2.1591645939589839</v>
      </c>
    </row>
    <row r="923" spans="1:11" x14ac:dyDescent="0.45">
      <c r="A923" t="s">
        <v>3718</v>
      </c>
      <c r="B923">
        <v>2</v>
      </c>
      <c r="C923" t="s">
        <v>1761</v>
      </c>
      <c r="D923" t="s">
        <v>3719</v>
      </c>
      <c r="E923" t="s">
        <v>3720</v>
      </c>
      <c r="F923" s="3">
        <v>282.63113526682167</v>
      </c>
      <c r="G923" s="3">
        <v>278.64224276734592</v>
      </c>
      <c r="H923" t="s">
        <v>73</v>
      </c>
      <c r="I923" t="s">
        <v>3718</v>
      </c>
      <c r="J923" s="3">
        <v>2.2919095392220581</v>
      </c>
      <c r="K923" s="3">
        <v>1.4113422060559611</v>
      </c>
    </row>
    <row r="924" spans="1:11" x14ac:dyDescent="0.45">
      <c r="A924" t="s">
        <v>3721</v>
      </c>
      <c r="B924">
        <v>2</v>
      </c>
      <c r="C924" t="s">
        <v>1761</v>
      </c>
      <c r="D924" t="s">
        <v>3722</v>
      </c>
      <c r="E924" t="s">
        <v>3723</v>
      </c>
      <c r="F924" s="3">
        <v>247.0882440051395</v>
      </c>
      <c r="G924" s="3">
        <v>254.56668358980679</v>
      </c>
      <c r="H924" t="s">
        <v>73</v>
      </c>
      <c r="I924" t="s">
        <v>3721</v>
      </c>
      <c r="J924" s="3">
        <v>1.6746382567878699</v>
      </c>
      <c r="K924" s="3">
        <v>3.0266270314793542</v>
      </c>
    </row>
    <row r="925" spans="1:11" x14ac:dyDescent="0.45">
      <c r="A925" t="s">
        <v>3724</v>
      </c>
      <c r="B925">
        <v>1</v>
      </c>
      <c r="C925" t="s">
        <v>1761</v>
      </c>
      <c r="D925" t="s">
        <v>3725</v>
      </c>
      <c r="E925" t="s">
        <v>3726</v>
      </c>
      <c r="F925" s="3">
        <v>196.59825826545449</v>
      </c>
      <c r="G925" s="3">
        <v>198.57411360166259</v>
      </c>
      <c r="H925" t="s">
        <v>73</v>
      </c>
      <c r="I925" t="s">
        <v>3724</v>
      </c>
      <c r="J925" s="3">
        <v>6.1731980472540906</v>
      </c>
      <c r="K925" s="3">
        <v>1.005021790956135</v>
      </c>
    </row>
    <row r="926" spans="1:11" x14ac:dyDescent="0.45">
      <c r="A926" t="s">
        <v>3727</v>
      </c>
      <c r="B926">
        <v>1</v>
      </c>
      <c r="C926" t="s">
        <v>1761</v>
      </c>
      <c r="D926" t="s">
        <v>3728</v>
      </c>
      <c r="E926" t="s">
        <v>3729</v>
      </c>
      <c r="F926" s="3">
        <v>505.66893413550628</v>
      </c>
      <c r="G926" s="3">
        <v>600.22884347589991</v>
      </c>
      <c r="H926" t="s">
        <v>73</v>
      </c>
      <c r="I926" t="s">
        <v>3727</v>
      </c>
      <c r="J926" s="3">
        <v>0.64821810938477786</v>
      </c>
      <c r="K926" s="3">
        <v>18.699964138009321</v>
      </c>
    </row>
    <row r="927" spans="1:11" x14ac:dyDescent="0.45">
      <c r="A927" t="s">
        <v>3730</v>
      </c>
      <c r="B927">
        <v>1</v>
      </c>
      <c r="C927" t="s">
        <v>1761</v>
      </c>
      <c r="D927" t="s">
        <v>3731</v>
      </c>
      <c r="E927" t="s">
        <v>3732</v>
      </c>
      <c r="F927" s="3">
        <v>132.90807160681749</v>
      </c>
      <c r="G927" s="3">
        <v>149.81993210418611</v>
      </c>
      <c r="H927" t="s">
        <v>73</v>
      </c>
      <c r="I927" t="s">
        <v>3730</v>
      </c>
      <c r="J927" s="3">
        <v>4.2737737021462259</v>
      </c>
      <c r="K927" s="3">
        <v>12.724479629347879</v>
      </c>
    </row>
    <row r="928" spans="1:11" x14ac:dyDescent="0.45">
      <c r="A928" t="s">
        <v>3733</v>
      </c>
      <c r="B928">
        <v>1</v>
      </c>
      <c r="C928" t="s">
        <v>1761</v>
      </c>
      <c r="D928" t="s">
        <v>3734</v>
      </c>
      <c r="E928" t="s">
        <v>3735</v>
      </c>
      <c r="F928" s="3">
        <v>314.51911815980992</v>
      </c>
      <c r="G928" s="3">
        <v>324.36577920307838</v>
      </c>
      <c r="H928" t="s">
        <v>73</v>
      </c>
      <c r="I928" t="s">
        <v>3733</v>
      </c>
      <c r="J928" s="3">
        <v>1.423257088154509</v>
      </c>
      <c r="K928" s="3">
        <v>3.130703500912551</v>
      </c>
    </row>
    <row r="929" spans="1:13" x14ac:dyDescent="0.45">
      <c r="A929" t="s">
        <v>3736</v>
      </c>
      <c r="B929">
        <v>1</v>
      </c>
      <c r="C929" t="s">
        <v>1761</v>
      </c>
      <c r="D929" t="s">
        <v>3737</v>
      </c>
      <c r="E929" t="s">
        <v>3738</v>
      </c>
      <c r="F929" s="3">
        <v>303.96665471516241</v>
      </c>
      <c r="G929" s="3">
        <v>337.03369291359672</v>
      </c>
      <c r="H929" t="s">
        <v>73</v>
      </c>
      <c r="I929" t="s">
        <v>3736</v>
      </c>
      <c r="J929" s="3">
        <v>1.1680470044655451</v>
      </c>
      <c r="K929" s="3">
        <v>10.87850844344106</v>
      </c>
    </row>
    <row r="930" spans="1:13" x14ac:dyDescent="0.45">
      <c r="A930" t="s">
        <v>3739</v>
      </c>
      <c r="B930">
        <v>3</v>
      </c>
      <c r="C930" t="s">
        <v>1761</v>
      </c>
      <c r="D930" t="s">
        <v>3740</v>
      </c>
      <c r="E930" t="s">
        <v>3741</v>
      </c>
      <c r="F930" s="3">
        <v>54.82525631229597</v>
      </c>
      <c r="G930" s="3">
        <v>55.42114401438446</v>
      </c>
      <c r="H930" t="s">
        <v>73</v>
      </c>
      <c r="I930" t="s">
        <v>3739</v>
      </c>
      <c r="J930" s="3">
        <v>0.91228827428330628</v>
      </c>
      <c r="K930" s="3">
        <v>1.0868853921889441</v>
      </c>
    </row>
    <row r="931" spans="1:13" x14ac:dyDescent="0.45">
      <c r="A931" t="s">
        <v>3742</v>
      </c>
      <c r="B931">
        <v>1</v>
      </c>
      <c r="C931" t="s">
        <v>1761</v>
      </c>
      <c r="D931" t="s">
        <v>3743</v>
      </c>
      <c r="E931" t="s">
        <v>3744</v>
      </c>
      <c r="F931" s="3">
        <v>150.37178869528279</v>
      </c>
      <c r="G931" s="3">
        <v>159.64995917219099</v>
      </c>
      <c r="H931" t="s">
        <v>73</v>
      </c>
      <c r="I931" t="s">
        <v>3742</v>
      </c>
      <c r="J931" s="3">
        <v>3.1869513655994921</v>
      </c>
      <c r="K931" s="3">
        <v>6.1701536953249452</v>
      </c>
    </row>
    <row r="932" spans="1:13" x14ac:dyDescent="0.45">
      <c r="A932" t="s">
        <v>3745</v>
      </c>
      <c r="B932">
        <v>1</v>
      </c>
      <c r="C932" t="s">
        <v>1761</v>
      </c>
      <c r="D932" t="s">
        <v>3746</v>
      </c>
      <c r="E932" t="s">
        <v>3747</v>
      </c>
      <c r="F932" s="3">
        <v>579.31863194410175</v>
      </c>
      <c r="G932" s="3">
        <v>216.79973198847421</v>
      </c>
      <c r="H932" t="s">
        <v>73</v>
      </c>
      <c r="I932" t="s">
        <v>3745</v>
      </c>
      <c r="J932" s="3">
        <v>1.1149383672681681</v>
      </c>
      <c r="K932" s="3">
        <v>62.576772084659417</v>
      </c>
      <c r="M932" t="s">
        <v>1752</v>
      </c>
    </row>
    <row r="933" spans="1:13" x14ac:dyDescent="0.45">
      <c r="A933" t="s">
        <v>3748</v>
      </c>
      <c r="B933">
        <v>2</v>
      </c>
      <c r="C933" t="s">
        <v>1774</v>
      </c>
      <c r="G933" s="3">
        <v>358.31539655961421</v>
      </c>
      <c r="H933" t="s">
        <v>1755</v>
      </c>
      <c r="I933" t="s">
        <v>3748</v>
      </c>
      <c r="M933" t="s">
        <v>1757</v>
      </c>
    </row>
    <row r="934" spans="1:13" x14ac:dyDescent="0.45">
      <c r="A934" t="s">
        <v>3749</v>
      </c>
      <c r="B934">
        <v>1</v>
      </c>
      <c r="C934" t="s">
        <v>1761</v>
      </c>
      <c r="D934" t="s">
        <v>3750</v>
      </c>
      <c r="E934" t="s">
        <v>3751</v>
      </c>
      <c r="F934" s="3">
        <v>265.38365985678257</v>
      </c>
      <c r="G934" s="3">
        <v>278.52156490759069</v>
      </c>
      <c r="H934" t="s">
        <v>73</v>
      </c>
      <c r="I934" t="s">
        <v>3749</v>
      </c>
      <c r="J934" s="3">
        <v>2.1669750174315578</v>
      </c>
      <c r="K934" s="3">
        <v>4.9505327712709022</v>
      </c>
    </row>
    <row r="935" spans="1:13" x14ac:dyDescent="0.45">
      <c r="A935" t="s">
        <v>3752</v>
      </c>
      <c r="B935">
        <v>1</v>
      </c>
      <c r="C935" t="s">
        <v>1761</v>
      </c>
      <c r="D935" t="s">
        <v>3753</v>
      </c>
      <c r="E935" t="s">
        <v>3754</v>
      </c>
      <c r="F935" s="3">
        <v>118.21537910343361</v>
      </c>
      <c r="G935" s="3">
        <v>112.85369441014809</v>
      </c>
      <c r="H935" t="s">
        <v>73</v>
      </c>
      <c r="I935" t="s">
        <v>3752</v>
      </c>
      <c r="J935" s="3">
        <v>2.0556065905185901</v>
      </c>
      <c r="K935" s="3">
        <v>4.5355221409849502</v>
      </c>
    </row>
    <row r="936" spans="1:13" x14ac:dyDescent="0.45">
      <c r="A936" t="s">
        <v>3755</v>
      </c>
      <c r="B936">
        <v>1</v>
      </c>
      <c r="C936" t="s">
        <v>1761</v>
      </c>
      <c r="D936" t="s">
        <v>3756</v>
      </c>
      <c r="E936" t="s">
        <v>3757</v>
      </c>
      <c r="F936" s="3">
        <v>209.88195521710199</v>
      </c>
      <c r="G936" s="3">
        <v>200.13053183612689</v>
      </c>
      <c r="H936" t="s">
        <v>73</v>
      </c>
      <c r="I936" t="s">
        <v>3755</v>
      </c>
      <c r="J936" s="3">
        <v>1.8732130202575279</v>
      </c>
      <c r="K936" s="3">
        <v>4.6461466260347626</v>
      </c>
    </row>
    <row r="937" spans="1:13" x14ac:dyDescent="0.45">
      <c r="A937" t="s">
        <v>3758</v>
      </c>
      <c r="B937">
        <v>1</v>
      </c>
      <c r="C937" t="s">
        <v>1761</v>
      </c>
      <c r="D937" t="s">
        <v>3759</v>
      </c>
      <c r="E937" t="s">
        <v>3760</v>
      </c>
      <c r="F937" s="3">
        <v>107.99885672783439</v>
      </c>
      <c r="G937" s="3">
        <v>112.30901325936109</v>
      </c>
      <c r="H937" t="s">
        <v>73</v>
      </c>
      <c r="I937" t="s">
        <v>3758</v>
      </c>
      <c r="J937" s="3">
        <v>2.499843405113932</v>
      </c>
      <c r="K937" s="3">
        <v>3.99092792471748</v>
      </c>
    </row>
    <row r="938" spans="1:13" x14ac:dyDescent="0.45">
      <c r="A938" t="s">
        <v>3761</v>
      </c>
      <c r="B938">
        <v>1</v>
      </c>
      <c r="C938" t="s">
        <v>1761</v>
      </c>
      <c r="D938" t="s">
        <v>3762</v>
      </c>
      <c r="E938" t="s">
        <v>3763</v>
      </c>
      <c r="F938" s="3">
        <v>279.96252378434332</v>
      </c>
      <c r="G938" s="3">
        <v>279.57570232037119</v>
      </c>
      <c r="H938" t="s">
        <v>73</v>
      </c>
      <c r="I938" t="s">
        <v>3761</v>
      </c>
      <c r="J938" s="3">
        <v>2.0159303718768622</v>
      </c>
      <c r="K938" s="3">
        <v>0.13816901588943761</v>
      </c>
    </row>
    <row r="939" spans="1:13" x14ac:dyDescent="0.45">
      <c r="A939" t="s">
        <v>3764</v>
      </c>
      <c r="B939">
        <v>2</v>
      </c>
      <c r="C939" t="s">
        <v>1761</v>
      </c>
      <c r="D939" t="s">
        <v>3765</v>
      </c>
      <c r="E939" t="s">
        <v>3766</v>
      </c>
      <c r="F939" s="3">
        <v>994.37904125525267</v>
      </c>
      <c r="G939" s="3">
        <v>877.77161309396263</v>
      </c>
      <c r="H939" t="s">
        <v>73</v>
      </c>
      <c r="I939" t="s">
        <v>3764</v>
      </c>
      <c r="J939" s="3">
        <v>0.46041964442343281</v>
      </c>
      <c r="K939" s="3">
        <v>11.726657876265261</v>
      </c>
    </row>
    <row r="940" spans="1:13" x14ac:dyDescent="0.45">
      <c r="A940" t="s">
        <v>3767</v>
      </c>
      <c r="B940">
        <v>1</v>
      </c>
      <c r="C940" t="s">
        <v>1761</v>
      </c>
      <c r="D940" t="s">
        <v>3768</v>
      </c>
      <c r="E940" t="s">
        <v>3769</v>
      </c>
      <c r="F940" s="3">
        <v>409.23003790308638</v>
      </c>
      <c r="G940" s="3">
        <v>414.41755509067133</v>
      </c>
      <c r="H940" t="s">
        <v>73</v>
      </c>
      <c r="I940" t="s">
        <v>3767</v>
      </c>
      <c r="J940" s="3">
        <v>0.61123497163630303</v>
      </c>
      <c r="K940" s="3">
        <v>1.2676286457772989</v>
      </c>
    </row>
    <row r="941" spans="1:13" x14ac:dyDescent="0.45">
      <c r="A941" t="s">
        <v>3770</v>
      </c>
      <c r="B941">
        <v>2</v>
      </c>
      <c r="C941" t="s">
        <v>1761</v>
      </c>
      <c r="D941" t="s">
        <v>3771</v>
      </c>
      <c r="E941" t="s">
        <v>3772</v>
      </c>
      <c r="F941" s="3">
        <v>89.603310868232313</v>
      </c>
      <c r="G941" s="3">
        <v>89.98719692480492</v>
      </c>
      <c r="H941" t="s">
        <v>73</v>
      </c>
      <c r="I941" t="s">
        <v>3770</v>
      </c>
      <c r="J941" s="3">
        <v>2.705786462407862</v>
      </c>
      <c r="K941" s="3">
        <v>0.42842842842842571</v>
      </c>
    </row>
    <row r="942" spans="1:13" x14ac:dyDescent="0.45">
      <c r="A942" t="s">
        <v>3773</v>
      </c>
      <c r="B942">
        <v>1</v>
      </c>
      <c r="C942" t="s">
        <v>1761</v>
      </c>
      <c r="D942" t="s">
        <v>3774</v>
      </c>
      <c r="E942" t="s">
        <v>3775</v>
      </c>
      <c r="F942" s="3">
        <v>96.410520627558455</v>
      </c>
      <c r="G942" s="3">
        <v>100.0849983789153</v>
      </c>
      <c r="H942" t="s">
        <v>73</v>
      </c>
      <c r="I942" t="s">
        <v>3773</v>
      </c>
      <c r="J942" s="3">
        <v>3.6071204632762459</v>
      </c>
      <c r="K942" s="3">
        <v>3.8112829672931969</v>
      </c>
    </row>
    <row r="943" spans="1:13" x14ac:dyDescent="0.45">
      <c r="A943" t="s">
        <v>3776</v>
      </c>
      <c r="B943">
        <v>2</v>
      </c>
      <c r="C943" t="s">
        <v>1761</v>
      </c>
      <c r="D943" t="s">
        <v>3777</v>
      </c>
      <c r="E943" t="s">
        <v>3778</v>
      </c>
      <c r="F943" s="3">
        <v>134.27597145496151</v>
      </c>
      <c r="G943" s="3">
        <v>133.39502307874861</v>
      </c>
      <c r="H943" t="s">
        <v>73</v>
      </c>
      <c r="I943" t="s">
        <v>3776</v>
      </c>
      <c r="J943" s="3">
        <v>1.896240717135</v>
      </c>
      <c r="K943" s="3">
        <v>0.65607298660163271</v>
      </c>
    </row>
    <row r="944" spans="1:13" x14ac:dyDescent="0.45">
      <c r="A944" t="s">
        <v>3779</v>
      </c>
      <c r="B944">
        <v>1</v>
      </c>
      <c r="C944" t="s">
        <v>1761</v>
      </c>
      <c r="D944" t="s">
        <v>3780</v>
      </c>
      <c r="E944" t="s">
        <v>3781</v>
      </c>
      <c r="F944" s="3">
        <v>171.3906103008606</v>
      </c>
      <c r="G944" s="3">
        <v>180.8214219625402</v>
      </c>
      <c r="H944" t="s">
        <v>73</v>
      </c>
      <c r="I944" t="s">
        <v>3779</v>
      </c>
      <c r="J944" s="3">
        <v>1.4725920897392419</v>
      </c>
      <c r="K944" s="3">
        <v>5.5025252813585919</v>
      </c>
    </row>
    <row r="945" spans="1:13" x14ac:dyDescent="0.45">
      <c r="A945" t="s">
        <v>3782</v>
      </c>
      <c r="B945">
        <v>1</v>
      </c>
      <c r="C945" t="s">
        <v>1761</v>
      </c>
      <c r="D945" t="s">
        <v>3783</v>
      </c>
      <c r="E945" t="s">
        <v>3784</v>
      </c>
      <c r="F945" s="3">
        <v>105.5862780018636</v>
      </c>
      <c r="G945" s="3">
        <v>109.33577172009529</v>
      </c>
      <c r="H945" t="s">
        <v>73</v>
      </c>
      <c r="I945" t="s">
        <v>3782</v>
      </c>
      <c r="J945" s="3">
        <v>1.0342765854235501</v>
      </c>
      <c r="K945" s="3">
        <v>3.551118373701458</v>
      </c>
    </row>
    <row r="946" spans="1:13" x14ac:dyDescent="0.45">
      <c r="A946" t="s">
        <v>3785</v>
      </c>
      <c r="B946">
        <v>1</v>
      </c>
      <c r="C946" t="s">
        <v>1761</v>
      </c>
      <c r="D946" t="s">
        <v>3786</v>
      </c>
      <c r="E946" t="s">
        <v>3787</v>
      </c>
      <c r="F946" s="3">
        <v>145.34604507104549</v>
      </c>
      <c r="G946" s="3">
        <v>146.2041625008182</v>
      </c>
      <c r="H946" t="s">
        <v>73</v>
      </c>
      <c r="I946" t="s">
        <v>3785</v>
      </c>
      <c r="J946" s="3">
        <v>4.8060144358197814</v>
      </c>
      <c r="K946" s="3">
        <v>0.59039613314095107</v>
      </c>
    </row>
    <row r="947" spans="1:13" x14ac:dyDescent="0.45">
      <c r="A947" t="s">
        <v>3788</v>
      </c>
      <c r="B947">
        <v>1</v>
      </c>
      <c r="C947" t="s">
        <v>1761</v>
      </c>
      <c r="D947" t="s">
        <v>3789</v>
      </c>
      <c r="E947" t="s">
        <v>3790</v>
      </c>
      <c r="F947" s="3">
        <v>125.5897748036092</v>
      </c>
      <c r="G947" s="3">
        <v>131.65660958551831</v>
      </c>
      <c r="H947" t="s">
        <v>73</v>
      </c>
      <c r="I947" t="s">
        <v>3788</v>
      </c>
      <c r="J947" s="3">
        <v>5.4598316169251166</v>
      </c>
      <c r="K947" s="3">
        <v>4.8306757388459012</v>
      </c>
    </row>
    <row r="948" spans="1:13" x14ac:dyDescent="0.45">
      <c r="A948" t="s">
        <v>3791</v>
      </c>
      <c r="B948">
        <v>1</v>
      </c>
      <c r="C948" t="s">
        <v>1761</v>
      </c>
      <c r="D948" t="s">
        <v>3792</v>
      </c>
      <c r="E948" t="s">
        <v>3793</v>
      </c>
      <c r="F948" s="3">
        <v>310.92128715721663</v>
      </c>
      <c r="G948" s="3">
        <v>338.99389274367439</v>
      </c>
      <c r="H948" t="s">
        <v>73</v>
      </c>
      <c r="I948" t="s">
        <v>3791</v>
      </c>
      <c r="J948" s="3">
        <v>1.047454186768549</v>
      </c>
      <c r="K948" s="3">
        <v>9.0288464463557236</v>
      </c>
    </row>
    <row r="949" spans="1:13" x14ac:dyDescent="0.45">
      <c r="A949" t="s">
        <v>3794</v>
      </c>
      <c r="B949">
        <v>2</v>
      </c>
      <c r="C949" t="s">
        <v>1761</v>
      </c>
      <c r="D949" t="s">
        <v>3795</v>
      </c>
      <c r="E949" t="s">
        <v>3796</v>
      </c>
      <c r="F949" s="3">
        <v>146.917140342507</v>
      </c>
      <c r="G949" s="3">
        <v>148.99801803233979</v>
      </c>
      <c r="H949" t="s">
        <v>73</v>
      </c>
      <c r="I949" t="s">
        <v>3794</v>
      </c>
      <c r="J949" s="3">
        <v>2.9665620934307242</v>
      </c>
      <c r="K949" s="3">
        <v>1.416361416361412</v>
      </c>
    </row>
    <row r="950" spans="1:13" x14ac:dyDescent="0.45">
      <c r="A950" t="s">
        <v>3797</v>
      </c>
      <c r="B950">
        <v>1</v>
      </c>
      <c r="C950" t="s">
        <v>1761</v>
      </c>
      <c r="D950" t="s">
        <v>3798</v>
      </c>
      <c r="E950" t="s">
        <v>3799</v>
      </c>
      <c r="F950" s="3">
        <v>224.316658025712</v>
      </c>
      <c r="G950" s="3">
        <v>221.16892282436771</v>
      </c>
      <c r="H950" t="s">
        <v>73</v>
      </c>
      <c r="I950" t="s">
        <v>3797</v>
      </c>
      <c r="J950" s="3">
        <v>1.026629704293599</v>
      </c>
      <c r="K950" s="3">
        <v>1.403255214770321</v>
      </c>
    </row>
    <row r="951" spans="1:13" x14ac:dyDescent="0.45">
      <c r="A951" t="s">
        <v>3800</v>
      </c>
      <c r="B951">
        <v>1</v>
      </c>
      <c r="C951" t="s">
        <v>1761</v>
      </c>
      <c r="D951" t="s">
        <v>3801</v>
      </c>
      <c r="E951" t="s">
        <v>3802</v>
      </c>
      <c r="F951" s="3">
        <v>49.075445529527499</v>
      </c>
      <c r="G951" s="3">
        <v>48.663183868093533</v>
      </c>
      <c r="H951" t="s">
        <v>73</v>
      </c>
      <c r="I951" t="s">
        <v>3800</v>
      </c>
      <c r="J951" s="3">
        <v>11.100389487057731</v>
      </c>
      <c r="K951" s="3">
        <v>0.84005688992862371</v>
      </c>
    </row>
    <row r="952" spans="1:13" x14ac:dyDescent="0.45">
      <c r="A952" t="s">
        <v>3803</v>
      </c>
      <c r="B952">
        <v>1</v>
      </c>
      <c r="C952" t="s">
        <v>1761</v>
      </c>
      <c r="D952" t="s">
        <v>3804</v>
      </c>
      <c r="E952" t="s">
        <v>3805</v>
      </c>
      <c r="F952" s="3">
        <v>117.618512932212</v>
      </c>
      <c r="G952" s="3">
        <v>123.4890015747356</v>
      </c>
      <c r="H952" t="s">
        <v>73</v>
      </c>
      <c r="I952" t="s">
        <v>3803</v>
      </c>
      <c r="J952" s="3">
        <v>4.265125439990733</v>
      </c>
      <c r="K952" s="3">
        <v>4.9911263934335341</v>
      </c>
    </row>
    <row r="953" spans="1:13" x14ac:dyDescent="0.45">
      <c r="A953" t="s">
        <v>3806</v>
      </c>
      <c r="B953">
        <v>1</v>
      </c>
      <c r="C953" t="s">
        <v>1761</v>
      </c>
      <c r="D953" t="s">
        <v>3807</v>
      </c>
      <c r="E953" t="s">
        <v>3808</v>
      </c>
      <c r="F953" s="3">
        <v>550.93976551896799</v>
      </c>
      <c r="G953" s="3">
        <v>684.40328143703698</v>
      </c>
      <c r="H953" t="s">
        <v>73</v>
      </c>
      <c r="I953" t="s">
        <v>3806</v>
      </c>
      <c r="J953" s="3">
        <v>0.24054019914994551</v>
      </c>
      <c r="K953" s="3">
        <v>24.224701913166609</v>
      </c>
      <c r="M953" t="s">
        <v>1752</v>
      </c>
    </row>
    <row r="954" spans="1:13" x14ac:dyDescent="0.45">
      <c r="A954" t="s">
        <v>3809</v>
      </c>
      <c r="B954">
        <v>1</v>
      </c>
      <c r="C954" t="s">
        <v>1761</v>
      </c>
      <c r="D954" t="s">
        <v>3810</v>
      </c>
      <c r="E954" t="s">
        <v>3811</v>
      </c>
      <c r="F954" s="3">
        <v>322.28881538977822</v>
      </c>
      <c r="G954" s="3">
        <v>239.99734342847529</v>
      </c>
      <c r="H954" t="s">
        <v>73</v>
      </c>
      <c r="I954" t="s">
        <v>3809</v>
      </c>
      <c r="J954" s="3">
        <v>1.215695819004059</v>
      </c>
      <c r="K954" s="3">
        <v>25.5334557179029</v>
      </c>
      <c r="M954" t="s">
        <v>1752</v>
      </c>
    </row>
    <row r="955" spans="1:13" x14ac:dyDescent="0.45">
      <c r="A955" t="s">
        <v>3812</v>
      </c>
      <c r="B955">
        <v>2</v>
      </c>
      <c r="C955" t="s">
        <v>1761</v>
      </c>
      <c r="D955" t="s">
        <v>3813</v>
      </c>
      <c r="E955" t="s">
        <v>3814</v>
      </c>
      <c r="F955" s="3">
        <v>428.58904970246368</v>
      </c>
      <c r="G955" s="3">
        <v>434.54792672334872</v>
      </c>
      <c r="H955" t="s">
        <v>73</v>
      </c>
      <c r="I955" t="s">
        <v>3812</v>
      </c>
      <c r="J955" s="3">
        <v>1.095453077907163</v>
      </c>
      <c r="K955" s="3">
        <v>1.3903474727181391</v>
      </c>
    </row>
    <row r="956" spans="1:13" x14ac:dyDescent="0.45">
      <c r="A956" t="s">
        <v>3815</v>
      </c>
      <c r="B956">
        <v>1</v>
      </c>
      <c r="C956" t="s">
        <v>1761</v>
      </c>
      <c r="D956" t="s">
        <v>3816</v>
      </c>
      <c r="E956" t="s">
        <v>3817</v>
      </c>
      <c r="F956" s="3">
        <v>59.376768563333123</v>
      </c>
      <c r="G956" s="3">
        <v>59.657915360924953</v>
      </c>
      <c r="H956" t="s">
        <v>73</v>
      </c>
      <c r="I956" t="s">
        <v>3815</v>
      </c>
      <c r="J956" s="3">
        <v>1.4432771607618351</v>
      </c>
      <c r="K956" s="3">
        <v>0.47349629222741901</v>
      </c>
    </row>
    <row r="957" spans="1:13" x14ac:dyDescent="0.45">
      <c r="A957" t="s">
        <v>3818</v>
      </c>
      <c r="B957">
        <v>1</v>
      </c>
      <c r="C957" t="s">
        <v>1761</v>
      </c>
      <c r="D957" t="s">
        <v>3819</v>
      </c>
      <c r="E957" t="s">
        <v>3820</v>
      </c>
      <c r="F957" s="3">
        <v>113.96099531249639</v>
      </c>
      <c r="G957" s="3">
        <v>117.1221029253271</v>
      </c>
      <c r="H957" t="s">
        <v>73</v>
      </c>
      <c r="I957" t="s">
        <v>3818</v>
      </c>
      <c r="J957" s="3">
        <v>3.1431647763957198</v>
      </c>
      <c r="K957" s="3">
        <v>2.773850477667795</v>
      </c>
    </row>
    <row r="958" spans="1:13" x14ac:dyDescent="0.45">
      <c r="A958" t="s">
        <v>3821</v>
      </c>
      <c r="B958">
        <v>1</v>
      </c>
      <c r="C958" t="s">
        <v>1761</v>
      </c>
      <c r="D958" t="s">
        <v>3822</v>
      </c>
      <c r="E958" t="s">
        <v>3823</v>
      </c>
      <c r="F958" s="3">
        <v>265.59957537883099</v>
      </c>
      <c r="G958" s="3">
        <v>240.09121123398231</v>
      </c>
      <c r="H958" t="s">
        <v>73</v>
      </c>
      <c r="I958" t="s">
        <v>3821</v>
      </c>
      <c r="J958" s="3">
        <v>4.1169274292293334</v>
      </c>
      <c r="K958" s="3">
        <v>9.6040681196367021</v>
      </c>
    </row>
    <row r="959" spans="1:13" x14ac:dyDescent="0.45">
      <c r="A959" t="s">
        <v>3824</v>
      </c>
      <c r="B959">
        <v>1</v>
      </c>
      <c r="C959" t="s">
        <v>1761</v>
      </c>
      <c r="D959" t="s">
        <v>3825</v>
      </c>
      <c r="E959" t="s">
        <v>3826</v>
      </c>
      <c r="F959" s="3">
        <v>108.2496709822985</v>
      </c>
      <c r="G959" s="3">
        <v>108.50342064416211</v>
      </c>
      <c r="H959" t="s">
        <v>73</v>
      </c>
      <c r="I959" t="s">
        <v>3824</v>
      </c>
      <c r="J959" s="3">
        <v>1.835251681997476</v>
      </c>
      <c r="K959" s="3">
        <v>0.2344114855601811</v>
      </c>
    </row>
    <row r="960" spans="1:13" x14ac:dyDescent="0.45">
      <c r="A960" t="s">
        <v>3827</v>
      </c>
      <c r="B960">
        <v>1</v>
      </c>
      <c r="C960" t="s">
        <v>1761</v>
      </c>
      <c r="D960" t="s">
        <v>3828</v>
      </c>
      <c r="E960" t="s">
        <v>3829</v>
      </c>
      <c r="F960" s="3">
        <v>105.55235773858109</v>
      </c>
      <c r="G960" s="3">
        <v>104.4039611326404</v>
      </c>
      <c r="H960" t="s">
        <v>73</v>
      </c>
      <c r="I960" t="s">
        <v>3827</v>
      </c>
      <c r="J960" s="3">
        <v>4.3085679331330109</v>
      </c>
      <c r="K960" s="3">
        <v>1.08798764001545</v>
      </c>
    </row>
    <row r="961" spans="1:13" x14ac:dyDescent="0.45">
      <c r="A961" t="s">
        <v>3830</v>
      </c>
      <c r="B961">
        <v>1</v>
      </c>
      <c r="C961" t="s">
        <v>1761</v>
      </c>
      <c r="D961" t="s">
        <v>3831</v>
      </c>
      <c r="E961" t="s">
        <v>3832</v>
      </c>
      <c r="F961" s="3">
        <v>488.98994929182749</v>
      </c>
      <c r="G961" s="3">
        <v>431.65165808922387</v>
      </c>
      <c r="H961" t="s">
        <v>73</v>
      </c>
      <c r="I961" t="s">
        <v>3830</v>
      </c>
      <c r="J961" s="3">
        <v>0.65869093899061049</v>
      </c>
      <c r="K961" s="3">
        <v>11.725862931465739</v>
      </c>
    </row>
    <row r="962" spans="1:13" x14ac:dyDescent="0.45">
      <c r="A962" t="s">
        <v>3833</v>
      </c>
      <c r="B962">
        <v>1</v>
      </c>
      <c r="C962" t="s">
        <v>1761</v>
      </c>
      <c r="D962" t="s">
        <v>3834</v>
      </c>
      <c r="E962" t="s">
        <v>3835</v>
      </c>
      <c r="F962" s="3">
        <v>128.6106351740217</v>
      </c>
      <c r="G962" s="3">
        <v>126.0150827201518</v>
      </c>
      <c r="H962" t="s">
        <v>73</v>
      </c>
      <c r="I962" t="s">
        <v>3833</v>
      </c>
      <c r="J962" s="3">
        <v>3.0178260010636402</v>
      </c>
      <c r="K962" s="3">
        <v>2.0181476052566172</v>
      </c>
    </row>
    <row r="963" spans="1:13" x14ac:dyDescent="0.45">
      <c r="A963" t="s">
        <v>3836</v>
      </c>
      <c r="B963">
        <v>1</v>
      </c>
      <c r="C963" t="s">
        <v>1761</v>
      </c>
      <c r="D963" t="s">
        <v>3837</v>
      </c>
      <c r="E963" t="s">
        <v>3838</v>
      </c>
      <c r="F963" s="3">
        <v>184.7910712357307</v>
      </c>
      <c r="G963" s="3">
        <v>186.9081522834901</v>
      </c>
      <c r="H963" t="s">
        <v>73</v>
      </c>
      <c r="I963" t="s">
        <v>3836</v>
      </c>
      <c r="J963" s="3">
        <v>0.26116188222227232</v>
      </c>
      <c r="K963" s="3">
        <v>1.1456619811780271</v>
      </c>
    </row>
    <row r="964" spans="1:13" x14ac:dyDescent="0.45">
      <c r="A964" t="s">
        <v>3839</v>
      </c>
      <c r="B964">
        <v>1</v>
      </c>
      <c r="C964" t="s">
        <v>1761</v>
      </c>
      <c r="D964" t="s">
        <v>3840</v>
      </c>
      <c r="E964" t="s">
        <v>3841</v>
      </c>
      <c r="F964" s="3">
        <v>72.900516608980169</v>
      </c>
      <c r="G964" s="3">
        <v>71.590020283314288</v>
      </c>
      <c r="H964" t="s">
        <v>73</v>
      </c>
      <c r="I964" t="s">
        <v>3839</v>
      </c>
      <c r="J964" s="3">
        <v>1.6630493036336991</v>
      </c>
      <c r="K964" s="3">
        <v>1.797650259044183</v>
      </c>
    </row>
    <row r="965" spans="1:13" x14ac:dyDescent="0.45">
      <c r="A965" t="s">
        <v>3842</v>
      </c>
      <c r="B965">
        <v>1</v>
      </c>
      <c r="C965" t="s">
        <v>1761</v>
      </c>
      <c r="D965" t="s">
        <v>3843</v>
      </c>
      <c r="E965" t="s">
        <v>3844</v>
      </c>
      <c r="F965" s="3">
        <v>257.42413961498312</v>
      </c>
      <c r="G965" s="3">
        <v>265.78254910673007</v>
      </c>
      <c r="H965" t="s">
        <v>73</v>
      </c>
      <c r="I965" t="s">
        <v>3842</v>
      </c>
      <c r="J965" s="3">
        <v>2.9074871645790741</v>
      </c>
      <c r="K965" s="3">
        <v>3.2469408285673098</v>
      </c>
    </row>
    <row r="966" spans="1:13" x14ac:dyDescent="0.45">
      <c r="A966" t="s">
        <v>3845</v>
      </c>
      <c r="B966">
        <v>2</v>
      </c>
      <c r="C966" t="s">
        <v>1761</v>
      </c>
      <c r="D966" t="s">
        <v>3846</v>
      </c>
      <c r="E966" t="s">
        <v>3847</v>
      </c>
      <c r="F966" s="3">
        <v>115.6583131021343</v>
      </c>
      <c r="G966" s="3">
        <v>113.0255788212048</v>
      </c>
      <c r="H966" t="s">
        <v>73</v>
      </c>
      <c r="I966" t="s">
        <v>3845</v>
      </c>
      <c r="J966" s="3">
        <v>3.4685464417265792</v>
      </c>
      <c r="K966" s="3">
        <v>2.2763035447392959</v>
      </c>
    </row>
    <row r="967" spans="1:13" x14ac:dyDescent="0.45">
      <c r="A967" t="s">
        <v>3848</v>
      </c>
      <c r="B967">
        <v>2</v>
      </c>
      <c r="C967" t="s">
        <v>1761</v>
      </c>
      <c r="D967" t="s">
        <v>3849</v>
      </c>
      <c r="E967" t="s">
        <v>3850</v>
      </c>
      <c r="F967" s="3">
        <v>90.851511325754288</v>
      </c>
      <c r="G967" s="3">
        <v>93.006426513328805</v>
      </c>
      <c r="H967" t="s">
        <v>73</v>
      </c>
      <c r="I967" t="s">
        <v>3848</v>
      </c>
      <c r="J967" s="3">
        <v>2.8389649185342059</v>
      </c>
      <c r="K967" s="3">
        <v>2.3719090151928488</v>
      </c>
    </row>
    <row r="968" spans="1:13" x14ac:dyDescent="0.45">
      <c r="A968" t="s">
        <v>3851</v>
      </c>
      <c r="B968">
        <v>2</v>
      </c>
      <c r="C968" t="s">
        <v>1761</v>
      </c>
      <c r="D968" t="s">
        <v>3852</v>
      </c>
      <c r="E968" t="s">
        <v>3853</v>
      </c>
      <c r="F968" s="3">
        <v>186.69517216884111</v>
      </c>
      <c r="G968" s="3">
        <v>183.17920641705459</v>
      </c>
      <c r="H968" t="s">
        <v>73</v>
      </c>
      <c r="I968" t="s">
        <v>3851</v>
      </c>
      <c r="J968" s="3">
        <v>2.5994803122265622</v>
      </c>
      <c r="K968" s="3">
        <v>1.883265491518322</v>
      </c>
    </row>
    <row r="969" spans="1:13" x14ac:dyDescent="0.45">
      <c r="A969" t="s">
        <v>3854</v>
      </c>
      <c r="B969">
        <v>3</v>
      </c>
      <c r="C969" t="s">
        <v>1761</v>
      </c>
      <c r="D969" t="s">
        <v>3855</v>
      </c>
      <c r="E969" t="s">
        <v>3856</v>
      </c>
      <c r="F969" s="3">
        <v>137.6187481701804</v>
      </c>
      <c r="G969" s="3">
        <v>141.3806358307653</v>
      </c>
      <c r="H969" t="s">
        <v>73</v>
      </c>
      <c r="I969" t="s">
        <v>3854</v>
      </c>
      <c r="J969" s="3">
        <v>1.198785847719398</v>
      </c>
      <c r="K969" s="3">
        <v>2.7335575352952142</v>
      </c>
    </row>
    <row r="970" spans="1:13" x14ac:dyDescent="0.45">
      <c r="A970" t="s">
        <v>3857</v>
      </c>
      <c r="B970">
        <v>2</v>
      </c>
      <c r="C970" t="s">
        <v>1774</v>
      </c>
      <c r="G970" s="3">
        <v>268.56759841605339</v>
      </c>
      <c r="H970" t="s">
        <v>1755</v>
      </c>
      <c r="I970" t="s">
        <v>3857</v>
      </c>
      <c r="M970" t="s">
        <v>1757</v>
      </c>
    </row>
    <row r="971" spans="1:13" x14ac:dyDescent="0.45">
      <c r="A971" t="s">
        <v>3858</v>
      </c>
      <c r="B971">
        <v>2</v>
      </c>
      <c r="C971" t="s">
        <v>1761</v>
      </c>
      <c r="D971" t="s">
        <v>3859</v>
      </c>
      <c r="E971" t="s">
        <v>3860</v>
      </c>
      <c r="F971" s="3">
        <v>170.76243311737821</v>
      </c>
      <c r="G971" s="3">
        <v>164.22071464951341</v>
      </c>
      <c r="H971" t="s">
        <v>73</v>
      </c>
      <c r="I971" t="s">
        <v>3858</v>
      </c>
      <c r="J971" s="3">
        <v>3.2848781260843909</v>
      </c>
      <c r="K971" s="3">
        <v>3.8308885323554209</v>
      </c>
    </row>
    <row r="972" spans="1:13" x14ac:dyDescent="0.45">
      <c r="A972" t="s">
        <v>3861</v>
      </c>
      <c r="B972">
        <v>1</v>
      </c>
      <c r="C972" t="s">
        <v>1761</v>
      </c>
      <c r="D972" t="s">
        <v>3862</v>
      </c>
      <c r="E972" t="s">
        <v>3863</v>
      </c>
      <c r="F972" s="3">
        <v>172.47834182054589</v>
      </c>
      <c r="G972" s="3">
        <v>188.45543813937829</v>
      </c>
      <c r="H972" t="s">
        <v>73</v>
      </c>
      <c r="I972" t="s">
        <v>3861</v>
      </c>
      <c r="J972" s="3">
        <v>0.77248583679792482</v>
      </c>
      <c r="K972" s="3">
        <v>9.2632478664803433</v>
      </c>
    </row>
    <row r="973" spans="1:13" x14ac:dyDescent="0.45">
      <c r="A973" t="s">
        <v>3864</v>
      </c>
      <c r="B973">
        <v>1</v>
      </c>
      <c r="C973" t="s">
        <v>1761</v>
      </c>
      <c r="D973" t="s">
        <v>3865</v>
      </c>
      <c r="E973" t="s">
        <v>3866</v>
      </c>
      <c r="F973" s="3">
        <v>299.77619757425771</v>
      </c>
      <c r="G973" s="3">
        <v>320.15803577415471</v>
      </c>
      <c r="H973" t="s">
        <v>73</v>
      </c>
      <c r="I973" t="s">
        <v>3864</v>
      </c>
      <c r="J973" s="3">
        <v>1.3177577519873309</v>
      </c>
      <c r="K973" s="3">
        <v>6.7990181891770138</v>
      </c>
    </row>
    <row r="974" spans="1:13" x14ac:dyDescent="0.45">
      <c r="A974" t="s">
        <v>3867</v>
      </c>
      <c r="B974">
        <v>2</v>
      </c>
      <c r="C974" t="s">
        <v>1761</v>
      </c>
      <c r="D974" t="s">
        <v>3868</v>
      </c>
      <c r="E974" t="s">
        <v>3869</v>
      </c>
      <c r="F974" s="3">
        <v>190.0679552708099</v>
      </c>
      <c r="G974" s="3">
        <v>201.24239892776319</v>
      </c>
      <c r="H974" t="s">
        <v>73</v>
      </c>
      <c r="I974" t="s">
        <v>3867</v>
      </c>
      <c r="J974" s="3">
        <v>2.322080168131198</v>
      </c>
      <c r="K974" s="3">
        <v>5.8791833905046884</v>
      </c>
    </row>
    <row r="975" spans="1:13" x14ac:dyDescent="0.45">
      <c r="A975" t="s">
        <v>3870</v>
      </c>
      <c r="B975">
        <v>1</v>
      </c>
      <c r="C975" t="s">
        <v>1761</v>
      </c>
      <c r="D975" t="s">
        <v>3871</v>
      </c>
      <c r="E975" t="s">
        <v>3872</v>
      </c>
      <c r="F975" s="3">
        <v>294.89722431999292</v>
      </c>
      <c r="G975" s="3">
        <v>281.23779522121572</v>
      </c>
      <c r="H975" t="s">
        <v>73</v>
      </c>
      <c r="I975" t="s">
        <v>3870</v>
      </c>
      <c r="J975" s="3">
        <v>0.88927497317003279</v>
      </c>
      <c r="K975" s="3">
        <v>4.6319286762615741</v>
      </c>
    </row>
    <row r="976" spans="1:13" x14ac:dyDescent="0.45">
      <c r="A976" t="s">
        <v>3873</v>
      </c>
      <c r="B976">
        <v>2</v>
      </c>
      <c r="C976" t="s">
        <v>1761</v>
      </c>
      <c r="D976" t="s">
        <v>3874</v>
      </c>
      <c r="E976" t="s">
        <v>3875</v>
      </c>
      <c r="F976" s="3">
        <v>453.62513941237859</v>
      </c>
      <c r="G976" s="3">
        <v>446.69399022952013</v>
      </c>
      <c r="H976" t="s">
        <v>73</v>
      </c>
      <c r="I976" t="s">
        <v>3873</v>
      </c>
      <c r="J976" s="3">
        <v>0.9359989451884011</v>
      </c>
      <c r="K976" s="3">
        <v>1.527946443144016</v>
      </c>
    </row>
    <row r="977" spans="1:13" x14ac:dyDescent="0.45">
      <c r="A977" t="s">
        <v>3876</v>
      </c>
      <c r="B977">
        <v>1</v>
      </c>
      <c r="C977" t="s">
        <v>1761</v>
      </c>
      <c r="D977" t="s">
        <v>3877</v>
      </c>
      <c r="E977" t="s">
        <v>3878</v>
      </c>
      <c r="F977" s="3">
        <v>1065.870562312497</v>
      </c>
      <c r="G977" s="3">
        <v>2206.705558792165</v>
      </c>
      <c r="H977" t="s">
        <v>73</v>
      </c>
      <c r="I977" t="s">
        <v>3876</v>
      </c>
      <c r="J977" s="3">
        <v>0.29764042259620532</v>
      </c>
      <c r="K977" s="3">
        <v>107.0331648905407</v>
      </c>
      <c r="M977" t="s">
        <v>1752</v>
      </c>
    </row>
    <row r="978" spans="1:13" x14ac:dyDescent="0.45">
      <c r="A978" t="s">
        <v>3879</v>
      </c>
      <c r="B978">
        <v>1</v>
      </c>
      <c r="C978" t="s">
        <v>1761</v>
      </c>
      <c r="D978" t="s">
        <v>3880</v>
      </c>
      <c r="E978" t="s">
        <v>3881</v>
      </c>
      <c r="F978" s="3">
        <v>124.5346589216955</v>
      </c>
      <c r="G978" s="3">
        <v>120.6586165289098</v>
      </c>
      <c r="H978" t="s">
        <v>73</v>
      </c>
      <c r="I978" t="s">
        <v>3879</v>
      </c>
      <c r="J978" s="3">
        <v>8.3073623487239221</v>
      </c>
      <c r="K978" s="3">
        <v>3.1124206115366841</v>
      </c>
    </row>
    <row r="979" spans="1:13" x14ac:dyDescent="0.45">
      <c r="A979" t="s">
        <v>3882</v>
      </c>
      <c r="B979">
        <v>1</v>
      </c>
      <c r="C979" t="s">
        <v>1761</v>
      </c>
      <c r="D979" t="s">
        <v>3883</v>
      </c>
      <c r="E979" t="s">
        <v>3884</v>
      </c>
      <c r="F979" s="3">
        <v>292.51693507541609</v>
      </c>
      <c r="G979" s="3">
        <v>286.38128129780881</v>
      </c>
      <c r="H979" t="s">
        <v>73</v>
      </c>
      <c r="I979" t="s">
        <v>3882</v>
      </c>
      <c r="J979" s="3">
        <v>4.9463156428976616</v>
      </c>
      <c r="K979" s="3">
        <v>2.0975379685369222</v>
      </c>
    </row>
    <row r="980" spans="1:13" x14ac:dyDescent="0.45">
      <c r="A980" t="s">
        <v>3885</v>
      </c>
      <c r="B980">
        <v>1</v>
      </c>
      <c r="C980" t="s">
        <v>1774</v>
      </c>
      <c r="G980" s="3">
        <v>235.54850520514341</v>
      </c>
      <c r="H980" t="s">
        <v>1755</v>
      </c>
      <c r="I980" t="s">
        <v>3885</v>
      </c>
      <c r="M980" t="s">
        <v>1757</v>
      </c>
    </row>
    <row r="981" spans="1:13" x14ac:dyDescent="0.45">
      <c r="A981" t="s">
        <v>3886</v>
      </c>
      <c r="B981">
        <v>1</v>
      </c>
      <c r="C981" t="s">
        <v>1761</v>
      </c>
      <c r="D981" t="s">
        <v>3887</v>
      </c>
      <c r="E981" t="s">
        <v>3888</v>
      </c>
      <c r="F981" s="3">
        <v>515.25499623297912</v>
      </c>
      <c r="G981" s="3">
        <v>456.83093044895651</v>
      </c>
      <c r="H981" t="s">
        <v>73</v>
      </c>
      <c r="I981" t="s">
        <v>3886</v>
      </c>
      <c r="J981" s="3">
        <v>0.52634215319652178</v>
      </c>
      <c r="K981" s="3">
        <v>11.3388644867415</v>
      </c>
    </row>
    <row r="982" spans="1:13" x14ac:dyDescent="0.45">
      <c r="A982" t="s">
        <v>3889</v>
      </c>
      <c r="B982">
        <v>1</v>
      </c>
      <c r="C982" t="s">
        <v>1761</v>
      </c>
      <c r="D982" t="s">
        <v>3890</v>
      </c>
      <c r="E982" t="s">
        <v>3891</v>
      </c>
      <c r="F982" s="3">
        <v>1575.634715926614</v>
      </c>
      <c r="G982" s="3">
        <v>1916.687307726437</v>
      </c>
      <c r="H982" t="s">
        <v>73</v>
      </c>
      <c r="I982" t="s">
        <v>3889</v>
      </c>
      <c r="J982" s="3">
        <v>0.1623138727346233</v>
      </c>
      <c r="K982" s="3">
        <v>21.645409837219351</v>
      </c>
      <c r="M982" t="s">
        <v>1752</v>
      </c>
    </row>
    <row r="983" spans="1:13" x14ac:dyDescent="0.45">
      <c r="A983" t="s">
        <v>3892</v>
      </c>
      <c r="B983">
        <v>1</v>
      </c>
      <c r="C983" t="s">
        <v>1761</v>
      </c>
      <c r="D983" t="s">
        <v>3893</v>
      </c>
      <c r="E983" t="s">
        <v>3894</v>
      </c>
      <c r="F983" s="3">
        <v>283.61417058925991</v>
      </c>
      <c r="G983" s="3">
        <v>278.21334713064829</v>
      </c>
      <c r="H983" t="s">
        <v>73</v>
      </c>
      <c r="I983" t="s">
        <v>3892</v>
      </c>
      <c r="J983" s="3">
        <v>0.79349196970497304</v>
      </c>
      <c r="K983" s="3">
        <v>1.9042854760713721</v>
      </c>
    </row>
    <row r="984" spans="1:13" x14ac:dyDescent="0.45">
      <c r="A984" t="s">
        <v>3895</v>
      </c>
      <c r="B984">
        <v>3</v>
      </c>
      <c r="C984" t="s">
        <v>1761</v>
      </c>
      <c r="D984" t="s">
        <v>3896</v>
      </c>
      <c r="E984" t="s">
        <v>3897</v>
      </c>
      <c r="F984" s="3">
        <v>83.672809452208767</v>
      </c>
      <c r="G984" s="3">
        <v>82.879923297979374</v>
      </c>
      <c r="H984" t="s">
        <v>73</v>
      </c>
      <c r="I984" t="s">
        <v>3895</v>
      </c>
      <c r="J984" s="3">
        <v>8.6763254767343767</v>
      </c>
      <c r="K984" s="3">
        <v>0.94760312151615844</v>
      </c>
    </row>
    <row r="985" spans="1:13" x14ac:dyDescent="0.45">
      <c r="A985" t="s">
        <v>3898</v>
      </c>
      <c r="B985">
        <v>1</v>
      </c>
      <c r="C985" t="s">
        <v>1761</v>
      </c>
      <c r="D985" t="s">
        <v>3899</v>
      </c>
      <c r="E985" t="s">
        <v>3900</v>
      </c>
      <c r="F985" s="3">
        <v>1320.4711661655861</v>
      </c>
      <c r="G985" s="3">
        <v>1291.8467039880311</v>
      </c>
      <c r="H985" t="s">
        <v>73</v>
      </c>
      <c r="I985" t="s">
        <v>3898</v>
      </c>
      <c r="J985" s="3">
        <v>0.71190053636613015</v>
      </c>
      <c r="K985" s="3">
        <v>2.1677460978322518</v>
      </c>
    </row>
    <row r="986" spans="1:13" x14ac:dyDescent="0.45">
      <c r="A986" t="s">
        <v>3901</v>
      </c>
      <c r="B986">
        <v>1</v>
      </c>
      <c r="C986" t="s">
        <v>1761</v>
      </c>
      <c r="D986" t="s">
        <v>3902</v>
      </c>
      <c r="E986" t="s">
        <v>3903</v>
      </c>
      <c r="F986" s="3">
        <v>104.9072204234573</v>
      </c>
      <c r="G986" s="3">
        <v>105.71706670932799</v>
      </c>
      <c r="H986" t="s">
        <v>73</v>
      </c>
      <c r="I986" t="s">
        <v>3901</v>
      </c>
      <c r="J986" s="3">
        <v>4.6079805947783914</v>
      </c>
      <c r="K986" s="3">
        <v>0.77196429626265217</v>
      </c>
    </row>
    <row r="987" spans="1:13" x14ac:dyDescent="0.45">
      <c r="A987" t="s">
        <v>3904</v>
      </c>
      <c r="B987">
        <v>1</v>
      </c>
      <c r="C987" t="s">
        <v>1761</v>
      </c>
      <c r="D987" t="s">
        <v>3905</v>
      </c>
      <c r="E987" t="s">
        <v>3906</v>
      </c>
      <c r="F987" s="3">
        <v>516.88806121620678</v>
      </c>
      <c r="G987" s="3">
        <v>599.6613313786728</v>
      </c>
      <c r="H987" t="s">
        <v>73</v>
      </c>
      <c r="I987" t="s">
        <v>3904</v>
      </c>
      <c r="J987" s="3">
        <v>0.51034748787639317</v>
      </c>
      <c r="K987" s="3">
        <v>16.013770944468209</v>
      </c>
    </row>
    <row r="988" spans="1:13" x14ac:dyDescent="0.45">
      <c r="A988" t="s">
        <v>3907</v>
      </c>
      <c r="B988">
        <v>1</v>
      </c>
      <c r="C988" t="s">
        <v>1761</v>
      </c>
      <c r="D988" t="s">
        <v>3908</v>
      </c>
      <c r="E988" t="s">
        <v>3909</v>
      </c>
      <c r="F988" s="3">
        <v>68.867592998512634</v>
      </c>
      <c r="G988" s="3">
        <v>70.325185850528769</v>
      </c>
      <c r="H988" t="s">
        <v>73</v>
      </c>
      <c r="I988" t="s">
        <v>3907</v>
      </c>
      <c r="J988" s="3">
        <v>1.929100240018585</v>
      </c>
      <c r="K988" s="3">
        <v>2.1165148781192569</v>
      </c>
    </row>
    <row r="989" spans="1:13" x14ac:dyDescent="0.45">
      <c r="A989" t="s">
        <v>3910</v>
      </c>
      <c r="B989">
        <v>1</v>
      </c>
      <c r="C989" t="s">
        <v>1761</v>
      </c>
      <c r="D989" t="s">
        <v>3911</v>
      </c>
      <c r="E989" t="s">
        <v>3912</v>
      </c>
      <c r="F989" s="3">
        <v>437.79383499438558</v>
      </c>
      <c r="G989" s="3">
        <v>370.85284771904583</v>
      </c>
      <c r="H989" t="s">
        <v>73</v>
      </c>
      <c r="I989" t="s">
        <v>3910</v>
      </c>
      <c r="J989" s="3">
        <v>2.116124742907592</v>
      </c>
      <c r="K989" s="3">
        <v>15.29052762385251</v>
      </c>
    </row>
    <row r="990" spans="1:13" x14ac:dyDescent="0.45">
      <c r="A990" t="s">
        <v>3913</v>
      </c>
      <c r="B990">
        <v>1</v>
      </c>
      <c r="C990" t="s">
        <v>1761</v>
      </c>
      <c r="D990" t="s">
        <v>3914</v>
      </c>
      <c r="E990" t="s">
        <v>3915</v>
      </c>
      <c r="F990" s="3">
        <v>135.44687285096461</v>
      </c>
      <c r="G990" s="3">
        <v>137.548950705349</v>
      </c>
      <c r="H990" t="s">
        <v>73</v>
      </c>
      <c r="I990" t="s">
        <v>3913</v>
      </c>
      <c r="J990" s="3">
        <v>4.2360394696183779</v>
      </c>
      <c r="K990" s="3">
        <v>1.5519574650478489</v>
      </c>
    </row>
    <row r="991" spans="1:13" x14ac:dyDescent="0.45">
      <c r="A991" t="s">
        <v>3916</v>
      </c>
      <c r="B991">
        <v>1</v>
      </c>
      <c r="C991" t="s">
        <v>1761</v>
      </c>
      <c r="D991" t="s">
        <v>3917</v>
      </c>
      <c r="E991" t="s">
        <v>3918</v>
      </c>
      <c r="F991" s="3">
        <v>101.2594874950733</v>
      </c>
      <c r="G991" s="3">
        <v>105.8243721575968</v>
      </c>
      <c r="H991" t="s">
        <v>73</v>
      </c>
      <c r="I991" t="s">
        <v>3916</v>
      </c>
      <c r="J991" s="3">
        <v>2.8244751579082661</v>
      </c>
      <c r="K991" s="3">
        <v>4.5081056357762543</v>
      </c>
    </row>
    <row r="992" spans="1:13" x14ac:dyDescent="0.45">
      <c r="A992" t="s">
        <v>3919</v>
      </c>
      <c r="B992">
        <v>1</v>
      </c>
      <c r="C992" t="s">
        <v>1761</v>
      </c>
      <c r="D992" t="s">
        <v>3920</v>
      </c>
      <c r="E992" t="s">
        <v>3921</v>
      </c>
      <c r="F992" s="3">
        <v>162.8338977314618</v>
      </c>
      <c r="G992" s="3">
        <v>178.70140550738139</v>
      </c>
      <c r="H992" t="s">
        <v>73</v>
      </c>
      <c r="I992" t="s">
        <v>3919</v>
      </c>
      <c r="J992" s="3">
        <v>3.7158588255041032</v>
      </c>
      <c r="K992" s="3">
        <v>9.7445974069155632</v>
      </c>
    </row>
    <row r="993" spans="1:13" x14ac:dyDescent="0.45">
      <c r="A993" t="s">
        <v>3922</v>
      </c>
      <c r="B993">
        <v>1</v>
      </c>
      <c r="C993" t="s">
        <v>1761</v>
      </c>
      <c r="D993" t="s">
        <v>3923</v>
      </c>
      <c r="E993" t="s">
        <v>3924</v>
      </c>
      <c r="F993" s="3">
        <v>306.82639383498292</v>
      </c>
      <c r="G993" s="3">
        <v>362.33690469686172</v>
      </c>
      <c r="H993" t="s">
        <v>73</v>
      </c>
      <c r="I993" t="s">
        <v>3922</v>
      </c>
      <c r="J993" s="3">
        <v>1.583062524601087</v>
      </c>
      <c r="K993" s="3">
        <v>18.091830421777029</v>
      </c>
    </row>
    <row r="994" spans="1:13" x14ac:dyDescent="0.45">
      <c r="A994" t="s">
        <v>3925</v>
      </c>
      <c r="B994">
        <v>2</v>
      </c>
      <c r="C994" t="s">
        <v>1761</v>
      </c>
      <c r="D994" t="s">
        <v>3926</v>
      </c>
      <c r="E994" t="s">
        <v>3927</v>
      </c>
      <c r="F994" s="3">
        <v>58.566269964707011</v>
      </c>
      <c r="G994" s="3">
        <v>59.372854686800522</v>
      </c>
      <c r="H994" t="s">
        <v>73</v>
      </c>
      <c r="I994" t="s">
        <v>3925</v>
      </c>
      <c r="J994" s="3">
        <v>11.630211428377081</v>
      </c>
      <c r="K994" s="3">
        <v>1.3772171637011821</v>
      </c>
    </row>
    <row r="995" spans="1:13" x14ac:dyDescent="0.45">
      <c r="A995" t="s">
        <v>3928</v>
      </c>
      <c r="B995">
        <v>2</v>
      </c>
      <c r="C995" t="s">
        <v>1761</v>
      </c>
      <c r="D995" t="s">
        <v>3929</v>
      </c>
      <c r="E995" t="s">
        <v>3930</v>
      </c>
      <c r="F995" s="3">
        <v>420.30467770845848</v>
      </c>
      <c r="G995" s="3">
        <v>478.1452497327457</v>
      </c>
      <c r="H995" t="s">
        <v>73</v>
      </c>
      <c r="I995" t="s">
        <v>3928</v>
      </c>
      <c r="J995" s="3">
        <v>1.597879603740979</v>
      </c>
      <c r="K995" s="3">
        <v>13.761581798146899</v>
      </c>
    </row>
    <row r="996" spans="1:13" x14ac:dyDescent="0.45">
      <c r="A996" t="s">
        <v>3931</v>
      </c>
      <c r="B996">
        <v>2</v>
      </c>
      <c r="C996" t="s">
        <v>1761</v>
      </c>
      <c r="D996" t="s">
        <v>3932</v>
      </c>
      <c r="E996" t="s">
        <v>3931</v>
      </c>
      <c r="F996" s="3">
        <v>355.29029615629139</v>
      </c>
      <c r="G996" s="3">
        <v>268.73230738680041</v>
      </c>
      <c r="H996" t="s">
        <v>73</v>
      </c>
      <c r="I996" t="s">
        <v>3931</v>
      </c>
      <c r="J996" s="3">
        <v>3.0622197672378251</v>
      </c>
      <c r="K996" s="3">
        <v>24.362609873086551</v>
      </c>
      <c r="M996" t="s">
        <v>1752</v>
      </c>
    </row>
    <row r="997" spans="1:13" x14ac:dyDescent="0.45">
      <c r="A997" t="s">
        <v>3933</v>
      </c>
      <c r="B997">
        <v>1</v>
      </c>
      <c r="C997" t="s">
        <v>1761</v>
      </c>
      <c r="D997" t="s">
        <v>3934</v>
      </c>
      <c r="E997" t="s">
        <v>3933</v>
      </c>
      <c r="F997" s="3">
        <v>263.6670988408593</v>
      </c>
      <c r="G997" s="3">
        <v>256.48317846527033</v>
      </c>
      <c r="H997" t="s">
        <v>73</v>
      </c>
      <c r="I997" t="s">
        <v>3933</v>
      </c>
      <c r="J997" s="3">
        <v>2.9269814849779139</v>
      </c>
      <c r="K997" s="3">
        <v>2.724617674018166</v>
      </c>
    </row>
    <row r="998" spans="1:13" x14ac:dyDescent="0.45">
      <c r="A998" t="s">
        <v>3935</v>
      </c>
      <c r="B998">
        <v>1</v>
      </c>
      <c r="C998" t="s">
        <v>1761</v>
      </c>
      <c r="D998" t="s">
        <v>3936</v>
      </c>
      <c r="E998" t="s">
        <v>3935</v>
      </c>
      <c r="F998" s="3">
        <v>75.656864157064362</v>
      </c>
      <c r="G998" s="3">
        <v>77.114457009080496</v>
      </c>
      <c r="H998" t="s">
        <v>73</v>
      </c>
      <c r="I998" t="s">
        <v>3935</v>
      </c>
      <c r="J998" s="3">
        <v>5.6347222118593843</v>
      </c>
      <c r="K998" s="3">
        <v>1.926583751859114</v>
      </c>
    </row>
    <row r="999" spans="1:13" x14ac:dyDescent="0.45">
      <c r="A999" t="s">
        <v>3937</v>
      </c>
      <c r="B999">
        <v>1</v>
      </c>
      <c r="C999" t="s">
        <v>1761</v>
      </c>
      <c r="D999" t="s">
        <v>3938</v>
      </c>
      <c r="E999" t="s">
        <v>3937</v>
      </c>
      <c r="F999" s="3">
        <v>337.98574338015192</v>
      </c>
      <c r="G999" s="3">
        <v>343.05127808247067</v>
      </c>
      <c r="H999" t="s">
        <v>73</v>
      </c>
      <c r="I999" t="s">
        <v>3937</v>
      </c>
      <c r="J999" s="3">
        <v>0.58565689932740306</v>
      </c>
      <c r="K999" s="3">
        <v>1.4987421219779811</v>
      </c>
    </row>
    <row r="1000" spans="1:13" x14ac:dyDescent="0.45">
      <c r="A1000" t="s">
        <v>3939</v>
      </c>
      <c r="B1000">
        <v>1</v>
      </c>
      <c r="C1000" t="s">
        <v>1761</v>
      </c>
      <c r="D1000" t="s">
        <v>3940</v>
      </c>
      <c r="E1000" t="s">
        <v>3939</v>
      </c>
      <c r="F1000" s="3">
        <v>182.8230436525879</v>
      </c>
      <c r="G1000" s="3">
        <v>192.29592948699289</v>
      </c>
      <c r="H1000" t="s">
        <v>73</v>
      </c>
      <c r="I1000" t="s">
        <v>3939</v>
      </c>
      <c r="J1000" s="3">
        <v>5.1987550142344663</v>
      </c>
      <c r="K1000" s="3">
        <v>5.1814506777417328</v>
      </c>
    </row>
    <row r="1001" spans="1:13" x14ac:dyDescent="0.45">
      <c r="A1001" t="s">
        <v>3941</v>
      </c>
      <c r="B1001">
        <v>1</v>
      </c>
      <c r="C1001" t="s">
        <v>1761</v>
      </c>
      <c r="D1001" t="s">
        <v>3942</v>
      </c>
      <c r="E1001" t="s">
        <v>3941</v>
      </c>
      <c r="F1001" s="3">
        <v>190.5118541008824</v>
      </c>
      <c r="G1001" s="3">
        <v>216.35942087855659</v>
      </c>
      <c r="H1001" t="s">
        <v>73</v>
      </c>
      <c r="I1001" t="s">
        <v>3941</v>
      </c>
      <c r="J1001" s="3">
        <v>3.7434830861414321</v>
      </c>
      <c r="K1001" s="3">
        <v>13.567432273262661</v>
      </c>
    </row>
    <row r="1002" spans="1:13" x14ac:dyDescent="0.45">
      <c r="A1002" t="s">
        <v>3943</v>
      </c>
      <c r="B1002">
        <v>2</v>
      </c>
      <c r="C1002" t="s">
        <v>1761</v>
      </c>
      <c r="D1002" t="s">
        <v>3944</v>
      </c>
      <c r="E1002" t="s">
        <v>3943</v>
      </c>
      <c r="F1002" s="3">
        <v>267.78025692024522</v>
      </c>
      <c r="G1002" s="3">
        <v>287.268752801576</v>
      </c>
      <c r="H1002" t="s">
        <v>73</v>
      </c>
      <c r="I1002" t="s">
        <v>3943</v>
      </c>
      <c r="J1002" s="3">
        <v>1.7306343382270399</v>
      </c>
      <c r="K1002" s="3">
        <v>7.2777941531123567</v>
      </c>
    </row>
    <row r="1003" spans="1:13" x14ac:dyDescent="0.45">
      <c r="A1003" t="s">
        <v>3945</v>
      </c>
      <c r="B1003">
        <v>2</v>
      </c>
      <c r="C1003" t="s">
        <v>1761</v>
      </c>
      <c r="D1003" t="s">
        <v>3946</v>
      </c>
      <c r="E1003" t="s">
        <v>3945</v>
      </c>
      <c r="F1003" s="3">
        <v>140.10145051736029</v>
      </c>
      <c r="G1003" s="3">
        <v>150.7240375832169</v>
      </c>
      <c r="H1003" t="s">
        <v>73</v>
      </c>
      <c r="I1003" t="s">
        <v>3945</v>
      </c>
      <c r="J1003" s="3">
        <v>0.43465060863463217</v>
      </c>
      <c r="K1003" s="3">
        <v>7.5820678705538116</v>
      </c>
    </row>
    <row r="1004" spans="1:13" x14ac:dyDescent="0.45">
      <c r="A1004" t="s">
        <v>3947</v>
      </c>
      <c r="B1004">
        <v>1</v>
      </c>
      <c r="C1004" t="s">
        <v>1761</v>
      </c>
      <c r="D1004" t="s">
        <v>3948</v>
      </c>
      <c r="E1004" t="s">
        <v>3947</v>
      </c>
      <c r="F1004" s="3">
        <v>287.36235968198071</v>
      </c>
      <c r="G1004" s="3">
        <v>331.91629934722101</v>
      </c>
      <c r="H1004" t="s">
        <v>73</v>
      </c>
      <c r="I1004" t="s">
        <v>3947</v>
      </c>
      <c r="J1004" s="3">
        <v>0.84713847868597003</v>
      </c>
      <c r="K1004" s="3">
        <v>15.504445228855801</v>
      </c>
    </row>
    <row r="1005" spans="1:13" x14ac:dyDescent="0.45">
      <c r="A1005" t="s">
        <v>3949</v>
      </c>
      <c r="B1005">
        <v>1</v>
      </c>
      <c r="C1005" t="s">
        <v>1761</v>
      </c>
      <c r="D1005" t="s">
        <v>3950</v>
      </c>
      <c r="E1005" t="s">
        <v>3949</v>
      </c>
      <c r="F1005" s="3">
        <v>183.5431969345864</v>
      </c>
      <c r="G1005" s="3">
        <v>203.6817224767068</v>
      </c>
      <c r="H1005" t="s">
        <v>73</v>
      </c>
      <c r="I1005" t="s">
        <v>3949</v>
      </c>
      <c r="J1005" s="3">
        <v>4.6178925248290028</v>
      </c>
      <c r="K1005" s="3">
        <v>10.97209042800838</v>
      </c>
    </row>
    <row r="1006" spans="1:13" x14ac:dyDescent="0.45">
      <c r="A1006" t="s">
        <v>3951</v>
      </c>
      <c r="B1006">
        <v>1</v>
      </c>
      <c r="C1006" t="s">
        <v>1761</v>
      </c>
      <c r="D1006" t="s">
        <v>3952</v>
      </c>
      <c r="E1006" t="s">
        <v>3953</v>
      </c>
      <c r="F1006" s="3">
        <v>75.064890331508479</v>
      </c>
      <c r="G1006" s="3">
        <v>76.226007036180079</v>
      </c>
      <c r="H1006" t="s">
        <v>73</v>
      </c>
      <c r="I1006" t="s">
        <v>3951</v>
      </c>
      <c r="J1006" s="3">
        <v>5.2742900889183728</v>
      </c>
      <c r="K1006" s="3">
        <v>1.546817293069729</v>
      </c>
    </row>
    <row r="1007" spans="1:13" x14ac:dyDescent="0.45">
      <c r="A1007" t="s">
        <v>3954</v>
      </c>
      <c r="B1007">
        <v>3</v>
      </c>
      <c r="C1007" t="s">
        <v>1761</v>
      </c>
      <c r="D1007" t="s">
        <v>3955</v>
      </c>
      <c r="E1007" t="s">
        <v>3954</v>
      </c>
      <c r="F1007" s="3">
        <v>174.32210382377869</v>
      </c>
      <c r="G1007" s="3">
        <v>164.643739471412</v>
      </c>
      <c r="H1007" t="s">
        <v>73</v>
      </c>
      <c r="I1007" t="s">
        <v>3954</v>
      </c>
      <c r="J1007" s="3">
        <v>0.82521932217749006</v>
      </c>
      <c r="K1007" s="3">
        <v>5.5520006585914459</v>
      </c>
    </row>
    <row r="1008" spans="1:13" x14ac:dyDescent="0.45">
      <c r="A1008" t="s">
        <v>3956</v>
      </c>
      <c r="B1008">
        <v>1</v>
      </c>
      <c r="C1008" t="s">
        <v>1761</v>
      </c>
      <c r="D1008" t="s">
        <v>3957</v>
      </c>
      <c r="E1008" t="s">
        <v>3956</v>
      </c>
      <c r="F1008" s="3">
        <v>151.48920044534029</v>
      </c>
      <c r="G1008" s="3">
        <v>153.3874305636518</v>
      </c>
      <c r="H1008" t="s">
        <v>73</v>
      </c>
      <c r="I1008" t="s">
        <v>3956</v>
      </c>
      <c r="J1008" s="3">
        <v>2.8052703441088629</v>
      </c>
      <c r="K1008" s="3">
        <v>1.253046496206399</v>
      </c>
    </row>
    <row r="1009" spans="1:13" x14ac:dyDescent="0.45">
      <c r="A1009" t="s">
        <v>3958</v>
      </c>
      <c r="B1009">
        <v>1</v>
      </c>
      <c r="C1009" t="s">
        <v>1761</v>
      </c>
      <c r="D1009" t="s">
        <v>3959</v>
      </c>
      <c r="E1009" t="s">
        <v>3958</v>
      </c>
      <c r="F1009" s="3">
        <v>123.1243587444483</v>
      </c>
      <c r="G1009" s="3">
        <v>131.34545640117659</v>
      </c>
      <c r="H1009" t="s">
        <v>73</v>
      </c>
      <c r="I1009" t="s">
        <v>3958</v>
      </c>
      <c r="J1009" s="3">
        <v>4.482026381178688</v>
      </c>
      <c r="K1009" s="3">
        <v>6.6770684051167928</v>
      </c>
    </row>
    <row r="1010" spans="1:13" x14ac:dyDescent="0.45">
      <c r="A1010" t="s">
        <v>3960</v>
      </c>
      <c r="B1010">
        <v>1</v>
      </c>
      <c r="C1010" t="s">
        <v>1761</v>
      </c>
      <c r="D1010" t="s">
        <v>3961</v>
      </c>
      <c r="E1010" t="s">
        <v>3960</v>
      </c>
      <c r="F1010" s="3">
        <v>141.86889192820729</v>
      </c>
      <c r="G1010" s="3">
        <v>141.5756773446399</v>
      </c>
      <c r="H1010" t="s">
        <v>73</v>
      </c>
      <c r="I1010" t="s">
        <v>3960</v>
      </c>
      <c r="J1010" s="3">
        <v>1.7472440049653779</v>
      </c>
      <c r="K1010" s="3">
        <v>0.20667997020497891</v>
      </c>
    </row>
    <row r="1011" spans="1:13" x14ac:dyDescent="0.45">
      <c r="A1011" t="s">
        <v>3962</v>
      </c>
      <c r="B1011">
        <v>1</v>
      </c>
      <c r="C1011" t="s">
        <v>1761</v>
      </c>
      <c r="D1011" t="s">
        <v>3963</v>
      </c>
      <c r="E1011" t="s">
        <v>3964</v>
      </c>
      <c r="F1011" s="3">
        <v>77.860050488540963</v>
      </c>
      <c r="G1011" s="3">
        <v>74.489550481216142</v>
      </c>
      <c r="H1011" t="s">
        <v>73</v>
      </c>
      <c r="I1011" t="s">
        <v>3962</v>
      </c>
      <c r="J1011" s="3">
        <v>1.71258873278393</v>
      </c>
      <c r="K1011" s="3">
        <v>4.3289209115281517</v>
      </c>
    </row>
    <row r="1012" spans="1:13" x14ac:dyDescent="0.45">
      <c r="A1012" t="s">
        <v>3965</v>
      </c>
      <c r="B1012">
        <v>1</v>
      </c>
      <c r="C1012" t="s">
        <v>1761</v>
      </c>
      <c r="D1012" t="s">
        <v>3966</v>
      </c>
      <c r="E1012" t="s">
        <v>3965</v>
      </c>
      <c r="F1012" s="3">
        <v>112.6619144600506</v>
      </c>
      <c r="G1012" s="3">
        <v>108.1410609085189</v>
      </c>
      <c r="H1012" t="s">
        <v>73</v>
      </c>
      <c r="I1012" t="s">
        <v>3965</v>
      </c>
      <c r="J1012" s="3">
        <v>1.805388686190126</v>
      </c>
      <c r="K1012" s="3">
        <v>4.0127611652958812</v>
      </c>
    </row>
    <row r="1013" spans="1:13" x14ac:dyDescent="0.45">
      <c r="A1013" t="s">
        <v>3967</v>
      </c>
      <c r="B1013">
        <v>1</v>
      </c>
      <c r="C1013" t="s">
        <v>1761</v>
      </c>
      <c r="D1013" t="s">
        <v>3968</v>
      </c>
      <c r="E1013" t="s">
        <v>3967</v>
      </c>
      <c r="F1013" s="3">
        <v>178.42254180443359</v>
      </c>
      <c r="G1013" s="3">
        <v>163.62515310380269</v>
      </c>
      <c r="H1013" t="s">
        <v>73</v>
      </c>
      <c r="I1013" t="s">
        <v>3967</v>
      </c>
      <c r="J1013" s="3">
        <v>6.9968410916897303</v>
      </c>
      <c r="K1013" s="3">
        <v>8.2934524701761756</v>
      </c>
    </row>
    <row r="1014" spans="1:13" x14ac:dyDescent="0.45">
      <c r="A1014" t="s">
        <v>3969</v>
      </c>
      <c r="B1014">
        <v>2</v>
      </c>
      <c r="C1014" t="s">
        <v>1761</v>
      </c>
      <c r="D1014" t="s">
        <v>3970</v>
      </c>
      <c r="E1014" t="s">
        <v>3969</v>
      </c>
      <c r="F1014" s="3">
        <v>63.306626758442157</v>
      </c>
      <c r="G1014" s="3">
        <v>58.018653406520599</v>
      </c>
      <c r="H1014" t="s">
        <v>73</v>
      </c>
      <c r="I1014" t="s">
        <v>3969</v>
      </c>
      <c r="J1014" s="3">
        <v>5.8182651224182331</v>
      </c>
      <c r="K1014" s="3">
        <v>8.3529539049660304</v>
      </c>
    </row>
    <row r="1015" spans="1:13" x14ac:dyDescent="0.45">
      <c r="A1015" t="s">
        <v>3971</v>
      </c>
      <c r="B1015">
        <v>1</v>
      </c>
      <c r="C1015" t="s">
        <v>1761</v>
      </c>
      <c r="D1015" t="s">
        <v>3972</v>
      </c>
      <c r="E1015" t="s">
        <v>3971</v>
      </c>
      <c r="F1015" s="3">
        <v>218.89691749719279</v>
      </c>
      <c r="G1015" s="3">
        <v>216.31245436016539</v>
      </c>
      <c r="H1015" t="s">
        <v>73</v>
      </c>
      <c r="I1015" t="s">
        <v>3971</v>
      </c>
      <c r="J1015" s="3">
        <v>0.8316272919022738</v>
      </c>
      <c r="K1015" s="3">
        <v>1.1806758937391491</v>
      </c>
    </row>
    <row r="1016" spans="1:13" x14ac:dyDescent="0.45">
      <c r="A1016" t="s">
        <v>3973</v>
      </c>
      <c r="B1016">
        <v>1</v>
      </c>
      <c r="C1016" t="s">
        <v>1761</v>
      </c>
      <c r="D1016" t="s">
        <v>3974</v>
      </c>
      <c r="E1016" t="s">
        <v>3973</v>
      </c>
      <c r="F1016" s="3">
        <v>121.1126262066914</v>
      </c>
      <c r="G1016" s="3">
        <v>118.70722292103051</v>
      </c>
      <c r="H1016" t="s">
        <v>73</v>
      </c>
      <c r="I1016" t="s">
        <v>3973</v>
      </c>
      <c r="J1016" s="3">
        <v>4.2027753586205199</v>
      </c>
      <c r="K1016" s="3">
        <v>1.9860879587863109</v>
      </c>
    </row>
    <row r="1017" spans="1:13" x14ac:dyDescent="0.45">
      <c r="A1017" t="s">
        <v>3975</v>
      </c>
      <c r="B1017">
        <v>6</v>
      </c>
      <c r="C1017" t="s">
        <v>1761</v>
      </c>
      <c r="D1017" t="s">
        <v>3976</v>
      </c>
      <c r="E1017" t="s">
        <v>3975</v>
      </c>
      <c r="F1017" s="3">
        <v>381.02370820176469</v>
      </c>
      <c r="G1017" s="3">
        <v>346.66835231134928</v>
      </c>
      <c r="H1017" t="s">
        <v>73</v>
      </c>
      <c r="I1017" t="s">
        <v>3975</v>
      </c>
      <c r="J1017" s="3">
        <v>0.73450841927262367</v>
      </c>
      <c r="K1017" s="3">
        <v>9.0165927082477353</v>
      </c>
    </row>
    <row r="1018" spans="1:13" x14ac:dyDescent="0.45">
      <c r="A1018" t="s">
        <v>3977</v>
      </c>
      <c r="B1018">
        <v>1</v>
      </c>
      <c r="C1018" t="s">
        <v>1761</v>
      </c>
      <c r="D1018" t="s">
        <v>3978</v>
      </c>
      <c r="E1018" t="s">
        <v>3979</v>
      </c>
      <c r="F1018" s="3">
        <v>66.481106782759227</v>
      </c>
      <c r="G1018" s="3">
        <v>68.810515632412205</v>
      </c>
      <c r="H1018" t="s">
        <v>73</v>
      </c>
      <c r="I1018" t="s">
        <v>3977</v>
      </c>
      <c r="J1018" s="3">
        <v>2.7656409042445591</v>
      </c>
      <c r="K1018" s="3">
        <v>3.5038659288041218</v>
      </c>
    </row>
    <row r="1019" spans="1:13" x14ac:dyDescent="0.45">
      <c r="A1019" t="s">
        <v>3980</v>
      </c>
      <c r="B1019">
        <v>1</v>
      </c>
      <c r="C1019" t="s">
        <v>1761</v>
      </c>
      <c r="D1019" t="s">
        <v>3981</v>
      </c>
      <c r="E1019" t="s">
        <v>3982</v>
      </c>
      <c r="F1019" s="3">
        <v>34.448310458064711</v>
      </c>
      <c r="G1019" s="3">
        <v>34.343614260817638</v>
      </c>
      <c r="H1019" t="s">
        <v>73</v>
      </c>
      <c r="I1019" t="s">
        <v>3980</v>
      </c>
      <c r="J1019" s="3">
        <v>10.93505139276048</v>
      </c>
      <c r="K1019" s="3">
        <v>0.30392258968556601</v>
      </c>
    </row>
    <row r="1020" spans="1:13" x14ac:dyDescent="0.45">
      <c r="A1020" t="s">
        <v>3983</v>
      </c>
      <c r="B1020">
        <v>2</v>
      </c>
      <c r="C1020" t="s">
        <v>1761</v>
      </c>
      <c r="D1020" t="s">
        <v>3984</v>
      </c>
      <c r="E1020" t="s">
        <v>3983</v>
      </c>
      <c r="F1020" s="3">
        <v>134.33141803917329</v>
      </c>
      <c r="G1020" s="3">
        <v>168.30517096766019</v>
      </c>
      <c r="H1020" t="s">
        <v>73</v>
      </c>
      <c r="I1020" t="s">
        <v>3983</v>
      </c>
      <c r="J1020" s="3">
        <v>3.714390011314411</v>
      </c>
      <c r="K1020" s="3">
        <v>25.290995527628191</v>
      </c>
      <c r="M1020" t="s">
        <v>1752</v>
      </c>
    </row>
    <row r="1021" spans="1:13" x14ac:dyDescent="0.45">
      <c r="A1021" t="s">
        <v>3985</v>
      </c>
      <c r="B1021">
        <v>2</v>
      </c>
      <c r="C1021" t="s">
        <v>1761</v>
      </c>
      <c r="D1021" t="s">
        <v>3986</v>
      </c>
      <c r="E1021" t="s">
        <v>3985</v>
      </c>
      <c r="F1021" s="3">
        <v>60.952430024082709</v>
      </c>
      <c r="G1021" s="3">
        <v>61.046036904487423</v>
      </c>
      <c r="H1021" t="s">
        <v>73</v>
      </c>
      <c r="I1021" t="s">
        <v>3985</v>
      </c>
      <c r="J1021" s="3">
        <v>3.8268354437314129</v>
      </c>
      <c r="K1021" s="3">
        <v>0.15357366452448681</v>
      </c>
    </row>
    <row r="1022" spans="1:13" x14ac:dyDescent="0.45">
      <c r="A1022" t="s">
        <v>3987</v>
      </c>
      <c r="B1022">
        <v>1</v>
      </c>
      <c r="C1022" t="s">
        <v>1761</v>
      </c>
      <c r="D1022" t="s">
        <v>3988</v>
      </c>
      <c r="E1022" t="s">
        <v>3987</v>
      </c>
      <c r="F1022" s="3">
        <v>259.6785324977613</v>
      </c>
      <c r="G1022" s="3">
        <v>270.09042254361287</v>
      </c>
      <c r="H1022" t="s">
        <v>73</v>
      </c>
      <c r="I1022" t="s">
        <v>3987</v>
      </c>
      <c r="J1022" s="3">
        <v>1.008806314773198</v>
      </c>
      <c r="K1022" s="3">
        <v>4.0095305321171937</v>
      </c>
    </row>
    <row r="1023" spans="1:13" x14ac:dyDescent="0.45">
      <c r="A1023" t="s">
        <v>3989</v>
      </c>
      <c r="B1023">
        <v>1</v>
      </c>
      <c r="C1023" t="s">
        <v>1761</v>
      </c>
      <c r="D1023" t="s">
        <v>3990</v>
      </c>
      <c r="E1023" t="s">
        <v>3989</v>
      </c>
      <c r="F1023" s="3">
        <v>127.5542146665971</v>
      </c>
      <c r="G1023" s="3">
        <v>129.62400303958759</v>
      </c>
      <c r="H1023" t="s">
        <v>73</v>
      </c>
      <c r="I1023" t="s">
        <v>3989</v>
      </c>
      <c r="J1023" s="3">
        <v>1.1757946483298201</v>
      </c>
      <c r="K1023" s="3">
        <v>1.6226734478358791</v>
      </c>
    </row>
    <row r="1024" spans="1:13" x14ac:dyDescent="0.45">
      <c r="A1024" t="s">
        <v>3991</v>
      </c>
      <c r="B1024">
        <v>1</v>
      </c>
      <c r="C1024" t="s">
        <v>1761</v>
      </c>
      <c r="D1024" t="s">
        <v>3992</v>
      </c>
      <c r="E1024" t="s">
        <v>3993</v>
      </c>
      <c r="F1024" s="3">
        <v>82.906994277329858</v>
      </c>
      <c r="G1024" s="3">
        <v>83.134977585353852</v>
      </c>
      <c r="H1024" t="s">
        <v>73</v>
      </c>
      <c r="I1024" t="s">
        <v>3991</v>
      </c>
      <c r="J1024" s="3">
        <v>4.1581699027786598</v>
      </c>
      <c r="K1024" s="3">
        <v>0.2749868210894062</v>
      </c>
    </row>
    <row r="1025" spans="1:13" x14ac:dyDescent="0.45">
      <c r="A1025" t="s">
        <v>3994</v>
      </c>
      <c r="B1025">
        <v>1</v>
      </c>
      <c r="C1025" t="s">
        <v>1761</v>
      </c>
      <c r="D1025" t="s">
        <v>3995</v>
      </c>
      <c r="E1025" t="s">
        <v>3994</v>
      </c>
      <c r="F1025" s="3">
        <v>398.7242148204524</v>
      </c>
      <c r="G1025" s="3">
        <v>398.9675274782291</v>
      </c>
      <c r="H1025" t="s">
        <v>73</v>
      </c>
      <c r="I1025" t="s">
        <v>3994</v>
      </c>
      <c r="J1025" s="3">
        <v>0.48128981760558981</v>
      </c>
      <c r="K1025" s="3">
        <v>6.1022794385906007E-2</v>
      </c>
    </row>
    <row r="1026" spans="1:13" x14ac:dyDescent="0.45">
      <c r="A1026" t="s">
        <v>3996</v>
      </c>
      <c r="B1026">
        <v>2</v>
      </c>
      <c r="C1026" t="s">
        <v>1761</v>
      </c>
      <c r="D1026" t="s">
        <v>3997</v>
      </c>
      <c r="E1026" t="s">
        <v>3998</v>
      </c>
      <c r="F1026" s="3">
        <v>40.446000087897907</v>
      </c>
      <c r="G1026" s="3">
        <v>41.676588101023178</v>
      </c>
      <c r="H1026" t="s">
        <v>73</v>
      </c>
      <c r="I1026" t="s">
        <v>3996</v>
      </c>
      <c r="J1026" s="3">
        <v>12.473566053351661</v>
      </c>
      <c r="K1026" s="3">
        <v>3.042545642216631</v>
      </c>
    </row>
    <row r="1027" spans="1:13" x14ac:dyDescent="0.45">
      <c r="A1027" t="s">
        <v>3999</v>
      </c>
      <c r="B1027">
        <v>3</v>
      </c>
      <c r="C1027" t="s">
        <v>1761</v>
      </c>
      <c r="D1027" t="s">
        <v>4000</v>
      </c>
      <c r="E1027" t="s">
        <v>4001</v>
      </c>
      <c r="F1027" s="3">
        <v>84.540385416935308</v>
      </c>
      <c r="G1027" s="3">
        <v>84.349910092348722</v>
      </c>
      <c r="H1027" t="s">
        <v>73</v>
      </c>
      <c r="I1027" t="s">
        <v>3999</v>
      </c>
      <c r="J1027" s="3">
        <v>5.9413516019443149</v>
      </c>
      <c r="K1027" s="3">
        <v>0.22530690349612439</v>
      </c>
    </row>
    <row r="1028" spans="1:13" x14ac:dyDescent="0.45">
      <c r="A1028" t="s">
        <v>4002</v>
      </c>
      <c r="B1028">
        <v>1</v>
      </c>
      <c r="C1028" t="s">
        <v>1761</v>
      </c>
      <c r="D1028" t="s">
        <v>4003</v>
      </c>
      <c r="E1028" t="s">
        <v>4002</v>
      </c>
      <c r="F1028" s="3">
        <v>95.479018012799443</v>
      </c>
      <c r="G1028" s="3">
        <v>104.0579092158829</v>
      </c>
      <c r="H1028" t="s">
        <v>73</v>
      </c>
      <c r="I1028" t="s">
        <v>4002</v>
      </c>
      <c r="J1028" s="3">
        <v>0.91452090076607784</v>
      </c>
      <c r="K1028" s="3">
        <v>8.9851062376169928</v>
      </c>
    </row>
    <row r="1029" spans="1:13" x14ac:dyDescent="0.45">
      <c r="A1029" t="s">
        <v>4004</v>
      </c>
      <c r="B1029">
        <v>1</v>
      </c>
      <c r="C1029" t="s">
        <v>1761</v>
      </c>
      <c r="D1029" t="s">
        <v>4005</v>
      </c>
      <c r="E1029" t="s">
        <v>4004</v>
      </c>
      <c r="F1029" s="3">
        <v>439.56388565625451</v>
      </c>
      <c r="G1029" s="3">
        <v>510.29122232050793</v>
      </c>
      <c r="H1029" t="s">
        <v>73</v>
      </c>
      <c r="I1029" t="s">
        <v>4004</v>
      </c>
      <c r="J1029" s="3">
        <v>1.440021277038342</v>
      </c>
      <c r="K1029" s="3">
        <v>16.090342944953228</v>
      </c>
    </row>
    <row r="1030" spans="1:13" x14ac:dyDescent="0.45">
      <c r="A1030" t="s">
        <v>4006</v>
      </c>
      <c r="B1030">
        <v>1</v>
      </c>
      <c r="C1030" t="s">
        <v>1774</v>
      </c>
      <c r="G1030" s="3">
        <v>201.5176749105562</v>
      </c>
      <c r="H1030" t="s">
        <v>1755</v>
      </c>
      <c r="I1030" t="s">
        <v>4006</v>
      </c>
      <c r="M1030" t="s">
        <v>1757</v>
      </c>
    </row>
    <row r="1031" spans="1:13" x14ac:dyDescent="0.45">
      <c r="A1031" t="s">
        <v>4007</v>
      </c>
      <c r="B1031">
        <v>2</v>
      </c>
      <c r="C1031" t="s">
        <v>1761</v>
      </c>
      <c r="D1031" t="s">
        <v>4008</v>
      </c>
      <c r="E1031" t="s">
        <v>4007</v>
      </c>
      <c r="F1031" s="3">
        <v>194.83668766940639</v>
      </c>
      <c r="G1031" s="3">
        <v>201.5007147789149</v>
      </c>
      <c r="H1031" t="s">
        <v>73</v>
      </c>
      <c r="I1031" t="s">
        <v>4007</v>
      </c>
      <c r="J1031" s="3">
        <v>1.3024993611821549</v>
      </c>
      <c r="K1031" s="3">
        <v>3.4203143100111801</v>
      </c>
    </row>
    <row r="1032" spans="1:13" x14ac:dyDescent="0.45">
      <c r="A1032" t="s">
        <v>4009</v>
      </c>
      <c r="B1032">
        <v>1</v>
      </c>
      <c r="C1032" t="s">
        <v>1761</v>
      </c>
      <c r="D1032" t="s">
        <v>4010</v>
      </c>
      <c r="E1032" t="s">
        <v>4011</v>
      </c>
      <c r="F1032" s="3">
        <v>319.44799333986538</v>
      </c>
      <c r="G1032" s="3">
        <v>355.10275623910428</v>
      </c>
      <c r="H1032" t="s">
        <v>73</v>
      </c>
      <c r="I1032" t="s">
        <v>4009</v>
      </c>
      <c r="J1032" s="3">
        <v>0.68548655475576936</v>
      </c>
      <c r="K1032" s="3">
        <v>11.16136699638157</v>
      </c>
    </row>
    <row r="1033" spans="1:13" x14ac:dyDescent="0.45">
      <c r="A1033" t="s">
        <v>4012</v>
      </c>
      <c r="B1033">
        <v>1</v>
      </c>
      <c r="C1033" t="s">
        <v>1761</v>
      </c>
      <c r="D1033" t="s">
        <v>4013</v>
      </c>
      <c r="E1033" t="s">
        <v>4012</v>
      </c>
      <c r="F1033" s="3">
        <v>443.75010276424882</v>
      </c>
      <c r="G1033" s="3">
        <v>490.18694319804791</v>
      </c>
      <c r="H1033" t="s">
        <v>73</v>
      </c>
      <c r="I1033" t="s">
        <v>4012</v>
      </c>
      <c r="J1033" s="3">
        <v>0.53117087077982195</v>
      </c>
      <c r="K1033" s="3">
        <v>10.46463767434204</v>
      </c>
    </row>
    <row r="1034" spans="1:13" x14ac:dyDescent="0.45">
      <c r="A1034" t="s">
        <v>4014</v>
      </c>
      <c r="B1034">
        <v>1</v>
      </c>
      <c r="C1034" t="s">
        <v>1761</v>
      </c>
      <c r="D1034" t="s">
        <v>4015</v>
      </c>
      <c r="E1034" t="s">
        <v>4016</v>
      </c>
      <c r="F1034" s="3">
        <v>118.0868734906132</v>
      </c>
      <c r="G1034" s="3">
        <v>115.6022142051671</v>
      </c>
      <c r="H1034" t="s">
        <v>73</v>
      </c>
      <c r="I1034" t="s">
        <v>4014</v>
      </c>
      <c r="J1034" s="3">
        <v>9.7176881602678495</v>
      </c>
      <c r="K1034" s="3">
        <v>2.1040943942373391</v>
      </c>
    </row>
    <row r="1035" spans="1:13" x14ac:dyDescent="0.45">
      <c r="A1035" t="s">
        <v>4017</v>
      </c>
      <c r="B1035">
        <v>2</v>
      </c>
      <c r="C1035" t="s">
        <v>1761</v>
      </c>
      <c r="D1035" t="s">
        <v>4018</v>
      </c>
      <c r="E1035" t="s">
        <v>4017</v>
      </c>
      <c r="F1035" s="3">
        <v>483.19447661617858</v>
      </c>
      <c r="G1035" s="3">
        <v>415.13183755787088</v>
      </c>
      <c r="H1035" t="s">
        <v>73</v>
      </c>
      <c r="I1035" t="s">
        <v>4017</v>
      </c>
      <c r="J1035" s="3">
        <v>0.60693849738722294</v>
      </c>
      <c r="K1035" s="3">
        <v>14.085972077940919</v>
      </c>
    </row>
    <row r="1036" spans="1:13" x14ac:dyDescent="0.45">
      <c r="A1036" t="s">
        <v>4019</v>
      </c>
      <c r="B1036">
        <v>1</v>
      </c>
      <c r="C1036" t="s">
        <v>1761</v>
      </c>
      <c r="D1036" t="s">
        <v>4020</v>
      </c>
      <c r="E1036" t="s">
        <v>4019</v>
      </c>
      <c r="F1036" s="3">
        <v>367.29317701264529</v>
      </c>
      <c r="G1036" s="3">
        <v>378.491430085172</v>
      </c>
      <c r="H1036" t="s">
        <v>73</v>
      </c>
      <c r="I1036" t="s">
        <v>4019</v>
      </c>
      <c r="J1036" s="3">
        <v>0.18004772547455949</v>
      </c>
      <c r="K1036" s="3">
        <v>3.0488595414722739</v>
      </c>
    </row>
    <row r="1037" spans="1:13" x14ac:dyDescent="0.45">
      <c r="A1037" t="s">
        <v>4021</v>
      </c>
      <c r="B1037">
        <v>2</v>
      </c>
      <c r="C1037" t="s">
        <v>1761</v>
      </c>
      <c r="D1037" t="s">
        <v>4022</v>
      </c>
      <c r="E1037" t="s">
        <v>4021</v>
      </c>
      <c r="F1037" s="3">
        <v>215.1428575896731</v>
      </c>
      <c r="G1037" s="3">
        <v>209.12527242079921</v>
      </c>
      <c r="H1037" t="s">
        <v>73</v>
      </c>
      <c r="I1037" t="s">
        <v>4021</v>
      </c>
      <c r="J1037" s="3">
        <v>5.178506901372204</v>
      </c>
      <c r="K1037" s="3">
        <v>2.7970183329770721</v>
      </c>
    </row>
    <row r="1038" spans="1:13" x14ac:dyDescent="0.45">
      <c r="A1038" t="s">
        <v>4023</v>
      </c>
      <c r="B1038">
        <v>1</v>
      </c>
      <c r="C1038" t="s">
        <v>1761</v>
      </c>
      <c r="D1038" t="s">
        <v>4024</v>
      </c>
      <c r="E1038" t="s">
        <v>4025</v>
      </c>
      <c r="F1038" s="3">
        <v>76.887452170189633</v>
      </c>
      <c r="G1038" s="3">
        <v>78.464092100072378</v>
      </c>
      <c r="H1038" t="s">
        <v>73</v>
      </c>
      <c r="I1038" t="s">
        <v>4023</v>
      </c>
      <c r="J1038" s="3">
        <v>3.2232456975030499</v>
      </c>
      <c r="K1038" s="3">
        <v>2.0505815778533929</v>
      </c>
    </row>
    <row r="1039" spans="1:13" x14ac:dyDescent="0.45">
      <c r="A1039" t="s">
        <v>4026</v>
      </c>
      <c r="B1039">
        <v>1</v>
      </c>
      <c r="C1039" t="s">
        <v>1761</v>
      </c>
      <c r="D1039" t="s">
        <v>4027</v>
      </c>
      <c r="E1039" t="s">
        <v>4026</v>
      </c>
      <c r="F1039" s="3">
        <v>116.8181251812951</v>
      </c>
      <c r="G1039" s="3">
        <v>105.449944635978</v>
      </c>
      <c r="H1039" t="s">
        <v>73</v>
      </c>
      <c r="I1039" t="s">
        <v>4026</v>
      </c>
      <c r="J1039" s="3">
        <v>4.7923308381287226</v>
      </c>
      <c r="K1039" s="3">
        <v>9.7315211382431652</v>
      </c>
    </row>
    <row r="1040" spans="1:13" x14ac:dyDescent="0.45">
      <c r="A1040" t="s">
        <v>4028</v>
      </c>
      <c r="B1040">
        <v>1</v>
      </c>
      <c r="C1040" t="s">
        <v>1761</v>
      </c>
      <c r="D1040" t="s">
        <v>4029</v>
      </c>
      <c r="E1040" t="s">
        <v>4028</v>
      </c>
      <c r="F1040" s="3">
        <v>298.40471000595869</v>
      </c>
      <c r="G1040" s="3">
        <v>256.54221276963699</v>
      </c>
      <c r="H1040" t="s">
        <v>73</v>
      </c>
      <c r="I1040" t="s">
        <v>4028</v>
      </c>
      <c r="J1040" s="3">
        <v>2.8777490197174438</v>
      </c>
      <c r="K1040" s="3">
        <v>14.028765576617671</v>
      </c>
    </row>
    <row r="1041" spans="1:13" x14ac:dyDescent="0.45">
      <c r="A1041" t="s">
        <v>4030</v>
      </c>
      <c r="B1041">
        <v>1</v>
      </c>
      <c r="C1041" t="s">
        <v>1761</v>
      </c>
      <c r="D1041" t="s">
        <v>4031</v>
      </c>
      <c r="E1041" t="s">
        <v>4030</v>
      </c>
      <c r="F1041" s="3">
        <v>251.27609189502249</v>
      </c>
      <c r="G1041" s="3">
        <v>266.37060905575339</v>
      </c>
      <c r="H1041" t="s">
        <v>73</v>
      </c>
      <c r="I1041" t="s">
        <v>4030</v>
      </c>
      <c r="J1041" s="3">
        <v>2.4436104990609722</v>
      </c>
      <c r="K1041" s="3">
        <v>6.0071441922286137</v>
      </c>
    </row>
    <row r="1042" spans="1:13" x14ac:dyDescent="0.45">
      <c r="A1042" t="s">
        <v>4032</v>
      </c>
      <c r="B1042">
        <v>1</v>
      </c>
      <c r="C1042" t="s">
        <v>1761</v>
      </c>
      <c r="D1042" t="s">
        <v>4033</v>
      </c>
      <c r="E1042" t="s">
        <v>4032</v>
      </c>
      <c r="F1042" s="3">
        <v>516.07006102089326</v>
      </c>
      <c r="G1042" s="3">
        <v>492.0460345510333</v>
      </c>
      <c r="H1042" t="s">
        <v>73</v>
      </c>
      <c r="I1042" t="s">
        <v>4032</v>
      </c>
      <c r="J1042" s="3">
        <v>0.43729052000131952</v>
      </c>
      <c r="K1042" s="3">
        <v>4.6551870151768568</v>
      </c>
    </row>
    <row r="1043" spans="1:13" x14ac:dyDescent="0.45">
      <c r="A1043" t="s">
        <v>4034</v>
      </c>
      <c r="B1043">
        <v>1</v>
      </c>
      <c r="C1043" t="s">
        <v>1761</v>
      </c>
      <c r="D1043" t="s">
        <v>4035</v>
      </c>
      <c r="E1043" t="s">
        <v>4034</v>
      </c>
      <c r="F1043" s="3">
        <v>511.21685412046799</v>
      </c>
      <c r="G1043" s="3">
        <v>446.04820060164099</v>
      </c>
      <c r="H1043" t="s">
        <v>73</v>
      </c>
      <c r="I1043" t="s">
        <v>4034</v>
      </c>
      <c r="J1043" s="3">
        <v>0.42112401890849849</v>
      </c>
      <c r="K1043" s="3">
        <v>12.747751368829119</v>
      </c>
    </row>
    <row r="1044" spans="1:13" x14ac:dyDescent="0.45">
      <c r="A1044" t="s">
        <v>4036</v>
      </c>
      <c r="B1044">
        <v>1</v>
      </c>
      <c r="C1044" t="s">
        <v>1774</v>
      </c>
      <c r="G1044" s="3">
        <v>475.52947558345738</v>
      </c>
      <c r="H1044" t="s">
        <v>1755</v>
      </c>
      <c r="I1044" t="s">
        <v>4036</v>
      </c>
      <c r="M1044" t="s">
        <v>1757</v>
      </c>
    </row>
    <row r="1045" spans="1:13" x14ac:dyDescent="0.45">
      <c r="A1045" t="s">
        <v>4037</v>
      </c>
      <c r="B1045">
        <v>1</v>
      </c>
      <c r="C1045" t="s">
        <v>1761</v>
      </c>
      <c r="D1045" t="s">
        <v>4038</v>
      </c>
      <c r="E1045" t="s">
        <v>4039</v>
      </c>
      <c r="F1045" s="3">
        <v>46.956081387124108</v>
      </c>
      <c r="G1045" s="3">
        <v>47.398349435308013</v>
      </c>
      <c r="H1045" t="s">
        <v>73</v>
      </c>
      <c r="I1045" t="s">
        <v>4037</v>
      </c>
      <c r="J1045" s="3">
        <v>3.378517940792142</v>
      </c>
      <c r="K1045" s="3">
        <v>0.94187597243832077</v>
      </c>
    </row>
    <row r="1046" spans="1:13" x14ac:dyDescent="0.45">
      <c r="A1046" t="s">
        <v>4040</v>
      </c>
      <c r="B1046">
        <v>1</v>
      </c>
      <c r="C1046" t="s">
        <v>1774</v>
      </c>
      <c r="G1046" s="3">
        <v>481.18828873684288</v>
      </c>
      <c r="H1046" t="s">
        <v>1755</v>
      </c>
      <c r="I1046" t="s">
        <v>4040</v>
      </c>
      <c r="M1046" t="s">
        <v>1757</v>
      </c>
    </row>
    <row r="1047" spans="1:13" x14ac:dyDescent="0.45">
      <c r="A1047" t="s">
        <v>4041</v>
      </c>
      <c r="B1047">
        <v>2</v>
      </c>
      <c r="C1047" t="s">
        <v>1761</v>
      </c>
      <c r="D1047" t="s">
        <v>4042</v>
      </c>
      <c r="E1047" t="s">
        <v>4041</v>
      </c>
      <c r="F1047" s="3">
        <v>388.74415581869778</v>
      </c>
      <c r="G1047" s="3">
        <v>331.68146675526498</v>
      </c>
      <c r="H1047" t="s">
        <v>73</v>
      </c>
      <c r="I1047" t="s">
        <v>4041</v>
      </c>
      <c r="J1047" s="3">
        <v>2.188611181853902</v>
      </c>
      <c r="K1047" s="3">
        <v>14.67872589447895</v>
      </c>
    </row>
    <row r="1048" spans="1:13" x14ac:dyDescent="0.45">
      <c r="A1048" t="s">
        <v>4043</v>
      </c>
      <c r="B1048">
        <v>1</v>
      </c>
      <c r="C1048" t="s">
        <v>1761</v>
      </c>
      <c r="D1048" t="s">
        <v>4044</v>
      </c>
      <c r="E1048" t="s">
        <v>4043</v>
      </c>
      <c r="F1048" s="3">
        <v>149.6131489607136</v>
      </c>
      <c r="G1048" s="3">
        <v>143.18786831969379</v>
      </c>
      <c r="H1048" t="s">
        <v>73</v>
      </c>
      <c r="I1048" t="s">
        <v>4043</v>
      </c>
      <c r="J1048" s="3">
        <v>5.1995419974081107</v>
      </c>
      <c r="K1048" s="3">
        <v>4.2945962207553228</v>
      </c>
    </row>
    <row r="1049" spans="1:13" x14ac:dyDescent="0.45">
      <c r="A1049" t="s">
        <v>4045</v>
      </c>
      <c r="B1049">
        <v>2</v>
      </c>
      <c r="C1049" t="s">
        <v>1761</v>
      </c>
      <c r="D1049" t="s">
        <v>4046</v>
      </c>
      <c r="E1049" t="s">
        <v>4045</v>
      </c>
      <c r="F1049" s="3">
        <v>550.01087215523057</v>
      </c>
      <c r="G1049" s="3">
        <v>505.93703467798952</v>
      </c>
      <c r="H1049" t="s">
        <v>73</v>
      </c>
      <c r="I1049" t="s">
        <v>4045</v>
      </c>
      <c r="J1049" s="3">
        <v>2.2352538937888822</v>
      </c>
      <c r="K1049" s="3">
        <v>8.0132665931742046</v>
      </c>
    </row>
    <row r="1050" spans="1:13" x14ac:dyDescent="0.45">
      <c r="A1050" t="s">
        <v>4047</v>
      </c>
      <c r="B1050">
        <v>1</v>
      </c>
      <c r="C1050" t="s">
        <v>1761</v>
      </c>
      <c r="D1050" t="s">
        <v>4048</v>
      </c>
      <c r="E1050" t="s">
        <v>4047</v>
      </c>
      <c r="F1050" s="3">
        <v>96.182863475912171</v>
      </c>
      <c r="G1050" s="3">
        <v>96.182863475912171</v>
      </c>
      <c r="H1050" t="s">
        <v>73</v>
      </c>
      <c r="I1050" t="s">
        <v>4047</v>
      </c>
      <c r="J1050" s="3">
        <v>0.25250163210560761</v>
      </c>
      <c r="K1050" s="3">
        <v>0</v>
      </c>
    </row>
    <row r="1051" spans="1:13" x14ac:dyDescent="0.45">
      <c r="A1051" t="s">
        <v>4049</v>
      </c>
      <c r="B1051">
        <v>1</v>
      </c>
      <c r="C1051" t="s">
        <v>1761</v>
      </c>
      <c r="D1051" t="s">
        <v>4050</v>
      </c>
      <c r="E1051" t="s">
        <v>4049</v>
      </c>
      <c r="F1051" s="3">
        <v>234.81367488614771</v>
      </c>
      <c r="G1051" s="3">
        <v>215.2491845688088</v>
      </c>
      <c r="H1051" t="s">
        <v>73</v>
      </c>
      <c r="I1051" t="s">
        <v>4049</v>
      </c>
      <c r="J1051" s="3">
        <v>0.25530424498861137</v>
      </c>
      <c r="K1051" s="3">
        <v>8.3319211825397144</v>
      </c>
    </row>
    <row r="1052" spans="1:13" x14ac:dyDescent="0.45">
      <c r="A1052" t="s">
        <v>4051</v>
      </c>
      <c r="B1052">
        <v>1</v>
      </c>
      <c r="C1052" t="s">
        <v>1761</v>
      </c>
      <c r="D1052" t="s">
        <v>4052</v>
      </c>
      <c r="E1052" t="s">
        <v>4051</v>
      </c>
      <c r="F1052" s="3">
        <v>355.67776993301891</v>
      </c>
      <c r="G1052" s="3">
        <v>306.70082362956191</v>
      </c>
      <c r="H1052" t="s">
        <v>73</v>
      </c>
      <c r="I1052" t="s">
        <v>4051</v>
      </c>
      <c r="J1052" s="3">
        <v>0.58108256303759842</v>
      </c>
      <c r="K1052" s="3">
        <v>13.77003300281611</v>
      </c>
    </row>
    <row r="1053" spans="1:13" x14ac:dyDescent="0.45">
      <c r="A1053" t="s">
        <v>4053</v>
      </c>
      <c r="B1053">
        <v>1</v>
      </c>
      <c r="C1053" t="s">
        <v>1761</v>
      </c>
      <c r="D1053" t="s">
        <v>4054</v>
      </c>
      <c r="E1053" t="s">
        <v>4053</v>
      </c>
      <c r="F1053" s="3">
        <v>146.5211864999589</v>
      </c>
      <c r="G1053" s="3">
        <v>149.6555492898168</v>
      </c>
      <c r="H1053" t="s">
        <v>73</v>
      </c>
      <c r="I1053" t="s">
        <v>4053</v>
      </c>
      <c r="J1053" s="3">
        <v>3.6803113098095461</v>
      </c>
      <c r="K1053" s="3">
        <v>2.139187420420444</v>
      </c>
    </row>
    <row r="1054" spans="1:13" x14ac:dyDescent="0.45">
      <c r="A1054" t="s">
        <v>4055</v>
      </c>
      <c r="B1054">
        <v>1</v>
      </c>
      <c r="C1054" t="s">
        <v>1761</v>
      </c>
      <c r="D1054" t="s">
        <v>4056</v>
      </c>
      <c r="E1054" t="s">
        <v>4055</v>
      </c>
      <c r="F1054" s="3">
        <v>200.0959592600889</v>
      </c>
      <c r="G1054" s="3">
        <v>190.8490997954415</v>
      </c>
      <c r="H1054" t="s">
        <v>73</v>
      </c>
      <c r="I1054" t="s">
        <v>4055</v>
      </c>
      <c r="J1054" s="3">
        <v>1.590355961443753</v>
      </c>
      <c r="K1054" s="3">
        <v>4.6212124916666211</v>
      </c>
    </row>
    <row r="1055" spans="1:13" x14ac:dyDescent="0.45">
      <c r="A1055" t="s">
        <v>4057</v>
      </c>
      <c r="B1055">
        <v>1</v>
      </c>
      <c r="C1055" t="s">
        <v>1761</v>
      </c>
      <c r="D1055" t="s">
        <v>4058</v>
      </c>
      <c r="E1055" t="s">
        <v>4057</v>
      </c>
      <c r="F1055" s="3">
        <v>109.9280717020289</v>
      </c>
      <c r="G1055" s="3">
        <v>113.67299923097249</v>
      </c>
      <c r="H1055" t="s">
        <v>73</v>
      </c>
      <c r="I1055" t="s">
        <v>4057</v>
      </c>
      <c r="J1055" s="3">
        <v>13.05229783827691</v>
      </c>
      <c r="K1055" s="3">
        <v>3.4067071958604531</v>
      </c>
    </row>
    <row r="1056" spans="1:13" x14ac:dyDescent="0.45">
      <c r="A1056" t="s">
        <v>4059</v>
      </c>
      <c r="B1056">
        <v>2</v>
      </c>
      <c r="C1056" t="s">
        <v>1761</v>
      </c>
      <c r="D1056" t="s">
        <v>4060</v>
      </c>
      <c r="E1056" t="s">
        <v>4059</v>
      </c>
      <c r="F1056" s="3">
        <v>230.33652628922991</v>
      </c>
      <c r="G1056" s="3">
        <v>220.31145770735031</v>
      </c>
      <c r="H1056" t="s">
        <v>73</v>
      </c>
      <c r="I1056" t="s">
        <v>4059</v>
      </c>
      <c r="J1056" s="3">
        <v>3.0439372879459872</v>
      </c>
      <c r="K1056" s="3">
        <v>4.3523572849627978</v>
      </c>
    </row>
    <row r="1057" spans="1:13" x14ac:dyDescent="0.45">
      <c r="A1057" t="s">
        <v>4061</v>
      </c>
      <c r="B1057">
        <v>2</v>
      </c>
      <c r="C1057" t="s">
        <v>1761</v>
      </c>
      <c r="D1057" t="s">
        <v>4062</v>
      </c>
      <c r="E1057" t="s">
        <v>4061</v>
      </c>
      <c r="F1057" s="3">
        <v>216.14089610548629</v>
      </c>
      <c r="G1057" s="3">
        <v>215.10045726057001</v>
      </c>
      <c r="H1057" t="s">
        <v>73</v>
      </c>
      <c r="I1057" t="s">
        <v>4061</v>
      </c>
      <c r="J1057" s="3">
        <v>0.59176750758732233</v>
      </c>
      <c r="K1057" s="3">
        <v>0.48137065389448241</v>
      </c>
    </row>
    <row r="1058" spans="1:13" x14ac:dyDescent="0.45">
      <c r="A1058" t="s">
        <v>4063</v>
      </c>
      <c r="B1058">
        <v>1</v>
      </c>
      <c r="C1058" t="s">
        <v>1761</v>
      </c>
      <c r="D1058" t="s">
        <v>4064</v>
      </c>
      <c r="E1058" t="s">
        <v>4063</v>
      </c>
      <c r="F1058" s="3">
        <v>347.34447448235608</v>
      </c>
      <c r="G1058" s="3">
        <v>333.57643530979931</v>
      </c>
      <c r="H1058" t="s">
        <v>73</v>
      </c>
      <c r="I1058" t="s">
        <v>4063</v>
      </c>
      <c r="J1058" s="3">
        <v>0.99355246042766987</v>
      </c>
      <c r="K1058" s="3">
        <v>3.963799681303481</v>
      </c>
    </row>
    <row r="1059" spans="1:13" x14ac:dyDescent="0.45">
      <c r="A1059" t="s">
        <v>4065</v>
      </c>
      <c r="B1059">
        <v>1</v>
      </c>
      <c r="C1059" t="s">
        <v>1761</v>
      </c>
      <c r="D1059" t="s">
        <v>4066</v>
      </c>
      <c r="E1059" t="s">
        <v>4065</v>
      </c>
      <c r="F1059" s="3">
        <v>231.31662620426869</v>
      </c>
      <c r="G1059" s="3">
        <v>247.692285616671</v>
      </c>
      <c r="H1059" t="s">
        <v>73</v>
      </c>
      <c r="I1059" t="s">
        <v>4065</v>
      </c>
      <c r="J1059" s="3">
        <v>0.73109342257500798</v>
      </c>
      <c r="K1059" s="3">
        <v>7.0793265841346953</v>
      </c>
    </row>
    <row r="1060" spans="1:13" x14ac:dyDescent="0.45">
      <c r="A1060" t="s">
        <v>4067</v>
      </c>
      <c r="B1060">
        <v>1</v>
      </c>
      <c r="C1060" t="s">
        <v>1761</v>
      </c>
      <c r="D1060" t="s">
        <v>4068</v>
      </c>
      <c r="E1060" t="s">
        <v>4069</v>
      </c>
      <c r="F1060" s="3">
        <v>139.26388093938371</v>
      </c>
      <c r="G1060" s="3">
        <v>130.71206071565061</v>
      </c>
      <c r="H1060" t="s">
        <v>73</v>
      </c>
      <c r="I1060" t="s">
        <v>4067</v>
      </c>
      <c r="J1060" s="3">
        <v>1.584937804232688</v>
      </c>
      <c r="K1060" s="3">
        <v>6.1407309390259606</v>
      </c>
    </row>
    <row r="1061" spans="1:13" x14ac:dyDescent="0.45">
      <c r="A1061" t="s">
        <v>642</v>
      </c>
      <c r="B1061">
        <v>1</v>
      </c>
      <c r="C1061" t="s">
        <v>1751</v>
      </c>
      <c r="D1061" t="s">
        <v>641</v>
      </c>
      <c r="E1061" t="s">
        <v>639</v>
      </c>
      <c r="F1061" s="3">
        <v>19.76833805341181</v>
      </c>
      <c r="G1061" s="3">
        <v>20.366574081419859</v>
      </c>
      <c r="H1061" t="s">
        <v>73</v>
      </c>
      <c r="I1061" t="s">
        <v>642</v>
      </c>
      <c r="J1061" s="3">
        <v>10.73907415309634</v>
      </c>
      <c r="K1061" s="3">
        <v>3.0262332948358339</v>
      </c>
    </row>
    <row r="1062" spans="1:13" x14ac:dyDescent="0.45">
      <c r="A1062" t="s">
        <v>4070</v>
      </c>
      <c r="B1062">
        <v>1</v>
      </c>
      <c r="C1062" t="s">
        <v>1761</v>
      </c>
      <c r="D1062" t="s">
        <v>4071</v>
      </c>
      <c r="E1062" t="s">
        <v>4072</v>
      </c>
      <c r="F1062" s="3">
        <v>58.336003562038997</v>
      </c>
      <c r="G1062" s="3">
        <v>59.094969452985858</v>
      </c>
      <c r="H1062" t="s">
        <v>73</v>
      </c>
      <c r="I1062" t="s">
        <v>4070</v>
      </c>
      <c r="J1062" s="3">
        <v>4.0390503049015152</v>
      </c>
      <c r="K1062" s="3">
        <v>1.301024829614396</v>
      </c>
    </row>
    <row r="1063" spans="1:13" x14ac:dyDescent="0.45">
      <c r="A1063" t="s">
        <v>4073</v>
      </c>
      <c r="B1063">
        <v>1</v>
      </c>
      <c r="C1063" t="s">
        <v>1761</v>
      </c>
      <c r="D1063" t="s">
        <v>4074</v>
      </c>
      <c r="E1063" t="s">
        <v>4075</v>
      </c>
      <c r="F1063" s="3">
        <v>109.6691035381218</v>
      </c>
      <c r="G1063" s="3">
        <v>110.9163255265106</v>
      </c>
      <c r="H1063" t="s">
        <v>73</v>
      </c>
      <c r="I1063" t="s">
        <v>4073</v>
      </c>
      <c r="J1063" s="3">
        <v>1.690186196915376</v>
      </c>
      <c r="K1063" s="3">
        <v>1.137259217182619</v>
      </c>
    </row>
    <row r="1064" spans="1:13" x14ac:dyDescent="0.45">
      <c r="A1064" t="s">
        <v>4076</v>
      </c>
      <c r="B1064">
        <v>1</v>
      </c>
      <c r="C1064" t="s">
        <v>1761</v>
      </c>
      <c r="D1064" t="s">
        <v>4077</v>
      </c>
      <c r="E1064" t="s">
        <v>4078</v>
      </c>
      <c r="F1064" s="3">
        <v>103.2793739422731</v>
      </c>
      <c r="G1064" s="3">
        <v>102.6110795243315</v>
      </c>
      <c r="H1064" t="s">
        <v>73</v>
      </c>
      <c r="I1064" t="s">
        <v>4076</v>
      </c>
      <c r="J1064" s="3">
        <v>8.0932294080258345</v>
      </c>
      <c r="K1064" s="3">
        <v>0.64707442777020507</v>
      </c>
    </row>
    <row r="1065" spans="1:13" x14ac:dyDescent="0.45">
      <c r="A1065" t="s">
        <v>4079</v>
      </c>
      <c r="B1065">
        <v>1</v>
      </c>
      <c r="C1065" t="s">
        <v>1761</v>
      </c>
      <c r="D1065" t="s">
        <v>4080</v>
      </c>
      <c r="E1065" t="s">
        <v>4081</v>
      </c>
      <c r="F1065" s="3">
        <v>55.992569988144197</v>
      </c>
      <c r="G1065" s="3">
        <v>56.484087649363332</v>
      </c>
      <c r="H1065" t="s">
        <v>73</v>
      </c>
      <c r="I1065" t="s">
        <v>4079</v>
      </c>
      <c r="J1065" s="3">
        <v>7.1088000669241698</v>
      </c>
      <c r="K1065" s="3">
        <v>0.87782657828209565</v>
      </c>
    </row>
    <row r="1066" spans="1:13" x14ac:dyDescent="0.45">
      <c r="A1066" t="s">
        <v>4082</v>
      </c>
      <c r="B1066">
        <v>3</v>
      </c>
      <c r="C1066" t="s">
        <v>1761</v>
      </c>
      <c r="D1066" t="s">
        <v>4083</v>
      </c>
      <c r="E1066" t="s">
        <v>4084</v>
      </c>
      <c r="F1066" s="3">
        <v>106.136177654694</v>
      </c>
      <c r="G1066" s="3">
        <v>104.2526245733798</v>
      </c>
      <c r="H1066" t="s">
        <v>73</v>
      </c>
      <c r="I1066" t="s">
        <v>4082</v>
      </c>
      <c r="J1066" s="3">
        <v>2.6329216906115191</v>
      </c>
      <c r="K1066" s="3">
        <v>1.7746569764761939</v>
      </c>
    </row>
    <row r="1067" spans="1:13" x14ac:dyDescent="0.45">
      <c r="A1067" t="s">
        <v>4085</v>
      </c>
      <c r="B1067">
        <v>4</v>
      </c>
      <c r="C1067" t="s">
        <v>1761</v>
      </c>
      <c r="D1067" t="s">
        <v>4086</v>
      </c>
      <c r="E1067" t="s">
        <v>4087</v>
      </c>
      <c r="F1067" s="3">
        <v>128.50920054055169</v>
      </c>
      <c r="G1067" s="3">
        <v>134.52026258187129</v>
      </c>
      <c r="H1067" t="s">
        <v>73</v>
      </c>
      <c r="I1067" t="s">
        <v>4085</v>
      </c>
      <c r="J1067" s="3">
        <v>1.9033176923633091</v>
      </c>
      <c r="K1067" s="3">
        <v>4.6775343835578287</v>
      </c>
    </row>
    <row r="1068" spans="1:13" x14ac:dyDescent="0.45">
      <c r="A1068" t="s">
        <v>4088</v>
      </c>
      <c r="B1068">
        <v>1</v>
      </c>
      <c r="C1068" t="s">
        <v>1774</v>
      </c>
      <c r="G1068" s="3">
        <v>122.8317964736364</v>
      </c>
      <c r="H1068" t="s">
        <v>1755</v>
      </c>
      <c r="I1068" t="s">
        <v>4088</v>
      </c>
      <c r="M1068" t="s">
        <v>1757</v>
      </c>
    </row>
    <row r="1069" spans="1:13" x14ac:dyDescent="0.45">
      <c r="A1069" t="s">
        <v>4089</v>
      </c>
      <c r="B1069">
        <v>2</v>
      </c>
      <c r="C1069" t="s">
        <v>1774</v>
      </c>
      <c r="H1069" t="s">
        <v>1755</v>
      </c>
      <c r="I1069" t="s">
        <v>4089</v>
      </c>
      <c r="M1069" t="s">
        <v>1757</v>
      </c>
    </row>
    <row r="1070" spans="1:13" x14ac:dyDescent="0.45">
      <c r="A1070" t="s">
        <v>4090</v>
      </c>
      <c r="B1070">
        <v>1</v>
      </c>
      <c r="C1070" t="s">
        <v>1774</v>
      </c>
      <c r="G1070" s="3">
        <v>2802.740031250627</v>
      </c>
      <c r="H1070" t="s">
        <v>1755</v>
      </c>
      <c r="I1070" t="s">
        <v>4090</v>
      </c>
      <c r="M1070" t="s">
        <v>1757</v>
      </c>
    </row>
    <row r="1071" spans="1:13" x14ac:dyDescent="0.45">
      <c r="A1071" t="s">
        <v>4091</v>
      </c>
      <c r="B1071">
        <v>1</v>
      </c>
      <c r="C1071" t="s">
        <v>1774</v>
      </c>
      <c r="G1071" s="3">
        <v>519.38446213125076</v>
      </c>
      <c r="H1071" t="s">
        <v>1755</v>
      </c>
      <c r="I1071" t="s">
        <v>4091</v>
      </c>
      <c r="M1071" t="s">
        <v>1757</v>
      </c>
    </row>
    <row r="1072" spans="1:13" x14ac:dyDescent="0.45">
      <c r="A1072" t="s">
        <v>4092</v>
      </c>
      <c r="B1072">
        <v>1</v>
      </c>
      <c r="C1072" t="s">
        <v>1774</v>
      </c>
      <c r="G1072" s="3">
        <v>458.45518920998592</v>
      </c>
      <c r="H1072" t="s">
        <v>1755</v>
      </c>
      <c r="I1072" t="s">
        <v>4092</v>
      </c>
      <c r="M1072" t="s">
        <v>1757</v>
      </c>
    </row>
    <row r="1073" spans="1:13" x14ac:dyDescent="0.45">
      <c r="A1073" t="s">
        <v>4093</v>
      </c>
      <c r="B1073">
        <v>1</v>
      </c>
      <c r="C1073" t="s">
        <v>1774</v>
      </c>
      <c r="G1073" s="3">
        <v>444.7794522923229</v>
      </c>
      <c r="H1073" t="s">
        <v>1755</v>
      </c>
      <c r="I1073" t="s">
        <v>4093</v>
      </c>
      <c r="M1073" t="s">
        <v>1757</v>
      </c>
    </row>
    <row r="1074" spans="1:13" x14ac:dyDescent="0.45">
      <c r="A1074" t="s">
        <v>4094</v>
      </c>
      <c r="B1074">
        <v>1</v>
      </c>
      <c r="C1074" t="s">
        <v>1774</v>
      </c>
      <c r="G1074" s="3">
        <v>888.31951034932217</v>
      </c>
      <c r="H1074" t="s">
        <v>1755</v>
      </c>
      <c r="I1074" t="s">
        <v>4094</v>
      </c>
      <c r="M1074" t="s">
        <v>1757</v>
      </c>
    </row>
    <row r="1075" spans="1:13" x14ac:dyDescent="0.45">
      <c r="A1075" t="s">
        <v>4095</v>
      </c>
      <c r="B1075">
        <v>1</v>
      </c>
      <c r="C1075" t="s">
        <v>1774</v>
      </c>
      <c r="G1075" s="3">
        <v>616.30182976978108</v>
      </c>
      <c r="H1075" t="s">
        <v>1755</v>
      </c>
      <c r="I1075" t="s">
        <v>4095</v>
      </c>
      <c r="M1075" t="s">
        <v>1757</v>
      </c>
    </row>
    <row r="1076" spans="1:13" x14ac:dyDescent="0.45">
      <c r="A1076" t="s">
        <v>4096</v>
      </c>
      <c r="B1076">
        <v>1</v>
      </c>
      <c r="C1076" t="s">
        <v>1774</v>
      </c>
      <c r="G1076" s="3">
        <v>614.2503061539428</v>
      </c>
      <c r="H1076" t="s">
        <v>1755</v>
      </c>
      <c r="I1076" t="s">
        <v>4096</v>
      </c>
      <c r="M1076" t="s">
        <v>1757</v>
      </c>
    </row>
    <row r="1077" spans="1:13" x14ac:dyDescent="0.45">
      <c r="A1077" t="s">
        <v>4097</v>
      </c>
      <c r="B1077">
        <v>1</v>
      </c>
      <c r="C1077" t="s">
        <v>1774</v>
      </c>
      <c r="G1077" s="3">
        <v>613.74476376848179</v>
      </c>
      <c r="H1077" t="s">
        <v>1755</v>
      </c>
      <c r="I1077" t="s">
        <v>4097</v>
      </c>
      <c r="M1077" t="s">
        <v>1757</v>
      </c>
    </row>
    <row r="1078" spans="1:13" x14ac:dyDescent="0.45">
      <c r="A1078" t="s">
        <v>4098</v>
      </c>
      <c r="B1078">
        <v>1</v>
      </c>
      <c r="C1078" t="s">
        <v>1774</v>
      </c>
      <c r="G1078" s="3">
        <v>617.37814581624627</v>
      </c>
      <c r="H1078" t="s">
        <v>1755</v>
      </c>
      <c r="I1078" t="s">
        <v>4098</v>
      </c>
      <c r="M1078" t="s">
        <v>1757</v>
      </c>
    </row>
    <row r="1079" spans="1:13" x14ac:dyDescent="0.45">
      <c r="A1079" t="s">
        <v>4099</v>
      </c>
      <c r="B1079">
        <v>1</v>
      </c>
      <c r="C1079" t="s">
        <v>1774</v>
      </c>
      <c r="G1079" s="3">
        <v>645.75375067760297</v>
      </c>
      <c r="H1079" t="s">
        <v>1755</v>
      </c>
      <c r="I1079" t="s">
        <v>4099</v>
      </c>
      <c r="M1079" t="s">
        <v>1757</v>
      </c>
    </row>
    <row r="1080" spans="1:13" x14ac:dyDescent="0.45">
      <c r="A1080" t="s">
        <v>4100</v>
      </c>
      <c r="B1080">
        <v>1</v>
      </c>
      <c r="C1080" t="s">
        <v>1774</v>
      </c>
      <c r="G1080" s="3">
        <v>2234.8235001151261</v>
      </c>
      <c r="H1080" t="s">
        <v>1755</v>
      </c>
      <c r="I1080" t="s">
        <v>4100</v>
      </c>
      <c r="M1080" t="s">
        <v>1757</v>
      </c>
    </row>
    <row r="1081" spans="1:13" x14ac:dyDescent="0.45">
      <c r="A1081" t="s">
        <v>4101</v>
      </c>
      <c r="B1081">
        <v>1</v>
      </c>
      <c r="C1081" t="s">
        <v>1774</v>
      </c>
      <c r="G1081" s="3">
        <v>1556.72808302313</v>
      </c>
      <c r="H1081" t="s">
        <v>1755</v>
      </c>
      <c r="I1081" t="s">
        <v>4101</v>
      </c>
      <c r="M1081" t="s">
        <v>1757</v>
      </c>
    </row>
    <row r="1082" spans="1:13" x14ac:dyDescent="0.45">
      <c r="A1082" t="s">
        <v>4102</v>
      </c>
      <c r="B1082">
        <v>1</v>
      </c>
      <c r="C1082" t="s">
        <v>1774</v>
      </c>
      <c r="G1082" s="3">
        <v>1074.0623058952301</v>
      </c>
      <c r="H1082" t="s">
        <v>1755</v>
      </c>
      <c r="I1082" t="s">
        <v>4102</v>
      </c>
      <c r="M1082" t="s">
        <v>1757</v>
      </c>
    </row>
    <row r="1083" spans="1:13" x14ac:dyDescent="0.45">
      <c r="A1083" t="s">
        <v>4103</v>
      </c>
      <c r="B1083">
        <v>1</v>
      </c>
      <c r="C1083" t="s">
        <v>1774</v>
      </c>
      <c r="G1083" s="3">
        <v>379.88737938179958</v>
      </c>
      <c r="H1083" t="s">
        <v>1755</v>
      </c>
      <c r="I1083" t="s">
        <v>4103</v>
      </c>
      <c r="M1083" t="s">
        <v>1757</v>
      </c>
    </row>
    <row r="1084" spans="1:13" x14ac:dyDescent="0.45">
      <c r="A1084" t="s">
        <v>4104</v>
      </c>
      <c r="B1084">
        <v>2</v>
      </c>
      <c r="C1084" t="s">
        <v>1774</v>
      </c>
      <c r="G1084" s="3">
        <v>653.59781156169061</v>
      </c>
      <c r="H1084" t="s">
        <v>1755</v>
      </c>
      <c r="I1084" t="s">
        <v>4104</v>
      </c>
      <c r="M1084" t="s">
        <v>1757</v>
      </c>
    </row>
    <row r="1085" spans="1:13" x14ac:dyDescent="0.45">
      <c r="A1085" t="s">
        <v>4105</v>
      </c>
      <c r="B1085">
        <v>1</v>
      </c>
      <c r="C1085" t="s">
        <v>1774</v>
      </c>
      <c r="G1085" s="3">
        <v>2073.4478475484352</v>
      </c>
      <c r="H1085" t="s">
        <v>1755</v>
      </c>
      <c r="I1085" t="s">
        <v>4105</v>
      </c>
      <c r="M1085" t="s">
        <v>1757</v>
      </c>
    </row>
    <row r="1086" spans="1:13" x14ac:dyDescent="0.45">
      <c r="A1086" t="s">
        <v>4106</v>
      </c>
      <c r="B1086">
        <v>1</v>
      </c>
      <c r="C1086" t="s">
        <v>1774</v>
      </c>
      <c r="G1086" s="3">
        <v>1551.715059497624</v>
      </c>
      <c r="H1086" t="s">
        <v>1755</v>
      </c>
      <c r="I1086" t="s">
        <v>4106</v>
      </c>
      <c r="M1086" t="s">
        <v>1757</v>
      </c>
    </row>
    <row r="1087" spans="1:13" x14ac:dyDescent="0.45">
      <c r="A1087" t="s">
        <v>4107</v>
      </c>
      <c r="B1087">
        <v>1</v>
      </c>
      <c r="C1087" t="s">
        <v>1774</v>
      </c>
      <c r="G1087" s="3">
        <v>1348.953424162456</v>
      </c>
      <c r="H1087" t="s">
        <v>1755</v>
      </c>
      <c r="I1087" t="s">
        <v>4107</v>
      </c>
      <c r="M1087" t="s">
        <v>1757</v>
      </c>
    </row>
    <row r="1088" spans="1:13" x14ac:dyDescent="0.45">
      <c r="A1088" t="s">
        <v>4108</v>
      </c>
      <c r="B1088">
        <v>1</v>
      </c>
      <c r="C1088" t="s">
        <v>1774</v>
      </c>
      <c r="G1088" s="3">
        <v>161.07395791730229</v>
      </c>
      <c r="H1088" t="s">
        <v>1755</v>
      </c>
      <c r="I1088" t="s">
        <v>4108</v>
      </c>
      <c r="M1088" t="s">
        <v>1757</v>
      </c>
    </row>
    <row r="1089" spans="1:13" x14ac:dyDescent="0.45">
      <c r="A1089" t="s">
        <v>4109</v>
      </c>
      <c r="B1089">
        <v>2</v>
      </c>
      <c r="C1089" t="s">
        <v>1774</v>
      </c>
      <c r="G1089" s="3">
        <v>331.47924980108058</v>
      </c>
      <c r="H1089" t="s">
        <v>1755</v>
      </c>
      <c r="I1089" t="s">
        <v>4109</v>
      </c>
      <c r="M1089" t="s">
        <v>1757</v>
      </c>
    </row>
    <row r="1090" spans="1:13" x14ac:dyDescent="0.45">
      <c r="A1090" t="s">
        <v>4110</v>
      </c>
      <c r="B1090">
        <v>1</v>
      </c>
      <c r="C1090" t="s">
        <v>1774</v>
      </c>
      <c r="G1090" s="3">
        <v>1049.3168215178609</v>
      </c>
      <c r="H1090" t="s">
        <v>1755</v>
      </c>
      <c r="I1090" t="s">
        <v>4110</v>
      </c>
      <c r="M1090" t="s">
        <v>1757</v>
      </c>
    </row>
    <row r="1091" spans="1:13" x14ac:dyDescent="0.45">
      <c r="A1091" t="s">
        <v>4111</v>
      </c>
      <c r="B1091">
        <v>1</v>
      </c>
      <c r="C1091" t="s">
        <v>1774</v>
      </c>
      <c r="G1091" s="3">
        <v>1192.365747220648</v>
      </c>
      <c r="H1091" t="s">
        <v>1755</v>
      </c>
      <c r="I1091" t="s">
        <v>4111</v>
      </c>
      <c r="M1091" t="s">
        <v>1757</v>
      </c>
    </row>
    <row r="1092" spans="1:13" x14ac:dyDescent="0.45">
      <c r="A1092" t="s">
        <v>4112</v>
      </c>
      <c r="B1092">
        <v>1</v>
      </c>
      <c r="C1092" t="s">
        <v>1774</v>
      </c>
      <c r="G1092" s="3">
        <v>1064.512447155684</v>
      </c>
      <c r="H1092" t="s">
        <v>1755</v>
      </c>
      <c r="I1092" t="s">
        <v>4112</v>
      </c>
      <c r="M1092" t="s">
        <v>1757</v>
      </c>
    </row>
    <row r="1093" spans="1:13" x14ac:dyDescent="0.45">
      <c r="A1093" t="s">
        <v>4113</v>
      </c>
      <c r="B1093">
        <v>1</v>
      </c>
      <c r="C1093" t="s">
        <v>1774</v>
      </c>
      <c r="G1093" s="3">
        <v>552.50238072460888</v>
      </c>
      <c r="H1093" t="s">
        <v>1755</v>
      </c>
      <c r="I1093" t="s">
        <v>4113</v>
      </c>
      <c r="M1093" t="s">
        <v>1757</v>
      </c>
    </row>
    <row r="1094" spans="1:13" x14ac:dyDescent="0.45">
      <c r="A1094" t="s">
        <v>4114</v>
      </c>
      <c r="B1094">
        <v>1</v>
      </c>
      <c r="C1094" t="s">
        <v>1774</v>
      </c>
      <c r="G1094" s="3">
        <v>234.97740538776139</v>
      </c>
      <c r="H1094" t="s">
        <v>1755</v>
      </c>
      <c r="I1094" t="s">
        <v>4114</v>
      </c>
      <c r="M1094" t="s">
        <v>1757</v>
      </c>
    </row>
    <row r="1095" spans="1:13" x14ac:dyDescent="0.45">
      <c r="A1095" t="s">
        <v>4115</v>
      </c>
      <c r="B1095">
        <v>1</v>
      </c>
      <c r="C1095" t="s">
        <v>1774</v>
      </c>
      <c r="G1095" s="3">
        <v>526.92193602028476</v>
      </c>
      <c r="H1095" t="s">
        <v>1755</v>
      </c>
      <c r="I1095" t="s">
        <v>4115</v>
      </c>
      <c r="M1095" t="s">
        <v>1757</v>
      </c>
    </row>
    <row r="1096" spans="1:13" x14ac:dyDescent="0.45">
      <c r="A1096" t="s">
        <v>4116</v>
      </c>
      <c r="B1096">
        <v>1</v>
      </c>
      <c r="C1096" t="s">
        <v>1774</v>
      </c>
      <c r="G1096" s="3">
        <v>457.87463085765012</v>
      </c>
      <c r="H1096" t="s">
        <v>1755</v>
      </c>
      <c r="I1096" t="s">
        <v>4116</v>
      </c>
      <c r="M1096" t="s">
        <v>1757</v>
      </c>
    </row>
    <row r="1097" spans="1:13" x14ac:dyDescent="0.45">
      <c r="A1097" t="s">
        <v>4117</v>
      </c>
      <c r="B1097">
        <v>1</v>
      </c>
      <c r="C1097" t="s">
        <v>1774</v>
      </c>
      <c r="G1097" s="3">
        <v>404.94271231799979</v>
      </c>
      <c r="H1097" t="s">
        <v>1755</v>
      </c>
      <c r="I1097" t="s">
        <v>4117</v>
      </c>
      <c r="M1097" t="s">
        <v>1757</v>
      </c>
    </row>
    <row r="1098" spans="1:13" x14ac:dyDescent="0.45">
      <c r="A1098" t="s">
        <v>4118</v>
      </c>
      <c r="B1098">
        <v>1</v>
      </c>
      <c r="C1098" t="s">
        <v>1774</v>
      </c>
      <c r="G1098" s="3">
        <v>335.78777555071878</v>
      </c>
      <c r="H1098" t="s">
        <v>1755</v>
      </c>
      <c r="I1098" t="s">
        <v>4118</v>
      </c>
      <c r="M1098" t="s">
        <v>1757</v>
      </c>
    </row>
    <row r="1099" spans="1:13" x14ac:dyDescent="0.45">
      <c r="A1099" t="s">
        <v>4119</v>
      </c>
      <c r="B1099">
        <v>1</v>
      </c>
      <c r="C1099" t="s">
        <v>1774</v>
      </c>
      <c r="G1099" s="3">
        <v>2315.7070202251011</v>
      </c>
      <c r="H1099" t="s">
        <v>1755</v>
      </c>
      <c r="I1099" t="s">
        <v>4119</v>
      </c>
      <c r="M1099" t="s">
        <v>1757</v>
      </c>
    </row>
    <row r="1100" spans="1:13" x14ac:dyDescent="0.45">
      <c r="A1100" t="s">
        <v>4120</v>
      </c>
      <c r="B1100">
        <v>1</v>
      </c>
      <c r="C1100" t="s">
        <v>1774</v>
      </c>
      <c r="G1100" s="3">
        <v>373.89588672314312</v>
      </c>
      <c r="H1100" t="s">
        <v>1755</v>
      </c>
      <c r="I1100" t="s">
        <v>4120</v>
      </c>
      <c r="M1100" t="s">
        <v>1757</v>
      </c>
    </row>
    <row r="1101" spans="1:13" x14ac:dyDescent="0.45">
      <c r="A1101" t="s">
        <v>4121</v>
      </c>
      <c r="B1101">
        <v>1</v>
      </c>
      <c r="C1101" t="s">
        <v>1774</v>
      </c>
      <c r="G1101" s="3">
        <v>90.657448281012819</v>
      </c>
      <c r="H1101" t="s">
        <v>1755</v>
      </c>
      <c r="I1101" t="s">
        <v>4121</v>
      </c>
      <c r="M1101" t="s">
        <v>1757</v>
      </c>
    </row>
    <row r="1102" spans="1:13" x14ac:dyDescent="0.45">
      <c r="A1102" t="s">
        <v>4122</v>
      </c>
      <c r="B1102">
        <v>1</v>
      </c>
      <c r="C1102" t="s">
        <v>1774</v>
      </c>
      <c r="G1102" s="3">
        <v>1116.739867919466</v>
      </c>
      <c r="H1102" t="s">
        <v>1755</v>
      </c>
      <c r="I1102" t="s">
        <v>4122</v>
      </c>
      <c r="M1102" t="s">
        <v>1757</v>
      </c>
    </row>
    <row r="1103" spans="1:13" x14ac:dyDescent="0.45">
      <c r="A1103" t="s">
        <v>4123</v>
      </c>
      <c r="B1103">
        <v>1</v>
      </c>
      <c r="C1103" t="s">
        <v>1774</v>
      </c>
      <c r="G1103" s="3">
        <v>384.90040290730587</v>
      </c>
      <c r="H1103" t="s">
        <v>1755</v>
      </c>
      <c r="I1103" t="s">
        <v>4123</v>
      </c>
      <c r="M1103" t="s">
        <v>1757</v>
      </c>
    </row>
    <row r="1104" spans="1:13" x14ac:dyDescent="0.45">
      <c r="A1104" t="s">
        <v>4124</v>
      </c>
      <c r="B1104">
        <v>1</v>
      </c>
      <c r="C1104" t="s">
        <v>1774</v>
      </c>
      <c r="G1104" s="3">
        <v>497.41783009202811</v>
      </c>
      <c r="H1104" t="s">
        <v>1755</v>
      </c>
      <c r="I1104" t="s">
        <v>4124</v>
      </c>
      <c r="M1104" t="s">
        <v>1757</v>
      </c>
    </row>
    <row r="1105" spans="1:13" x14ac:dyDescent="0.45">
      <c r="A1105" t="s">
        <v>4125</v>
      </c>
      <c r="B1105">
        <v>1</v>
      </c>
      <c r="C1105" t="s">
        <v>1774</v>
      </c>
      <c r="G1105" s="3">
        <v>1988.96029946469</v>
      </c>
      <c r="H1105" t="s">
        <v>1755</v>
      </c>
      <c r="I1105" t="s">
        <v>4125</v>
      </c>
      <c r="M1105" t="s">
        <v>1757</v>
      </c>
    </row>
    <row r="1106" spans="1:13" x14ac:dyDescent="0.45">
      <c r="A1106" t="s">
        <v>4126</v>
      </c>
      <c r="B1106">
        <v>4</v>
      </c>
      <c r="C1106" t="s">
        <v>1774</v>
      </c>
      <c r="G1106" s="3">
        <v>245.1727275988091</v>
      </c>
      <c r="H1106" t="s">
        <v>1755</v>
      </c>
      <c r="I1106" t="s">
        <v>4126</v>
      </c>
      <c r="M1106" t="s">
        <v>1757</v>
      </c>
    </row>
    <row r="1107" spans="1:13" x14ac:dyDescent="0.45">
      <c r="A1107" t="s">
        <v>4127</v>
      </c>
      <c r="B1107">
        <v>3</v>
      </c>
      <c r="C1107" t="s">
        <v>1774</v>
      </c>
      <c r="G1107" s="3">
        <v>193.23917373134981</v>
      </c>
      <c r="H1107" t="s">
        <v>1755</v>
      </c>
      <c r="I1107" t="s">
        <v>4127</v>
      </c>
      <c r="M1107" t="s">
        <v>1757</v>
      </c>
    </row>
    <row r="1108" spans="1:13" x14ac:dyDescent="0.45">
      <c r="A1108" t="s">
        <v>4128</v>
      </c>
      <c r="B1108">
        <v>1</v>
      </c>
      <c r="C1108" t="s">
        <v>1774</v>
      </c>
      <c r="G1108" s="3">
        <v>322.4920108130957</v>
      </c>
      <c r="H1108" t="s">
        <v>1755</v>
      </c>
      <c r="I1108" t="s">
        <v>4128</v>
      </c>
      <c r="M1108" t="s">
        <v>1757</v>
      </c>
    </row>
    <row r="1109" spans="1:13" x14ac:dyDescent="0.45">
      <c r="A1109" t="s">
        <v>4129</v>
      </c>
      <c r="B1109">
        <v>6</v>
      </c>
      <c r="C1109" t="s">
        <v>1774</v>
      </c>
      <c r="G1109" s="3">
        <v>660.74389779746446</v>
      </c>
      <c r="H1109" t="s">
        <v>1755</v>
      </c>
      <c r="I1109" t="s">
        <v>4129</v>
      </c>
      <c r="M1109" t="s">
        <v>1757</v>
      </c>
    </row>
    <row r="1110" spans="1:13" x14ac:dyDescent="0.45">
      <c r="A1110" t="s">
        <v>4130</v>
      </c>
      <c r="B1110">
        <v>1</v>
      </c>
      <c r="C1110" t="s">
        <v>1774</v>
      </c>
      <c r="G1110" s="3">
        <v>501.8111564998726</v>
      </c>
      <c r="H1110" t="s">
        <v>1755</v>
      </c>
      <c r="I1110" t="s">
        <v>4130</v>
      </c>
      <c r="M1110" t="s">
        <v>1757</v>
      </c>
    </row>
    <row r="1111" spans="1:13" x14ac:dyDescent="0.45">
      <c r="A1111" t="s">
        <v>4131</v>
      </c>
      <c r="B1111">
        <v>1</v>
      </c>
      <c r="C1111" t="s">
        <v>1774</v>
      </c>
      <c r="G1111" s="3">
        <v>1187.3657699502501</v>
      </c>
      <c r="H1111" t="s">
        <v>1755</v>
      </c>
      <c r="I1111" t="s">
        <v>4131</v>
      </c>
      <c r="M1111" t="s">
        <v>1757</v>
      </c>
    </row>
    <row r="1112" spans="1:13" x14ac:dyDescent="0.45">
      <c r="A1112" t="s">
        <v>4132</v>
      </c>
      <c r="B1112">
        <v>1</v>
      </c>
      <c r="C1112" t="s">
        <v>1774</v>
      </c>
      <c r="G1112" s="3">
        <v>1134.7534846607621</v>
      </c>
      <c r="H1112" t="s">
        <v>1755</v>
      </c>
      <c r="I1112" t="s">
        <v>4132</v>
      </c>
      <c r="M1112" t="s">
        <v>1757</v>
      </c>
    </row>
    <row r="1113" spans="1:13" x14ac:dyDescent="0.45">
      <c r="A1113" t="s">
        <v>4133</v>
      </c>
      <c r="B1113">
        <v>2</v>
      </c>
      <c r="C1113" t="s">
        <v>1774</v>
      </c>
      <c r="G1113" s="3">
        <v>201.80469252294691</v>
      </c>
      <c r="H1113" t="s">
        <v>1755</v>
      </c>
      <c r="I1113" t="s">
        <v>4133</v>
      </c>
      <c r="M1113" t="s">
        <v>1757</v>
      </c>
    </row>
    <row r="1114" spans="1:13" x14ac:dyDescent="0.45">
      <c r="A1114" t="s">
        <v>4134</v>
      </c>
      <c r="B1114">
        <v>2</v>
      </c>
      <c r="C1114" t="s">
        <v>1774</v>
      </c>
      <c r="G1114" s="3">
        <v>258.6426598421329</v>
      </c>
      <c r="H1114" t="s">
        <v>1755</v>
      </c>
      <c r="I1114" t="s">
        <v>4134</v>
      </c>
      <c r="M1114" t="s">
        <v>1757</v>
      </c>
    </row>
    <row r="1115" spans="1:13" x14ac:dyDescent="0.45">
      <c r="A1115" t="s">
        <v>4135</v>
      </c>
      <c r="B1115">
        <v>1</v>
      </c>
      <c r="C1115" t="s">
        <v>1774</v>
      </c>
      <c r="G1115" s="3">
        <v>295.33264308424481</v>
      </c>
      <c r="H1115" t="s">
        <v>1755</v>
      </c>
      <c r="I1115" t="s">
        <v>4135</v>
      </c>
      <c r="M1115" t="s">
        <v>1757</v>
      </c>
    </row>
    <row r="1116" spans="1:13" x14ac:dyDescent="0.45">
      <c r="A1116" t="s">
        <v>4136</v>
      </c>
      <c r="B1116">
        <v>3</v>
      </c>
      <c r="C1116" t="s">
        <v>1774</v>
      </c>
      <c r="G1116" s="3">
        <v>405.92770457870438</v>
      </c>
      <c r="H1116" t="s">
        <v>1755</v>
      </c>
      <c r="I1116" t="s">
        <v>4136</v>
      </c>
      <c r="M1116" t="s">
        <v>1757</v>
      </c>
    </row>
    <row r="1117" spans="1:13" x14ac:dyDescent="0.45">
      <c r="A1117" t="s">
        <v>4137</v>
      </c>
      <c r="B1117">
        <v>1</v>
      </c>
      <c r="C1117" t="s">
        <v>1774</v>
      </c>
      <c r="G1117" s="3">
        <v>403.37716170495952</v>
      </c>
      <c r="H1117" t="s">
        <v>1755</v>
      </c>
      <c r="I1117" t="s">
        <v>4137</v>
      </c>
      <c r="M1117" t="s">
        <v>1757</v>
      </c>
    </row>
    <row r="1118" spans="1:13" x14ac:dyDescent="0.45">
      <c r="A1118" t="s">
        <v>4138</v>
      </c>
      <c r="B1118">
        <v>1</v>
      </c>
      <c r="C1118" t="s">
        <v>1774</v>
      </c>
      <c r="G1118" s="3">
        <v>1611.1864134104951</v>
      </c>
      <c r="H1118" t="s">
        <v>1755</v>
      </c>
      <c r="I1118" t="s">
        <v>4138</v>
      </c>
      <c r="M1118" t="s">
        <v>1757</v>
      </c>
    </row>
    <row r="1119" spans="1:13" x14ac:dyDescent="0.45">
      <c r="A1119" t="s">
        <v>4139</v>
      </c>
      <c r="B1119">
        <v>1</v>
      </c>
      <c r="C1119" t="s">
        <v>1774</v>
      </c>
      <c r="G1119" s="3">
        <v>334.25484057545009</v>
      </c>
      <c r="H1119" t="s">
        <v>1755</v>
      </c>
      <c r="I1119" t="s">
        <v>4139</v>
      </c>
      <c r="M1119" t="s">
        <v>1757</v>
      </c>
    </row>
    <row r="1120" spans="1:13" x14ac:dyDescent="0.45">
      <c r="A1120" t="s">
        <v>4140</v>
      </c>
      <c r="B1120">
        <v>1</v>
      </c>
      <c r="C1120" t="s">
        <v>1774</v>
      </c>
      <c r="G1120" s="3">
        <v>226.61279892483779</v>
      </c>
      <c r="H1120" t="s">
        <v>1755</v>
      </c>
      <c r="I1120" t="s">
        <v>4140</v>
      </c>
      <c r="M1120" t="s">
        <v>1757</v>
      </c>
    </row>
    <row r="1121" spans="1:13" x14ac:dyDescent="0.45">
      <c r="A1121" t="s">
        <v>4141</v>
      </c>
      <c r="B1121">
        <v>1</v>
      </c>
      <c r="C1121" t="s">
        <v>1774</v>
      </c>
      <c r="G1121" s="3">
        <v>353.71333007003102</v>
      </c>
      <c r="H1121" t="s">
        <v>1755</v>
      </c>
      <c r="I1121" t="s">
        <v>4141</v>
      </c>
      <c r="M1121" t="s">
        <v>1757</v>
      </c>
    </row>
    <row r="1122" spans="1:13" x14ac:dyDescent="0.45">
      <c r="A1122" t="s">
        <v>4142</v>
      </c>
      <c r="B1122">
        <v>1</v>
      </c>
      <c r="C1122" t="s">
        <v>1774</v>
      </c>
      <c r="G1122" s="3">
        <v>466.81131560708889</v>
      </c>
      <c r="H1122" t="s">
        <v>1755</v>
      </c>
      <c r="I1122" t="s">
        <v>4142</v>
      </c>
      <c r="M1122" t="s">
        <v>1757</v>
      </c>
    </row>
    <row r="1123" spans="1:13" x14ac:dyDescent="0.45">
      <c r="A1123" t="s">
        <v>4143</v>
      </c>
      <c r="B1123">
        <v>2</v>
      </c>
      <c r="C1123" t="s">
        <v>1774</v>
      </c>
      <c r="G1123" s="3">
        <v>421.90284395927051</v>
      </c>
      <c r="H1123" t="s">
        <v>1755</v>
      </c>
      <c r="I1123" t="s">
        <v>4143</v>
      </c>
      <c r="M1123" t="s">
        <v>1757</v>
      </c>
    </row>
    <row r="1124" spans="1:13" x14ac:dyDescent="0.45">
      <c r="A1124" t="s">
        <v>4144</v>
      </c>
      <c r="B1124">
        <v>3</v>
      </c>
      <c r="C1124" t="s">
        <v>1774</v>
      </c>
      <c r="G1124" s="3">
        <v>237.4411906650337</v>
      </c>
      <c r="H1124" t="s">
        <v>1755</v>
      </c>
      <c r="I1124" t="s">
        <v>4144</v>
      </c>
      <c r="M1124" t="s">
        <v>1757</v>
      </c>
    </row>
    <row r="1125" spans="1:13" x14ac:dyDescent="0.45">
      <c r="A1125" t="s">
        <v>4145</v>
      </c>
      <c r="B1125">
        <v>1</v>
      </c>
      <c r="C1125" t="s">
        <v>1774</v>
      </c>
      <c r="G1125" s="3">
        <v>489.91949496832018</v>
      </c>
      <c r="H1125" t="s">
        <v>1755</v>
      </c>
      <c r="I1125" t="s">
        <v>4145</v>
      </c>
      <c r="M1125" t="s">
        <v>1757</v>
      </c>
    </row>
    <row r="1126" spans="1:13" x14ac:dyDescent="0.45">
      <c r="A1126" t="s">
        <v>4146</v>
      </c>
      <c r="B1126">
        <v>3</v>
      </c>
      <c r="C1126" t="s">
        <v>1774</v>
      </c>
      <c r="G1126" s="3">
        <v>973.16256888477858</v>
      </c>
      <c r="H1126" t="s">
        <v>1755</v>
      </c>
      <c r="I1126" t="s">
        <v>4146</v>
      </c>
      <c r="M1126" t="s">
        <v>1757</v>
      </c>
    </row>
    <row r="1127" spans="1:13" x14ac:dyDescent="0.45">
      <c r="A1127" t="s">
        <v>4147</v>
      </c>
      <c r="B1127">
        <v>2</v>
      </c>
      <c r="C1127" t="s">
        <v>1774</v>
      </c>
      <c r="G1127" s="3">
        <v>643.50327167135742</v>
      </c>
      <c r="H1127" t="s">
        <v>1755</v>
      </c>
      <c r="I1127" t="s">
        <v>4147</v>
      </c>
      <c r="M1127" t="s">
        <v>1757</v>
      </c>
    </row>
    <row r="1128" spans="1:13" x14ac:dyDescent="0.45">
      <c r="A1128" t="s">
        <v>4148</v>
      </c>
      <c r="B1128">
        <v>1</v>
      </c>
      <c r="C1128" t="s">
        <v>1774</v>
      </c>
      <c r="G1128" s="3">
        <v>557.72088276807676</v>
      </c>
      <c r="H1128" t="s">
        <v>1755</v>
      </c>
      <c r="I1128" t="s">
        <v>4148</v>
      </c>
      <c r="M1128" t="s">
        <v>1757</v>
      </c>
    </row>
    <row r="1129" spans="1:13" x14ac:dyDescent="0.45">
      <c r="A1129" t="s">
        <v>4149</v>
      </c>
      <c r="B1129">
        <v>3</v>
      </c>
      <c r="C1129" t="s">
        <v>1774</v>
      </c>
      <c r="G1129" s="3">
        <v>1092.516233746444</v>
      </c>
      <c r="H1129" t="s">
        <v>1755</v>
      </c>
      <c r="I1129" t="s">
        <v>4149</v>
      </c>
      <c r="M1129" t="s">
        <v>1757</v>
      </c>
    </row>
    <row r="1130" spans="1:13" x14ac:dyDescent="0.45">
      <c r="A1130" t="s">
        <v>4150</v>
      </c>
      <c r="B1130">
        <v>1</v>
      </c>
      <c r="C1130" t="s">
        <v>1774</v>
      </c>
      <c r="G1130" s="3">
        <v>1028.576537458853</v>
      </c>
      <c r="H1130" t="s">
        <v>1755</v>
      </c>
      <c r="I1130" t="s">
        <v>4150</v>
      </c>
      <c r="M1130" t="s">
        <v>1757</v>
      </c>
    </row>
    <row r="1131" spans="1:13" x14ac:dyDescent="0.45">
      <c r="A1131" t="s">
        <v>4151</v>
      </c>
      <c r="B1131">
        <v>1</v>
      </c>
      <c r="C1131" t="s">
        <v>1774</v>
      </c>
      <c r="G1131" s="3">
        <v>2988.6328587302851</v>
      </c>
      <c r="H1131" t="s">
        <v>1755</v>
      </c>
      <c r="I1131" t="s">
        <v>4151</v>
      </c>
      <c r="M1131" t="s">
        <v>1757</v>
      </c>
    </row>
    <row r="1132" spans="1:13" x14ac:dyDescent="0.45">
      <c r="A1132" t="s">
        <v>4152</v>
      </c>
      <c r="B1132">
        <v>1</v>
      </c>
      <c r="C1132" t="s">
        <v>1774</v>
      </c>
      <c r="G1132" s="3">
        <v>405.84616548427528</v>
      </c>
      <c r="H1132" t="s">
        <v>1755</v>
      </c>
      <c r="I1132" t="s">
        <v>4152</v>
      </c>
      <c r="M1132" t="s">
        <v>1757</v>
      </c>
    </row>
    <row r="1133" spans="1:13" x14ac:dyDescent="0.45">
      <c r="A1133" t="s">
        <v>4153</v>
      </c>
      <c r="B1133">
        <v>1</v>
      </c>
      <c r="C1133" t="s">
        <v>1774</v>
      </c>
      <c r="G1133" s="3">
        <v>680.13063288894773</v>
      </c>
      <c r="H1133" t="s">
        <v>1755</v>
      </c>
      <c r="I1133" t="s">
        <v>4153</v>
      </c>
      <c r="M1133" t="s">
        <v>1757</v>
      </c>
    </row>
    <row r="1134" spans="1:13" x14ac:dyDescent="0.45">
      <c r="A1134" t="s">
        <v>4154</v>
      </c>
      <c r="B1134">
        <v>1</v>
      </c>
      <c r="C1134" t="s">
        <v>1774</v>
      </c>
      <c r="G1134" s="3">
        <v>1225.2716641684899</v>
      </c>
      <c r="H1134" t="s">
        <v>1755</v>
      </c>
      <c r="I1134" t="s">
        <v>4154</v>
      </c>
      <c r="M1134" t="s">
        <v>1757</v>
      </c>
    </row>
    <row r="1135" spans="1:13" x14ac:dyDescent="0.45">
      <c r="A1135" t="s">
        <v>4155</v>
      </c>
      <c r="B1135">
        <v>3</v>
      </c>
      <c r="C1135" t="s">
        <v>1774</v>
      </c>
      <c r="G1135" s="3">
        <v>438.97713033274198</v>
      </c>
      <c r="H1135" t="s">
        <v>1755</v>
      </c>
      <c r="I1135" t="s">
        <v>4155</v>
      </c>
      <c r="M1135" t="s">
        <v>1757</v>
      </c>
    </row>
    <row r="1136" spans="1:13" x14ac:dyDescent="0.45">
      <c r="A1136" t="s">
        <v>4156</v>
      </c>
      <c r="B1136">
        <v>2</v>
      </c>
      <c r="C1136" t="s">
        <v>1774</v>
      </c>
      <c r="G1136" s="3">
        <v>1555.38105718316</v>
      </c>
      <c r="H1136" t="s">
        <v>1755</v>
      </c>
      <c r="I1136" t="s">
        <v>4156</v>
      </c>
      <c r="M1136" t="s">
        <v>1757</v>
      </c>
    </row>
    <row r="1137" spans="1:13" x14ac:dyDescent="0.45">
      <c r="A1137" t="s">
        <v>4157</v>
      </c>
      <c r="B1137">
        <v>1</v>
      </c>
      <c r="C1137" t="s">
        <v>1774</v>
      </c>
      <c r="G1137" s="3">
        <v>263.85855263457898</v>
      </c>
      <c r="H1137" t="s">
        <v>1755</v>
      </c>
      <c r="I1137" t="s">
        <v>4157</v>
      </c>
      <c r="M1137" t="s">
        <v>1757</v>
      </c>
    </row>
    <row r="1138" spans="1:13" x14ac:dyDescent="0.45">
      <c r="A1138" t="s">
        <v>4158</v>
      </c>
      <c r="B1138">
        <v>2</v>
      </c>
      <c r="C1138" t="s">
        <v>1774</v>
      </c>
      <c r="G1138" s="3">
        <v>795.60955998333782</v>
      </c>
      <c r="H1138" t="s">
        <v>1755</v>
      </c>
      <c r="I1138" t="s">
        <v>4158</v>
      </c>
      <c r="M1138" t="s">
        <v>1757</v>
      </c>
    </row>
    <row r="1139" spans="1:13" x14ac:dyDescent="0.45">
      <c r="A1139" t="s">
        <v>4159</v>
      </c>
      <c r="B1139">
        <v>1</v>
      </c>
      <c r="C1139" t="s">
        <v>1774</v>
      </c>
      <c r="G1139" s="3">
        <v>769.29526342915096</v>
      </c>
      <c r="H1139" t="s">
        <v>1755</v>
      </c>
      <c r="I1139" t="s">
        <v>4159</v>
      </c>
      <c r="M1139" t="s">
        <v>1757</v>
      </c>
    </row>
    <row r="1140" spans="1:13" x14ac:dyDescent="0.45">
      <c r="A1140" t="s">
        <v>4160</v>
      </c>
      <c r="B1140">
        <v>1</v>
      </c>
      <c r="C1140" t="s">
        <v>1774</v>
      </c>
      <c r="G1140" s="3">
        <v>408.04119790630892</v>
      </c>
      <c r="H1140" t="s">
        <v>1755</v>
      </c>
      <c r="I1140" t="s">
        <v>4160</v>
      </c>
      <c r="M1140" t="s">
        <v>1757</v>
      </c>
    </row>
    <row r="1141" spans="1:13" x14ac:dyDescent="0.45">
      <c r="A1141" t="s">
        <v>4161</v>
      </c>
      <c r="B1141">
        <v>2</v>
      </c>
      <c r="C1141" t="s">
        <v>1774</v>
      </c>
      <c r="G1141" s="3">
        <v>1281.3770842633239</v>
      </c>
      <c r="H1141" t="s">
        <v>1755</v>
      </c>
      <c r="I1141" t="s">
        <v>4161</v>
      </c>
      <c r="M1141" t="s">
        <v>1757</v>
      </c>
    </row>
    <row r="1142" spans="1:13" x14ac:dyDescent="0.45">
      <c r="A1142" t="s">
        <v>4162</v>
      </c>
      <c r="B1142">
        <v>1</v>
      </c>
      <c r="C1142" t="s">
        <v>1774</v>
      </c>
      <c r="G1142" s="3">
        <v>1976.925129126942</v>
      </c>
      <c r="H1142" t="s">
        <v>1755</v>
      </c>
      <c r="I1142" t="s">
        <v>4162</v>
      </c>
      <c r="M1142" t="s">
        <v>1757</v>
      </c>
    </row>
    <row r="1143" spans="1:13" x14ac:dyDescent="0.45">
      <c r="A1143" t="s">
        <v>4163</v>
      </c>
      <c r="B1143">
        <v>2</v>
      </c>
      <c r="C1143" t="s">
        <v>1774</v>
      </c>
      <c r="G1143" s="3">
        <v>814.5494608373491</v>
      </c>
      <c r="H1143" t="s">
        <v>1755</v>
      </c>
      <c r="I1143" t="s">
        <v>4163</v>
      </c>
      <c r="M1143" t="s">
        <v>1757</v>
      </c>
    </row>
    <row r="1144" spans="1:13" x14ac:dyDescent="0.45">
      <c r="A1144" t="s">
        <v>4164</v>
      </c>
      <c r="B1144">
        <v>1</v>
      </c>
      <c r="C1144" t="s">
        <v>1774</v>
      </c>
      <c r="G1144" s="3">
        <v>745.7272035753391</v>
      </c>
      <c r="H1144" t="s">
        <v>1755</v>
      </c>
      <c r="I1144" t="s">
        <v>4164</v>
      </c>
      <c r="M1144" t="s">
        <v>1757</v>
      </c>
    </row>
    <row r="1145" spans="1:13" x14ac:dyDescent="0.45">
      <c r="A1145" t="s">
        <v>4165</v>
      </c>
      <c r="B1145">
        <v>1</v>
      </c>
      <c r="C1145" t="s">
        <v>1774</v>
      </c>
      <c r="G1145" s="3">
        <v>325.92578515769759</v>
      </c>
      <c r="H1145" t="s">
        <v>1755</v>
      </c>
      <c r="I1145" t="s">
        <v>4165</v>
      </c>
      <c r="M1145" t="s">
        <v>1757</v>
      </c>
    </row>
    <row r="1146" spans="1:13" x14ac:dyDescent="0.45">
      <c r="A1146" t="s">
        <v>4166</v>
      </c>
      <c r="B1146">
        <v>1</v>
      </c>
      <c r="C1146" t="s">
        <v>1774</v>
      </c>
      <c r="G1146" s="3">
        <v>806.47382892508256</v>
      </c>
      <c r="H1146" t="s">
        <v>1755</v>
      </c>
      <c r="I1146" t="s">
        <v>4166</v>
      </c>
      <c r="M1146" t="s">
        <v>1757</v>
      </c>
    </row>
    <row r="1147" spans="1:13" x14ac:dyDescent="0.45">
      <c r="A1147" t="s">
        <v>4167</v>
      </c>
      <c r="B1147">
        <v>1</v>
      </c>
      <c r="C1147" t="s">
        <v>1774</v>
      </c>
      <c r="G1147" s="3">
        <v>806.5912452210606</v>
      </c>
      <c r="H1147" t="s">
        <v>1755</v>
      </c>
      <c r="I1147" t="s">
        <v>4167</v>
      </c>
      <c r="M1147" t="s">
        <v>1757</v>
      </c>
    </row>
    <row r="1148" spans="1:13" x14ac:dyDescent="0.45">
      <c r="A1148" t="s">
        <v>4168</v>
      </c>
      <c r="B1148">
        <v>1</v>
      </c>
      <c r="C1148" t="s">
        <v>1774</v>
      </c>
      <c r="G1148" s="3">
        <v>1605.234059517164</v>
      </c>
      <c r="H1148" t="s">
        <v>1755</v>
      </c>
      <c r="I1148" t="s">
        <v>4168</v>
      </c>
      <c r="M1148" t="s">
        <v>1757</v>
      </c>
    </row>
    <row r="1149" spans="1:13" x14ac:dyDescent="0.45">
      <c r="A1149" t="s">
        <v>4169</v>
      </c>
      <c r="B1149">
        <v>1</v>
      </c>
      <c r="C1149" t="s">
        <v>1774</v>
      </c>
      <c r="G1149" s="3">
        <v>700.43060583803776</v>
      </c>
      <c r="H1149" t="s">
        <v>1755</v>
      </c>
      <c r="I1149" t="s">
        <v>4169</v>
      </c>
      <c r="M1149" t="s">
        <v>1757</v>
      </c>
    </row>
    <row r="1150" spans="1:13" x14ac:dyDescent="0.45">
      <c r="A1150" t="s">
        <v>4170</v>
      </c>
      <c r="B1150">
        <v>1</v>
      </c>
      <c r="C1150" t="s">
        <v>1774</v>
      </c>
      <c r="G1150" s="3">
        <v>622.33898432131798</v>
      </c>
      <c r="H1150" t="s">
        <v>1755</v>
      </c>
      <c r="I1150" t="s">
        <v>4170</v>
      </c>
      <c r="M1150" t="s">
        <v>1757</v>
      </c>
    </row>
    <row r="1151" spans="1:13" x14ac:dyDescent="0.45">
      <c r="A1151" t="s">
        <v>4171</v>
      </c>
      <c r="B1151">
        <v>2</v>
      </c>
      <c r="C1151" t="s">
        <v>1774</v>
      </c>
      <c r="G1151" s="3">
        <v>124.02618112883511</v>
      </c>
      <c r="H1151" t="s">
        <v>1755</v>
      </c>
      <c r="I1151" t="s">
        <v>4171</v>
      </c>
      <c r="M1151" t="s">
        <v>1757</v>
      </c>
    </row>
    <row r="1152" spans="1:13" x14ac:dyDescent="0.45">
      <c r="A1152" t="s">
        <v>4172</v>
      </c>
      <c r="B1152">
        <v>1</v>
      </c>
      <c r="C1152" t="s">
        <v>1774</v>
      </c>
      <c r="G1152" s="3">
        <v>665.01980790933089</v>
      </c>
      <c r="H1152" t="s">
        <v>1755</v>
      </c>
      <c r="I1152" t="s">
        <v>4172</v>
      </c>
      <c r="M1152" t="s">
        <v>1757</v>
      </c>
    </row>
    <row r="1153" spans="1:13" x14ac:dyDescent="0.45">
      <c r="A1153" t="s">
        <v>4173</v>
      </c>
      <c r="B1153">
        <v>1</v>
      </c>
      <c r="C1153" t="s">
        <v>1774</v>
      </c>
      <c r="G1153" s="3">
        <v>1177.134244381275</v>
      </c>
      <c r="H1153" t="s">
        <v>1755</v>
      </c>
      <c r="I1153" t="s">
        <v>4173</v>
      </c>
      <c r="M1153" t="s">
        <v>1757</v>
      </c>
    </row>
    <row r="1154" spans="1:13" x14ac:dyDescent="0.45">
      <c r="A1154" t="s">
        <v>4174</v>
      </c>
      <c r="B1154">
        <v>1</v>
      </c>
      <c r="C1154" t="s">
        <v>1774</v>
      </c>
      <c r="G1154" s="3">
        <v>504.98791961883381</v>
      </c>
      <c r="H1154" t="s">
        <v>1755</v>
      </c>
      <c r="I1154" t="s">
        <v>4174</v>
      </c>
      <c r="M1154" t="s">
        <v>1757</v>
      </c>
    </row>
    <row r="1155" spans="1:13" x14ac:dyDescent="0.45">
      <c r="A1155" t="s">
        <v>4175</v>
      </c>
      <c r="B1155">
        <v>3</v>
      </c>
      <c r="C1155" t="s">
        <v>1774</v>
      </c>
      <c r="G1155" s="3">
        <v>1073.188206802949</v>
      </c>
      <c r="H1155" t="s">
        <v>1755</v>
      </c>
      <c r="I1155" t="s">
        <v>4175</v>
      </c>
      <c r="M1155" t="s">
        <v>1757</v>
      </c>
    </row>
    <row r="1156" spans="1:13" x14ac:dyDescent="0.45">
      <c r="A1156" t="s">
        <v>4176</v>
      </c>
      <c r="B1156">
        <v>1</v>
      </c>
      <c r="C1156" t="s">
        <v>1774</v>
      </c>
      <c r="G1156" s="3">
        <v>246.52758119184449</v>
      </c>
      <c r="H1156" t="s">
        <v>1755</v>
      </c>
      <c r="I1156" t="s">
        <v>4176</v>
      </c>
      <c r="M1156" t="s">
        <v>1757</v>
      </c>
    </row>
    <row r="1157" spans="1:13" x14ac:dyDescent="0.45">
      <c r="A1157" t="s">
        <v>4177</v>
      </c>
      <c r="B1157">
        <v>2</v>
      </c>
      <c r="C1157" t="s">
        <v>1774</v>
      </c>
      <c r="G1157" s="3">
        <v>875.26347054932103</v>
      </c>
      <c r="H1157" t="s">
        <v>1755</v>
      </c>
      <c r="I1157" t="s">
        <v>4177</v>
      </c>
      <c r="M1157" t="s">
        <v>1757</v>
      </c>
    </row>
    <row r="1158" spans="1:13" x14ac:dyDescent="0.45">
      <c r="A1158" t="s">
        <v>4178</v>
      </c>
      <c r="B1158">
        <v>1</v>
      </c>
      <c r="C1158" t="s">
        <v>1774</v>
      </c>
      <c r="G1158" s="3">
        <v>1078.7263420965801</v>
      </c>
      <c r="H1158" t="s">
        <v>1755</v>
      </c>
      <c r="I1158" t="s">
        <v>4178</v>
      </c>
      <c r="M1158" t="s">
        <v>1757</v>
      </c>
    </row>
    <row r="1159" spans="1:13" x14ac:dyDescent="0.45">
      <c r="A1159" t="s">
        <v>4179</v>
      </c>
      <c r="B1159">
        <v>4</v>
      </c>
      <c r="C1159" t="s">
        <v>1774</v>
      </c>
      <c r="G1159" s="3">
        <v>1079.3036388851381</v>
      </c>
      <c r="H1159" t="s">
        <v>1755</v>
      </c>
      <c r="I1159" t="s">
        <v>4179</v>
      </c>
      <c r="M1159" t="s">
        <v>1757</v>
      </c>
    </row>
    <row r="1160" spans="1:13" x14ac:dyDescent="0.45">
      <c r="A1160" t="s">
        <v>4180</v>
      </c>
      <c r="B1160">
        <v>2</v>
      </c>
      <c r="C1160" t="s">
        <v>1774</v>
      </c>
      <c r="G1160" s="3">
        <v>1457.3351884777301</v>
      </c>
      <c r="H1160" t="s">
        <v>1755</v>
      </c>
      <c r="I1160" t="s">
        <v>4180</v>
      </c>
      <c r="M1160" t="s">
        <v>1757</v>
      </c>
    </row>
    <row r="1161" spans="1:13" x14ac:dyDescent="0.45">
      <c r="A1161" t="s">
        <v>4181</v>
      </c>
      <c r="B1161">
        <v>2</v>
      </c>
      <c r="C1161" t="s">
        <v>1774</v>
      </c>
      <c r="G1161" s="3">
        <v>789.66699078133877</v>
      </c>
      <c r="H1161" t="s">
        <v>1755</v>
      </c>
      <c r="I1161" t="s">
        <v>4181</v>
      </c>
      <c r="M1161" t="s">
        <v>1757</v>
      </c>
    </row>
    <row r="1162" spans="1:13" x14ac:dyDescent="0.45">
      <c r="A1162" t="s">
        <v>4182</v>
      </c>
      <c r="B1162">
        <v>3</v>
      </c>
      <c r="C1162" t="s">
        <v>1774</v>
      </c>
      <c r="G1162" s="3">
        <v>945.28924484510571</v>
      </c>
      <c r="H1162" t="s">
        <v>1755</v>
      </c>
      <c r="I1162" t="s">
        <v>4182</v>
      </c>
      <c r="M1162" t="s">
        <v>1757</v>
      </c>
    </row>
    <row r="1163" spans="1:13" x14ac:dyDescent="0.45">
      <c r="A1163" t="s">
        <v>4183</v>
      </c>
      <c r="B1163">
        <v>2</v>
      </c>
      <c r="C1163" t="s">
        <v>1774</v>
      </c>
      <c r="G1163" s="3">
        <v>524.06480615148598</v>
      </c>
      <c r="H1163" t="s">
        <v>1755</v>
      </c>
      <c r="I1163" t="s">
        <v>4183</v>
      </c>
      <c r="M1163" t="s">
        <v>1757</v>
      </c>
    </row>
    <row r="1164" spans="1:13" x14ac:dyDescent="0.45">
      <c r="A1164" t="s">
        <v>4184</v>
      </c>
      <c r="B1164">
        <v>1</v>
      </c>
      <c r="C1164" t="s">
        <v>1774</v>
      </c>
      <c r="G1164" s="3">
        <v>936.68197803716077</v>
      </c>
      <c r="H1164" t="s">
        <v>1755</v>
      </c>
      <c r="I1164" t="s">
        <v>4184</v>
      </c>
      <c r="M1164" t="s">
        <v>1757</v>
      </c>
    </row>
    <row r="1165" spans="1:13" x14ac:dyDescent="0.45">
      <c r="A1165" t="s">
        <v>4185</v>
      </c>
      <c r="B1165">
        <v>1</v>
      </c>
      <c r="C1165" t="s">
        <v>1774</v>
      </c>
      <c r="G1165" s="3">
        <v>723.26155227820982</v>
      </c>
      <c r="H1165" t="s">
        <v>1755</v>
      </c>
      <c r="I1165" t="s">
        <v>4185</v>
      </c>
      <c r="M1165" t="s">
        <v>1757</v>
      </c>
    </row>
    <row r="1166" spans="1:13" x14ac:dyDescent="0.45">
      <c r="A1166" t="s">
        <v>4186</v>
      </c>
      <c r="B1166">
        <v>1</v>
      </c>
      <c r="C1166" t="s">
        <v>1774</v>
      </c>
      <c r="G1166" s="3">
        <v>1343.513135782141</v>
      </c>
      <c r="H1166" t="s">
        <v>1755</v>
      </c>
      <c r="I1166" t="s">
        <v>4186</v>
      </c>
      <c r="M1166" t="s">
        <v>1757</v>
      </c>
    </row>
    <row r="1167" spans="1:13" x14ac:dyDescent="0.45">
      <c r="A1167" t="s">
        <v>4187</v>
      </c>
      <c r="B1167">
        <v>1</v>
      </c>
      <c r="C1167" t="s">
        <v>1774</v>
      </c>
      <c r="G1167" s="3">
        <v>2053.1870133646712</v>
      </c>
      <c r="H1167" t="s">
        <v>1755</v>
      </c>
      <c r="I1167" t="s">
        <v>4187</v>
      </c>
      <c r="M1167" t="s">
        <v>1757</v>
      </c>
    </row>
    <row r="1168" spans="1:13" x14ac:dyDescent="0.45">
      <c r="A1168" t="s">
        <v>4188</v>
      </c>
      <c r="B1168">
        <v>2</v>
      </c>
      <c r="C1168" t="s">
        <v>1774</v>
      </c>
      <c r="G1168" s="3">
        <v>1027.438251700622</v>
      </c>
      <c r="H1168" t="s">
        <v>1755</v>
      </c>
      <c r="I1168" t="s">
        <v>4188</v>
      </c>
      <c r="M1168" t="s">
        <v>1757</v>
      </c>
    </row>
    <row r="1169" spans="1:13" x14ac:dyDescent="0.45">
      <c r="A1169" t="s">
        <v>4189</v>
      </c>
      <c r="B1169">
        <v>1</v>
      </c>
      <c r="C1169" t="s">
        <v>1774</v>
      </c>
      <c r="G1169" s="3">
        <v>1907.6136372983569</v>
      </c>
      <c r="H1169" t="s">
        <v>1755</v>
      </c>
      <c r="I1169" t="s">
        <v>4189</v>
      </c>
      <c r="M1169" t="s">
        <v>1757</v>
      </c>
    </row>
    <row r="1170" spans="1:13" x14ac:dyDescent="0.45">
      <c r="A1170" t="s">
        <v>4190</v>
      </c>
      <c r="B1170">
        <v>1</v>
      </c>
      <c r="C1170" t="s">
        <v>1774</v>
      </c>
      <c r="G1170" s="3">
        <v>807.68386908641173</v>
      </c>
      <c r="H1170" t="s">
        <v>1755</v>
      </c>
      <c r="I1170" t="s">
        <v>4190</v>
      </c>
      <c r="M1170" t="s">
        <v>1757</v>
      </c>
    </row>
    <row r="1171" spans="1:13" x14ac:dyDescent="0.45">
      <c r="A1171" t="s">
        <v>4191</v>
      </c>
      <c r="B1171">
        <v>3</v>
      </c>
      <c r="C1171" t="s">
        <v>1774</v>
      </c>
      <c r="G1171" s="3">
        <v>360.62132215007159</v>
      </c>
      <c r="H1171" t="s">
        <v>1755</v>
      </c>
      <c r="I1171" t="s">
        <v>4191</v>
      </c>
      <c r="M1171" t="s">
        <v>1757</v>
      </c>
    </row>
    <row r="1172" spans="1:13" x14ac:dyDescent="0.45">
      <c r="A1172" t="s">
        <v>4192</v>
      </c>
      <c r="B1172">
        <v>2</v>
      </c>
      <c r="C1172" t="s">
        <v>1774</v>
      </c>
      <c r="G1172" s="3">
        <v>350.6768141934881</v>
      </c>
      <c r="H1172" t="s">
        <v>1755</v>
      </c>
      <c r="I1172" t="s">
        <v>4192</v>
      </c>
      <c r="M1172" t="s">
        <v>1757</v>
      </c>
    </row>
    <row r="1173" spans="1:13" x14ac:dyDescent="0.45">
      <c r="A1173" t="s">
        <v>4193</v>
      </c>
      <c r="B1173">
        <v>1</v>
      </c>
      <c r="C1173" t="s">
        <v>1774</v>
      </c>
      <c r="G1173" s="3">
        <v>600.55499985361666</v>
      </c>
      <c r="H1173" t="s">
        <v>1755</v>
      </c>
      <c r="I1173" t="s">
        <v>4193</v>
      </c>
      <c r="M1173" t="s">
        <v>1757</v>
      </c>
    </row>
    <row r="1174" spans="1:13" x14ac:dyDescent="0.45">
      <c r="A1174" t="s">
        <v>4194</v>
      </c>
      <c r="B1174">
        <v>2</v>
      </c>
      <c r="C1174" t="s">
        <v>1774</v>
      </c>
      <c r="G1174" s="3">
        <v>645.56784154230434</v>
      </c>
      <c r="H1174" t="s">
        <v>1755</v>
      </c>
      <c r="I1174" t="s">
        <v>4194</v>
      </c>
      <c r="M1174" t="s">
        <v>1757</v>
      </c>
    </row>
    <row r="1175" spans="1:13" x14ac:dyDescent="0.45">
      <c r="A1175" t="s">
        <v>4195</v>
      </c>
      <c r="B1175">
        <v>1</v>
      </c>
      <c r="C1175" t="s">
        <v>1774</v>
      </c>
      <c r="G1175" s="3">
        <v>16960.131641270651</v>
      </c>
      <c r="H1175" t="s">
        <v>1755</v>
      </c>
      <c r="I1175" t="s">
        <v>4195</v>
      </c>
      <c r="M1175" t="s">
        <v>1757</v>
      </c>
    </row>
    <row r="1176" spans="1:13" x14ac:dyDescent="0.45">
      <c r="A1176" t="s">
        <v>4196</v>
      </c>
      <c r="B1176">
        <v>1</v>
      </c>
      <c r="C1176" t="s">
        <v>1774</v>
      </c>
      <c r="G1176" s="3">
        <v>979.7639739697654</v>
      </c>
      <c r="H1176" t="s">
        <v>1755</v>
      </c>
      <c r="I1176" t="s">
        <v>4196</v>
      </c>
      <c r="M1176" t="s">
        <v>1757</v>
      </c>
    </row>
    <row r="1177" spans="1:13" x14ac:dyDescent="0.45">
      <c r="A1177" t="s">
        <v>4197</v>
      </c>
      <c r="B1177">
        <v>1</v>
      </c>
      <c r="C1177" t="s">
        <v>1774</v>
      </c>
      <c r="G1177" s="3">
        <v>541.8990368850375</v>
      </c>
      <c r="H1177" t="s">
        <v>1755</v>
      </c>
      <c r="I1177" t="s">
        <v>4197</v>
      </c>
      <c r="M1177" t="s">
        <v>1757</v>
      </c>
    </row>
    <row r="1178" spans="1:13" x14ac:dyDescent="0.45">
      <c r="A1178" t="s">
        <v>4198</v>
      </c>
      <c r="B1178">
        <v>1</v>
      </c>
      <c r="C1178" t="s">
        <v>1774</v>
      </c>
      <c r="G1178" s="3">
        <v>1882.6887669132429</v>
      </c>
      <c r="H1178" t="s">
        <v>1755</v>
      </c>
      <c r="I1178" t="s">
        <v>4198</v>
      </c>
      <c r="M1178" t="s">
        <v>1757</v>
      </c>
    </row>
    <row r="1179" spans="1:13" x14ac:dyDescent="0.45">
      <c r="A1179" t="s">
        <v>4199</v>
      </c>
      <c r="B1179">
        <v>1</v>
      </c>
      <c r="C1179" t="s">
        <v>1774</v>
      </c>
      <c r="G1179" s="3">
        <v>1321.9150604497379</v>
      </c>
      <c r="H1179" t="s">
        <v>1755</v>
      </c>
      <c r="I1179" t="s">
        <v>4199</v>
      </c>
      <c r="M1179" t="s">
        <v>1757</v>
      </c>
    </row>
    <row r="1180" spans="1:13" x14ac:dyDescent="0.45">
      <c r="A1180" t="s">
        <v>4200</v>
      </c>
      <c r="B1180">
        <v>1</v>
      </c>
      <c r="C1180" t="s">
        <v>1774</v>
      </c>
      <c r="G1180" s="3">
        <v>797.26643438213898</v>
      </c>
      <c r="H1180" t="s">
        <v>1755</v>
      </c>
      <c r="I1180" t="s">
        <v>4200</v>
      </c>
      <c r="M1180" t="s">
        <v>1757</v>
      </c>
    </row>
    <row r="1181" spans="1:13" x14ac:dyDescent="0.45">
      <c r="A1181" t="s">
        <v>4201</v>
      </c>
      <c r="B1181">
        <v>1</v>
      </c>
      <c r="C1181" t="s">
        <v>1774</v>
      </c>
      <c r="G1181" s="3">
        <v>1184.156391193517</v>
      </c>
      <c r="H1181" t="s">
        <v>1755</v>
      </c>
      <c r="I1181" t="s">
        <v>4201</v>
      </c>
      <c r="M1181" t="s">
        <v>1757</v>
      </c>
    </row>
    <row r="1182" spans="1:13" x14ac:dyDescent="0.45">
      <c r="A1182" t="s">
        <v>4202</v>
      </c>
      <c r="B1182">
        <v>1</v>
      </c>
      <c r="C1182" t="s">
        <v>1774</v>
      </c>
      <c r="G1182" s="3">
        <v>837.85333402521042</v>
      </c>
      <c r="H1182" t="s">
        <v>1755</v>
      </c>
      <c r="I1182" t="s">
        <v>4202</v>
      </c>
      <c r="M1182" t="s">
        <v>1757</v>
      </c>
    </row>
    <row r="1183" spans="1:13" x14ac:dyDescent="0.45">
      <c r="A1183" t="s">
        <v>4203</v>
      </c>
      <c r="B1183">
        <v>1</v>
      </c>
      <c r="C1183" t="s">
        <v>1774</v>
      </c>
      <c r="G1183" s="3">
        <v>249.50506276402061</v>
      </c>
      <c r="H1183" t="s">
        <v>1755</v>
      </c>
      <c r="I1183" t="s">
        <v>4203</v>
      </c>
      <c r="M1183" t="s">
        <v>1757</v>
      </c>
    </row>
    <row r="1184" spans="1:13" x14ac:dyDescent="0.45">
      <c r="A1184" t="s">
        <v>4204</v>
      </c>
      <c r="B1184">
        <v>2</v>
      </c>
      <c r="C1184" t="s">
        <v>1774</v>
      </c>
      <c r="G1184" s="3">
        <v>272.81284982841453</v>
      </c>
      <c r="H1184" t="s">
        <v>1755</v>
      </c>
      <c r="I1184" t="s">
        <v>4204</v>
      </c>
      <c r="M1184" t="s">
        <v>1757</v>
      </c>
    </row>
    <row r="1185" spans="1:13" x14ac:dyDescent="0.45">
      <c r="A1185" t="s">
        <v>4205</v>
      </c>
      <c r="B1185">
        <v>1</v>
      </c>
      <c r="C1185" t="s">
        <v>1774</v>
      </c>
      <c r="G1185" s="3">
        <v>575.6986223078236</v>
      </c>
      <c r="H1185" t="s">
        <v>1755</v>
      </c>
      <c r="I1185" t="s">
        <v>4205</v>
      </c>
      <c r="M1185" t="s">
        <v>1757</v>
      </c>
    </row>
    <row r="1186" spans="1:13" x14ac:dyDescent="0.45">
      <c r="A1186" t="s">
        <v>4206</v>
      </c>
      <c r="B1186">
        <v>1</v>
      </c>
      <c r="C1186" t="s">
        <v>1774</v>
      </c>
      <c r="G1186" s="3">
        <v>888.11403183136065</v>
      </c>
      <c r="H1186" t="s">
        <v>1755</v>
      </c>
      <c r="I1186" t="s">
        <v>4206</v>
      </c>
      <c r="M1186" t="s">
        <v>1757</v>
      </c>
    </row>
    <row r="1187" spans="1:13" x14ac:dyDescent="0.45">
      <c r="A1187" t="s">
        <v>4207</v>
      </c>
      <c r="B1187">
        <v>1</v>
      </c>
      <c r="C1187" t="s">
        <v>1774</v>
      </c>
      <c r="G1187" s="3">
        <v>356.22147261467268</v>
      </c>
      <c r="H1187" t="s">
        <v>1755</v>
      </c>
      <c r="I1187" t="s">
        <v>4207</v>
      </c>
      <c r="M1187" t="s">
        <v>1757</v>
      </c>
    </row>
    <row r="1188" spans="1:13" x14ac:dyDescent="0.45">
      <c r="A1188" t="s">
        <v>4208</v>
      </c>
      <c r="B1188">
        <v>1</v>
      </c>
      <c r="C1188" t="s">
        <v>1774</v>
      </c>
      <c r="G1188" s="3">
        <v>1271.0379270897031</v>
      </c>
      <c r="H1188" t="s">
        <v>1755</v>
      </c>
      <c r="I1188" t="s">
        <v>4208</v>
      </c>
      <c r="M1188" t="s">
        <v>1757</v>
      </c>
    </row>
    <row r="1189" spans="1:13" x14ac:dyDescent="0.45">
      <c r="A1189" t="s">
        <v>4209</v>
      </c>
      <c r="B1189">
        <v>1</v>
      </c>
      <c r="C1189" t="s">
        <v>1774</v>
      </c>
      <c r="G1189" s="3">
        <v>980.55653396761704</v>
      </c>
      <c r="H1189" t="s">
        <v>1755</v>
      </c>
      <c r="I1189" t="s">
        <v>4209</v>
      </c>
      <c r="M1189" t="s">
        <v>1757</v>
      </c>
    </row>
    <row r="1190" spans="1:13" x14ac:dyDescent="0.45">
      <c r="A1190" t="s">
        <v>4210</v>
      </c>
      <c r="B1190">
        <v>1</v>
      </c>
      <c r="C1190" t="s">
        <v>1774</v>
      </c>
      <c r="G1190" s="3">
        <v>1317.5543496796649</v>
      </c>
      <c r="H1190" t="s">
        <v>1755</v>
      </c>
      <c r="I1190" t="s">
        <v>4210</v>
      </c>
      <c r="M1190" t="s">
        <v>1757</v>
      </c>
    </row>
    <row r="1191" spans="1:13" x14ac:dyDescent="0.45">
      <c r="A1191" t="s">
        <v>4211</v>
      </c>
      <c r="B1191">
        <v>1</v>
      </c>
      <c r="C1191" t="s">
        <v>1774</v>
      </c>
      <c r="G1191" s="3">
        <v>376.58341527552898</v>
      </c>
      <c r="H1191" t="s">
        <v>1755</v>
      </c>
      <c r="I1191" t="s">
        <v>4211</v>
      </c>
      <c r="M1191" t="s">
        <v>1757</v>
      </c>
    </row>
    <row r="1192" spans="1:13" x14ac:dyDescent="0.45">
      <c r="A1192" t="s">
        <v>4212</v>
      </c>
      <c r="B1192">
        <v>1</v>
      </c>
      <c r="C1192" t="s">
        <v>1774</v>
      </c>
      <c r="G1192" s="3">
        <v>1245.5194520971449</v>
      </c>
      <c r="H1192" t="s">
        <v>1755</v>
      </c>
      <c r="I1192" t="s">
        <v>4212</v>
      </c>
      <c r="M1192" t="s">
        <v>1757</v>
      </c>
    </row>
    <row r="1193" spans="1:13" x14ac:dyDescent="0.45">
      <c r="A1193" t="s">
        <v>4213</v>
      </c>
      <c r="B1193">
        <v>1</v>
      </c>
      <c r="C1193" t="s">
        <v>1774</v>
      </c>
      <c r="G1193" s="3">
        <v>1285.3268379974741</v>
      </c>
      <c r="H1193" t="s">
        <v>1755</v>
      </c>
      <c r="I1193" t="s">
        <v>4213</v>
      </c>
      <c r="M1193" t="s">
        <v>1757</v>
      </c>
    </row>
    <row r="1194" spans="1:13" x14ac:dyDescent="0.45">
      <c r="A1194" t="s">
        <v>4214</v>
      </c>
      <c r="B1194">
        <v>3</v>
      </c>
      <c r="C1194" t="s">
        <v>1774</v>
      </c>
      <c r="G1194" s="3">
        <v>1061.3128530902829</v>
      </c>
      <c r="H1194" t="s">
        <v>1755</v>
      </c>
      <c r="I1194" t="s">
        <v>4214</v>
      </c>
      <c r="M1194" t="s">
        <v>1757</v>
      </c>
    </row>
    <row r="1195" spans="1:13" x14ac:dyDescent="0.45">
      <c r="A1195" t="s">
        <v>4215</v>
      </c>
      <c r="B1195">
        <v>1</v>
      </c>
      <c r="C1195" t="s">
        <v>1774</v>
      </c>
      <c r="G1195" s="3">
        <v>795.28666516939825</v>
      </c>
      <c r="H1195" t="s">
        <v>1755</v>
      </c>
      <c r="I1195" t="s">
        <v>4215</v>
      </c>
      <c r="M1195" t="s">
        <v>1757</v>
      </c>
    </row>
    <row r="1196" spans="1:13" x14ac:dyDescent="0.45">
      <c r="A1196" t="s">
        <v>4216</v>
      </c>
      <c r="B1196">
        <v>1</v>
      </c>
      <c r="C1196" t="s">
        <v>1774</v>
      </c>
      <c r="G1196" s="3">
        <v>761.62080386147602</v>
      </c>
      <c r="H1196" t="s">
        <v>1755</v>
      </c>
      <c r="I1196" t="s">
        <v>4216</v>
      </c>
      <c r="M1196" t="s">
        <v>1757</v>
      </c>
    </row>
    <row r="1197" spans="1:13" x14ac:dyDescent="0.45">
      <c r="A1197" t="s">
        <v>4217</v>
      </c>
      <c r="B1197">
        <v>1</v>
      </c>
      <c r="C1197" t="s">
        <v>1774</v>
      </c>
      <c r="G1197" s="3">
        <v>1039.8191477987491</v>
      </c>
      <c r="H1197" t="s">
        <v>1755</v>
      </c>
      <c r="I1197" t="s">
        <v>4217</v>
      </c>
      <c r="M1197" t="s">
        <v>1757</v>
      </c>
    </row>
    <row r="1198" spans="1:13" x14ac:dyDescent="0.45">
      <c r="A1198" t="s">
        <v>4218</v>
      </c>
      <c r="B1198">
        <v>1</v>
      </c>
      <c r="C1198" t="s">
        <v>1774</v>
      </c>
      <c r="G1198" s="3">
        <v>330.46490346638149</v>
      </c>
      <c r="H1198" t="s">
        <v>1755</v>
      </c>
      <c r="I1198" t="s">
        <v>4218</v>
      </c>
      <c r="M1198" t="s">
        <v>1757</v>
      </c>
    </row>
    <row r="1199" spans="1:13" x14ac:dyDescent="0.45">
      <c r="A1199" t="s">
        <v>4219</v>
      </c>
      <c r="B1199">
        <v>2</v>
      </c>
      <c r="C1199" t="s">
        <v>1774</v>
      </c>
      <c r="G1199" s="3">
        <v>647.75961240056097</v>
      </c>
      <c r="H1199" t="s">
        <v>1755</v>
      </c>
      <c r="I1199" t="s">
        <v>4219</v>
      </c>
      <c r="M1199" t="s">
        <v>1757</v>
      </c>
    </row>
    <row r="1200" spans="1:13" x14ac:dyDescent="0.45">
      <c r="A1200" t="s">
        <v>4220</v>
      </c>
      <c r="B1200">
        <v>2</v>
      </c>
      <c r="C1200" t="s">
        <v>1774</v>
      </c>
      <c r="G1200" s="3">
        <v>897.76173748422184</v>
      </c>
      <c r="H1200" t="s">
        <v>1755</v>
      </c>
      <c r="I1200" t="s">
        <v>4220</v>
      </c>
      <c r="M1200" t="s">
        <v>1757</v>
      </c>
    </row>
    <row r="1201" spans="1:13" x14ac:dyDescent="0.45">
      <c r="A1201" t="s">
        <v>4221</v>
      </c>
      <c r="B1201">
        <v>1</v>
      </c>
      <c r="C1201" t="s">
        <v>1774</v>
      </c>
      <c r="G1201" s="3">
        <v>1166.9157650674099</v>
      </c>
      <c r="H1201" t="s">
        <v>1755</v>
      </c>
      <c r="I1201" t="s">
        <v>4221</v>
      </c>
      <c r="M1201" t="s">
        <v>1757</v>
      </c>
    </row>
    <row r="1202" spans="1:13" x14ac:dyDescent="0.45">
      <c r="A1202" t="s">
        <v>4222</v>
      </c>
      <c r="B1202">
        <v>1</v>
      </c>
      <c r="C1202" t="s">
        <v>1774</v>
      </c>
      <c r="G1202" s="3">
        <v>689.05427138327775</v>
      </c>
      <c r="H1202" t="s">
        <v>1755</v>
      </c>
      <c r="I1202" t="s">
        <v>4222</v>
      </c>
      <c r="M1202" t="s">
        <v>1757</v>
      </c>
    </row>
    <row r="1203" spans="1:13" x14ac:dyDescent="0.45">
      <c r="A1203" t="s">
        <v>4223</v>
      </c>
      <c r="B1203">
        <v>1</v>
      </c>
      <c r="C1203" t="s">
        <v>1774</v>
      </c>
      <c r="G1203" s="3">
        <v>610.67563225416723</v>
      </c>
      <c r="H1203" t="s">
        <v>1755</v>
      </c>
      <c r="I1203" t="s">
        <v>4223</v>
      </c>
      <c r="M1203" t="s">
        <v>1757</v>
      </c>
    </row>
    <row r="1204" spans="1:13" x14ac:dyDescent="0.45">
      <c r="A1204" t="s">
        <v>4224</v>
      </c>
      <c r="B1204">
        <v>1</v>
      </c>
      <c r="C1204" t="s">
        <v>1774</v>
      </c>
      <c r="G1204" s="3">
        <v>422.24204659209602</v>
      </c>
      <c r="H1204" t="s">
        <v>1755</v>
      </c>
      <c r="I1204" t="s">
        <v>4224</v>
      </c>
      <c r="M1204" t="s">
        <v>1757</v>
      </c>
    </row>
    <row r="1205" spans="1:13" x14ac:dyDescent="0.45">
      <c r="A1205" t="s">
        <v>4225</v>
      </c>
      <c r="B1205">
        <v>2</v>
      </c>
      <c r="C1205" t="s">
        <v>1774</v>
      </c>
      <c r="G1205" s="3">
        <v>334.51902724140058</v>
      </c>
      <c r="H1205" t="s">
        <v>1755</v>
      </c>
      <c r="I1205" t="s">
        <v>4225</v>
      </c>
      <c r="M1205" t="s">
        <v>1757</v>
      </c>
    </row>
    <row r="1206" spans="1:13" x14ac:dyDescent="0.45">
      <c r="A1206" t="s">
        <v>4226</v>
      </c>
      <c r="B1206">
        <v>1</v>
      </c>
      <c r="C1206" t="s">
        <v>1774</v>
      </c>
      <c r="G1206" s="3">
        <v>1763.765628470165</v>
      </c>
      <c r="H1206" t="s">
        <v>1755</v>
      </c>
      <c r="I1206" t="s">
        <v>4226</v>
      </c>
      <c r="M1206" t="s">
        <v>1757</v>
      </c>
    </row>
    <row r="1207" spans="1:13" x14ac:dyDescent="0.45">
      <c r="A1207" t="s">
        <v>4227</v>
      </c>
      <c r="B1207">
        <v>1</v>
      </c>
      <c r="C1207" t="s">
        <v>1774</v>
      </c>
      <c r="G1207" s="3">
        <v>1047.663208682837</v>
      </c>
      <c r="H1207" t="s">
        <v>1755</v>
      </c>
      <c r="I1207" t="s">
        <v>4227</v>
      </c>
      <c r="M1207" t="s">
        <v>1757</v>
      </c>
    </row>
    <row r="1208" spans="1:13" x14ac:dyDescent="0.45">
      <c r="A1208" t="s">
        <v>4228</v>
      </c>
      <c r="B1208">
        <v>1</v>
      </c>
      <c r="C1208" t="s">
        <v>1774</v>
      </c>
      <c r="G1208" s="3">
        <v>426.35161695132689</v>
      </c>
      <c r="H1208" t="s">
        <v>1755</v>
      </c>
      <c r="I1208" t="s">
        <v>4228</v>
      </c>
      <c r="M1208" t="s">
        <v>1757</v>
      </c>
    </row>
    <row r="1209" spans="1:13" x14ac:dyDescent="0.45">
      <c r="A1209" t="s">
        <v>4229</v>
      </c>
      <c r="B1209">
        <v>3</v>
      </c>
      <c r="C1209" t="s">
        <v>1774</v>
      </c>
      <c r="G1209" s="3">
        <v>220.17577665422019</v>
      </c>
      <c r="H1209" t="s">
        <v>1755</v>
      </c>
      <c r="I1209" t="s">
        <v>4229</v>
      </c>
      <c r="M1209" t="s">
        <v>1757</v>
      </c>
    </row>
    <row r="1210" spans="1:13" x14ac:dyDescent="0.45">
      <c r="A1210" t="s">
        <v>4230</v>
      </c>
      <c r="B1210">
        <v>1</v>
      </c>
      <c r="C1210" t="s">
        <v>1774</v>
      </c>
      <c r="G1210" s="3">
        <v>1027.3762819888559</v>
      </c>
      <c r="H1210" t="s">
        <v>1755</v>
      </c>
      <c r="I1210" t="s">
        <v>4230</v>
      </c>
      <c r="M1210" t="s">
        <v>1757</v>
      </c>
    </row>
    <row r="1211" spans="1:13" x14ac:dyDescent="0.45">
      <c r="A1211" t="s">
        <v>4231</v>
      </c>
      <c r="B1211">
        <v>1</v>
      </c>
      <c r="C1211" t="s">
        <v>1774</v>
      </c>
      <c r="G1211" s="3">
        <v>1754.6006342563239</v>
      </c>
      <c r="H1211" t="s">
        <v>1755</v>
      </c>
      <c r="I1211" t="s">
        <v>4231</v>
      </c>
      <c r="M1211" t="s">
        <v>1757</v>
      </c>
    </row>
    <row r="1212" spans="1:13" x14ac:dyDescent="0.45">
      <c r="A1212" t="s">
        <v>4232</v>
      </c>
      <c r="B1212">
        <v>3</v>
      </c>
      <c r="C1212" t="s">
        <v>1774</v>
      </c>
      <c r="G1212" s="3">
        <v>101.385383856872</v>
      </c>
      <c r="H1212" t="s">
        <v>1755</v>
      </c>
      <c r="I1212" t="s">
        <v>4232</v>
      </c>
      <c r="M1212" t="s">
        <v>1757</v>
      </c>
    </row>
    <row r="1213" spans="1:13" x14ac:dyDescent="0.45">
      <c r="A1213" t="s">
        <v>4233</v>
      </c>
      <c r="B1213">
        <v>2</v>
      </c>
      <c r="C1213" t="s">
        <v>1774</v>
      </c>
      <c r="G1213" s="3">
        <v>556.2988409612318</v>
      </c>
      <c r="H1213" t="s">
        <v>1755</v>
      </c>
      <c r="I1213" t="s">
        <v>4233</v>
      </c>
      <c r="M1213" t="s">
        <v>1757</v>
      </c>
    </row>
    <row r="1214" spans="1:13" x14ac:dyDescent="0.45">
      <c r="A1214" t="s">
        <v>4234</v>
      </c>
      <c r="B1214">
        <v>2</v>
      </c>
      <c r="C1214" t="s">
        <v>1774</v>
      </c>
      <c r="G1214" s="3">
        <v>237.80224577516611</v>
      </c>
      <c r="H1214" t="s">
        <v>1755</v>
      </c>
      <c r="I1214" t="s">
        <v>4234</v>
      </c>
      <c r="M1214" t="s">
        <v>1757</v>
      </c>
    </row>
    <row r="1215" spans="1:13" x14ac:dyDescent="0.45">
      <c r="A1215" t="s">
        <v>4235</v>
      </c>
      <c r="B1215">
        <v>1</v>
      </c>
      <c r="C1215" t="s">
        <v>1774</v>
      </c>
      <c r="G1215" s="3">
        <v>487.48636839055331</v>
      </c>
      <c r="H1215" t="s">
        <v>1755</v>
      </c>
      <c r="I1215" t="s">
        <v>4235</v>
      </c>
      <c r="M1215" t="s">
        <v>1757</v>
      </c>
    </row>
    <row r="1216" spans="1:13" x14ac:dyDescent="0.45">
      <c r="A1216" t="s">
        <v>4236</v>
      </c>
      <c r="B1216">
        <v>1</v>
      </c>
      <c r="C1216" t="s">
        <v>1774</v>
      </c>
      <c r="G1216" s="3">
        <v>356.28344232643889</v>
      </c>
      <c r="H1216" t="s">
        <v>1755</v>
      </c>
      <c r="I1216" t="s">
        <v>4236</v>
      </c>
      <c r="M1216" t="s">
        <v>1757</v>
      </c>
    </row>
    <row r="1217" spans="1:13" x14ac:dyDescent="0.45">
      <c r="A1217" t="s">
        <v>4237</v>
      </c>
      <c r="B1217">
        <v>2</v>
      </c>
      <c r="C1217" t="s">
        <v>1774</v>
      </c>
      <c r="G1217" s="3">
        <v>870.39395583000987</v>
      </c>
      <c r="H1217" t="s">
        <v>1755</v>
      </c>
      <c r="I1217" t="s">
        <v>4237</v>
      </c>
      <c r="M1217" t="s">
        <v>1757</v>
      </c>
    </row>
    <row r="1218" spans="1:13" x14ac:dyDescent="0.45">
      <c r="A1218" t="s">
        <v>4238</v>
      </c>
      <c r="B1218">
        <v>1</v>
      </c>
      <c r="C1218" t="s">
        <v>1774</v>
      </c>
      <c r="G1218" s="3">
        <v>694.39345128650086</v>
      </c>
      <c r="H1218" t="s">
        <v>1755</v>
      </c>
      <c r="I1218" t="s">
        <v>4238</v>
      </c>
      <c r="M1218" t="s">
        <v>1757</v>
      </c>
    </row>
    <row r="1219" spans="1:13" x14ac:dyDescent="0.45">
      <c r="A1219" t="s">
        <v>4239</v>
      </c>
      <c r="B1219">
        <v>1</v>
      </c>
      <c r="C1219" t="s">
        <v>1774</v>
      </c>
      <c r="G1219" s="3">
        <v>1487.481822470088</v>
      </c>
      <c r="H1219" t="s">
        <v>1755</v>
      </c>
      <c r="I1219" t="s">
        <v>4239</v>
      </c>
      <c r="M1219" t="s">
        <v>1757</v>
      </c>
    </row>
    <row r="1220" spans="1:13" x14ac:dyDescent="0.45">
      <c r="A1220" t="s">
        <v>4240</v>
      </c>
      <c r="B1220">
        <v>1</v>
      </c>
      <c r="C1220" t="s">
        <v>1774</v>
      </c>
      <c r="G1220" s="3">
        <v>2294.8884586354411</v>
      </c>
      <c r="H1220" t="s">
        <v>1755</v>
      </c>
      <c r="I1220" t="s">
        <v>4240</v>
      </c>
      <c r="M1220" t="s">
        <v>1757</v>
      </c>
    </row>
    <row r="1221" spans="1:13" x14ac:dyDescent="0.45">
      <c r="A1221" t="s">
        <v>4241</v>
      </c>
      <c r="B1221">
        <v>2</v>
      </c>
      <c r="C1221" t="s">
        <v>1774</v>
      </c>
      <c r="G1221" s="3">
        <v>841.85201121601767</v>
      </c>
      <c r="H1221" t="s">
        <v>1755</v>
      </c>
      <c r="I1221" t="s">
        <v>4241</v>
      </c>
      <c r="M1221" t="s">
        <v>1757</v>
      </c>
    </row>
    <row r="1222" spans="1:13" x14ac:dyDescent="0.45">
      <c r="A1222" t="s">
        <v>4242</v>
      </c>
      <c r="B1222">
        <v>1</v>
      </c>
      <c r="C1222" t="s">
        <v>1774</v>
      </c>
      <c r="G1222" s="3">
        <v>1325.023330729379</v>
      </c>
      <c r="H1222" t="s">
        <v>1755</v>
      </c>
      <c r="I1222" t="s">
        <v>4242</v>
      </c>
      <c r="M1222" t="s">
        <v>1757</v>
      </c>
    </row>
    <row r="1223" spans="1:13" x14ac:dyDescent="0.45">
      <c r="A1223" t="s">
        <v>4243</v>
      </c>
      <c r="B1223">
        <v>1</v>
      </c>
      <c r="C1223" t="s">
        <v>1774</v>
      </c>
      <c r="G1223" s="3">
        <v>1701.610007568685</v>
      </c>
      <c r="H1223" t="s">
        <v>1755</v>
      </c>
      <c r="I1223" t="s">
        <v>4243</v>
      </c>
      <c r="M1223" t="s">
        <v>1757</v>
      </c>
    </row>
    <row r="1224" spans="1:13" x14ac:dyDescent="0.45">
      <c r="A1224" t="s">
        <v>4244</v>
      </c>
      <c r="B1224">
        <v>1</v>
      </c>
      <c r="C1224" t="s">
        <v>1774</v>
      </c>
      <c r="G1224" s="3">
        <v>146.62849194822769</v>
      </c>
      <c r="H1224" t="s">
        <v>1755</v>
      </c>
      <c r="I1224" t="s">
        <v>4244</v>
      </c>
      <c r="M1224" t="s">
        <v>1757</v>
      </c>
    </row>
    <row r="1225" spans="1:13" x14ac:dyDescent="0.45">
      <c r="A1225" t="s">
        <v>4245</v>
      </c>
      <c r="B1225">
        <v>1</v>
      </c>
      <c r="C1225" t="s">
        <v>1774</v>
      </c>
      <c r="G1225" s="3">
        <v>1352.596590901552</v>
      </c>
      <c r="H1225" t="s">
        <v>1755</v>
      </c>
      <c r="I1225" t="s">
        <v>4245</v>
      </c>
      <c r="M1225" t="s">
        <v>1757</v>
      </c>
    </row>
    <row r="1226" spans="1:13" x14ac:dyDescent="0.45">
      <c r="A1226" t="s">
        <v>4246</v>
      </c>
      <c r="B1226">
        <v>1</v>
      </c>
      <c r="C1226" t="s">
        <v>1774</v>
      </c>
      <c r="G1226" s="3">
        <v>479.5477221569277</v>
      </c>
      <c r="H1226" t="s">
        <v>1755</v>
      </c>
      <c r="I1226" t="s">
        <v>4246</v>
      </c>
      <c r="M1226" t="s">
        <v>1757</v>
      </c>
    </row>
    <row r="1227" spans="1:13" x14ac:dyDescent="0.45">
      <c r="A1227" t="s">
        <v>4247</v>
      </c>
      <c r="B1227">
        <v>1</v>
      </c>
      <c r="C1227" t="s">
        <v>1774</v>
      </c>
      <c r="G1227" s="3">
        <v>746.37299320321824</v>
      </c>
      <c r="H1227" t="s">
        <v>1755</v>
      </c>
      <c r="I1227" t="s">
        <v>4247</v>
      </c>
      <c r="M1227" t="s">
        <v>1757</v>
      </c>
    </row>
    <row r="1228" spans="1:13" x14ac:dyDescent="0.45">
      <c r="A1228" t="s">
        <v>4248</v>
      </c>
      <c r="B1228">
        <v>1</v>
      </c>
      <c r="C1228" t="s">
        <v>1774</v>
      </c>
      <c r="G1228" s="3">
        <v>2858.9726523327708</v>
      </c>
      <c r="H1228" t="s">
        <v>1755</v>
      </c>
      <c r="I1228" t="s">
        <v>4248</v>
      </c>
      <c r="M1228" t="s">
        <v>1757</v>
      </c>
    </row>
    <row r="1229" spans="1:13" x14ac:dyDescent="0.45">
      <c r="A1229" t="s">
        <v>4249</v>
      </c>
      <c r="B1229">
        <v>2</v>
      </c>
      <c r="C1229" t="s">
        <v>1774</v>
      </c>
      <c r="G1229" s="3">
        <v>742.90268934431208</v>
      </c>
      <c r="H1229" t="s">
        <v>1755</v>
      </c>
      <c r="I1229" t="s">
        <v>4249</v>
      </c>
      <c r="M1229" t="s">
        <v>1757</v>
      </c>
    </row>
    <row r="1230" spans="1:13" x14ac:dyDescent="0.45">
      <c r="A1230" t="s">
        <v>4250</v>
      </c>
      <c r="B1230">
        <v>1</v>
      </c>
      <c r="C1230" t="s">
        <v>1774</v>
      </c>
      <c r="G1230" s="3">
        <v>624.94171221549755</v>
      </c>
      <c r="H1230" t="s">
        <v>1755</v>
      </c>
      <c r="I1230" t="s">
        <v>4250</v>
      </c>
      <c r="M1230" t="s">
        <v>1757</v>
      </c>
    </row>
    <row r="1231" spans="1:13" x14ac:dyDescent="0.45">
      <c r="A1231" t="s">
        <v>4251</v>
      </c>
      <c r="B1231">
        <v>1</v>
      </c>
      <c r="C1231" t="s">
        <v>1774</v>
      </c>
      <c r="G1231" s="3">
        <v>208.7612819032673</v>
      </c>
      <c r="H1231" t="s">
        <v>1755</v>
      </c>
      <c r="I1231" t="s">
        <v>4251</v>
      </c>
      <c r="M1231" t="s">
        <v>1757</v>
      </c>
    </row>
    <row r="1232" spans="1:13" x14ac:dyDescent="0.45">
      <c r="A1232" t="s">
        <v>4252</v>
      </c>
      <c r="B1232">
        <v>1</v>
      </c>
      <c r="C1232" t="s">
        <v>1774</v>
      </c>
      <c r="G1232" s="3">
        <v>2158.741001885141</v>
      </c>
      <c r="H1232" t="s">
        <v>1755</v>
      </c>
      <c r="I1232" t="s">
        <v>4252</v>
      </c>
      <c r="M1232" t="s">
        <v>1757</v>
      </c>
    </row>
    <row r="1233" spans="1:13" x14ac:dyDescent="0.45">
      <c r="A1233" t="s">
        <v>4253</v>
      </c>
      <c r="B1233">
        <v>1</v>
      </c>
      <c r="C1233" t="s">
        <v>1774</v>
      </c>
      <c r="G1233" s="3">
        <v>1358.301065947818</v>
      </c>
      <c r="H1233" t="s">
        <v>1755</v>
      </c>
      <c r="I1233" t="s">
        <v>4253</v>
      </c>
      <c r="M1233" t="s">
        <v>1757</v>
      </c>
    </row>
    <row r="1234" spans="1:13" x14ac:dyDescent="0.45">
      <c r="A1234" t="s">
        <v>4254</v>
      </c>
      <c r="B1234">
        <v>1</v>
      </c>
      <c r="C1234" t="s">
        <v>1774</v>
      </c>
      <c r="G1234" s="3">
        <v>323.05919675394512</v>
      </c>
      <c r="H1234" t="s">
        <v>1755</v>
      </c>
      <c r="I1234" t="s">
        <v>4254</v>
      </c>
      <c r="M1234" t="s">
        <v>1757</v>
      </c>
    </row>
    <row r="1235" spans="1:13" x14ac:dyDescent="0.45">
      <c r="A1235" t="s">
        <v>4255</v>
      </c>
      <c r="B1235">
        <v>1</v>
      </c>
      <c r="C1235" t="s">
        <v>1774</v>
      </c>
      <c r="G1235" s="3">
        <v>2165.1369284521661</v>
      </c>
      <c r="H1235" t="s">
        <v>1755</v>
      </c>
      <c r="I1235" t="s">
        <v>4255</v>
      </c>
      <c r="M1235" t="s">
        <v>1757</v>
      </c>
    </row>
    <row r="1236" spans="1:13" x14ac:dyDescent="0.45">
      <c r="A1236" t="s">
        <v>4256</v>
      </c>
      <c r="B1236">
        <v>1</v>
      </c>
      <c r="C1236" t="s">
        <v>1774</v>
      </c>
      <c r="G1236" s="3">
        <v>695.63610708560168</v>
      </c>
      <c r="H1236" t="s">
        <v>1755</v>
      </c>
      <c r="I1236" t="s">
        <v>4256</v>
      </c>
      <c r="M1236" t="s">
        <v>1757</v>
      </c>
    </row>
    <row r="1237" spans="1:13" x14ac:dyDescent="0.45">
      <c r="A1237" t="s">
        <v>4257</v>
      </c>
      <c r="B1237">
        <v>1</v>
      </c>
      <c r="C1237" t="s">
        <v>1774</v>
      </c>
      <c r="G1237" s="3">
        <v>529.94214407794175</v>
      </c>
      <c r="H1237" t="s">
        <v>1755</v>
      </c>
      <c r="I1237" t="s">
        <v>4257</v>
      </c>
      <c r="M1237" t="s">
        <v>1757</v>
      </c>
    </row>
    <row r="1238" spans="1:13" x14ac:dyDescent="0.45">
      <c r="A1238" t="s">
        <v>4258</v>
      </c>
      <c r="B1238">
        <v>2</v>
      </c>
      <c r="C1238" t="s">
        <v>1774</v>
      </c>
      <c r="G1238" s="3">
        <v>605.36254486116138</v>
      </c>
      <c r="H1238" t="s">
        <v>1755</v>
      </c>
      <c r="I1238" t="s">
        <v>4258</v>
      </c>
      <c r="M1238" t="s">
        <v>1757</v>
      </c>
    </row>
    <row r="1239" spans="1:13" x14ac:dyDescent="0.45">
      <c r="A1239" t="s">
        <v>4259</v>
      </c>
      <c r="B1239">
        <v>1</v>
      </c>
      <c r="C1239" t="s">
        <v>1774</v>
      </c>
      <c r="G1239" s="3">
        <v>452.28431054358509</v>
      </c>
      <c r="H1239" t="s">
        <v>1755</v>
      </c>
      <c r="I1239" t="s">
        <v>4259</v>
      </c>
      <c r="M1239" t="s">
        <v>1757</v>
      </c>
    </row>
    <row r="1240" spans="1:13" x14ac:dyDescent="0.45">
      <c r="A1240" t="s">
        <v>4260</v>
      </c>
      <c r="B1240">
        <v>4</v>
      </c>
      <c r="C1240" t="s">
        <v>1774</v>
      </c>
      <c r="G1240" s="3">
        <v>252.96232036781811</v>
      </c>
      <c r="H1240" t="s">
        <v>1755</v>
      </c>
      <c r="I1240" t="s">
        <v>4260</v>
      </c>
      <c r="M1240" t="s">
        <v>1757</v>
      </c>
    </row>
    <row r="1241" spans="1:13" x14ac:dyDescent="0.45">
      <c r="A1241" t="s">
        <v>4261</v>
      </c>
      <c r="B1241">
        <v>5</v>
      </c>
      <c r="C1241" t="s">
        <v>1774</v>
      </c>
      <c r="G1241" s="3">
        <v>1069.0851595712729</v>
      </c>
      <c r="H1241" t="s">
        <v>1755</v>
      </c>
      <c r="I1241" t="s">
        <v>4261</v>
      </c>
      <c r="M1241" t="s">
        <v>1757</v>
      </c>
    </row>
    <row r="1242" spans="1:13" x14ac:dyDescent="0.45">
      <c r="A1242" t="s">
        <v>4262</v>
      </c>
      <c r="B1242">
        <v>1</v>
      </c>
      <c r="C1242" t="s">
        <v>1774</v>
      </c>
      <c r="G1242" s="3">
        <v>1176.641748250923</v>
      </c>
      <c r="H1242" t="s">
        <v>1755</v>
      </c>
      <c r="I1242" t="s">
        <v>4262</v>
      </c>
      <c r="M1242" t="s">
        <v>1757</v>
      </c>
    </row>
    <row r="1243" spans="1:13" x14ac:dyDescent="0.45">
      <c r="A1243" t="s">
        <v>4263</v>
      </c>
      <c r="B1243">
        <v>1</v>
      </c>
      <c r="C1243" t="s">
        <v>1774</v>
      </c>
      <c r="G1243" s="3">
        <v>814.23308915096391</v>
      </c>
      <c r="H1243" t="s">
        <v>1755</v>
      </c>
      <c r="I1243" t="s">
        <v>4263</v>
      </c>
      <c r="M1243" t="s">
        <v>1757</v>
      </c>
    </row>
    <row r="1244" spans="1:13" x14ac:dyDescent="0.45">
      <c r="A1244" t="s">
        <v>4264</v>
      </c>
      <c r="B1244">
        <v>2</v>
      </c>
      <c r="C1244" t="s">
        <v>1774</v>
      </c>
      <c r="G1244" s="3">
        <v>914.92734764345391</v>
      </c>
      <c r="H1244" t="s">
        <v>1755</v>
      </c>
      <c r="I1244" t="s">
        <v>4264</v>
      </c>
      <c r="M1244" t="s">
        <v>1757</v>
      </c>
    </row>
    <row r="1245" spans="1:13" x14ac:dyDescent="0.45">
      <c r="A1245" t="s">
        <v>4265</v>
      </c>
      <c r="B1245">
        <v>1</v>
      </c>
      <c r="C1245" t="s">
        <v>1774</v>
      </c>
      <c r="G1245" s="3">
        <v>1841.002720277266</v>
      </c>
      <c r="H1245" t="s">
        <v>1755</v>
      </c>
      <c r="I1245" t="s">
        <v>4265</v>
      </c>
      <c r="M1245" t="s">
        <v>1757</v>
      </c>
    </row>
    <row r="1246" spans="1:13" x14ac:dyDescent="0.45">
      <c r="A1246" t="s">
        <v>4266</v>
      </c>
      <c r="B1246">
        <v>1</v>
      </c>
      <c r="C1246" t="s">
        <v>1774</v>
      </c>
      <c r="G1246" s="3">
        <v>1379.85347938734</v>
      </c>
      <c r="H1246" t="s">
        <v>1755</v>
      </c>
      <c r="I1246" t="s">
        <v>4266</v>
      </c>
      <c r="M1246" t="s">
        <v>1757</v>
      </c>
    </row>
    <row r="1247" spans="1:13" x14ac:dyDescent="0.45">
      <c r="A1247" t="s">
        <v>4267</v>
      </c>
      <c r="B1247">
        <v>1</v>
      </c>
      <c r="C1247" t="s">
        <v>1774</v>
      </c>
      <c r="G1247" s="3">
        <v>1004.904107564172</v>
      </c>
      <c r="H1247" t="s">
        <v>1755</v>
      </c>
      <c r="I1247" t="s">
        <v>4267</v>
      </c>
      <c r="M1247" t="s">
        <v>1757</v>
      </c>
    </row>
    <row r="1248" spans="1:13" x14ac:dyDescent="0.45">
      <c r="A1248" t="s">
        <v>4268</v>
      </c>
      <c r="B1248">
        <v>1</v>
      </c>
      <c r="C1248" t="s">
        <v>1774</v>
      </c>
      <c r="G1248" s="3">
        <v>744.70307254930856</v>
      </c>
      <c r="H1248" t="s">
        <v>1755</v>
      </c>
      <c r="I1248" t="s">
        <v>4268</v>
      </c>
      <c r="M1248" t="s">
        <v>1757</v>
      </c>
    </row>
    <row r="1249" spans="1:13" x14ac:dyDescent="0.45">
      <c r="A1249" t="s">
        <v>4269</v>
      </c>
      <c r="B1249">
        <v>2</v>
      </c>
      <c r="C1249" t="s">
        <v>1774</v>
      </c>
      <c r="G1249" s="3">
        <v>402.60090952599359</v>
      </c>
      <c r="H1249" t="s">
        <v>1755</v>
      </c>
      <c r="I1249" t="s">
        <v>4269</v>
      </c>
      <c r="M1249" t="s">
        <v>1757</v>
      </c>
    </row>
    <row r="1250" spans="1:13" x14ac:dyDescent="0.45">
      <c r="A1250" t="s">
        <v>4270</v>
      </c>
      <c r="B1250">
        <v>1</v>
      </c>
      <c r="C1250" t="s">
        <v>1774</v>
      </c>
      <c r="G1250" s="3">
        <v>1592.1388809518371</v>
      </c>
      <c r="H1250" t="s">
        <v>1755</v>
      </c>
      <c r="I1250" t="s">
        <v>4270</v>
      </c>
      <c r="M1250" t="s">
        <v>1757</v>
      </c>
    </row>
    <row r="1251" spans="1:13" x14ac:dyDescent="0.45">
      <c r="A1251" t="s">
        <v>4271</v>
      </c>
      <c r="B1251">
        <v>1</v>
      </c>
      <c r="C1251" t="s">
        <v>1774</v>
      </c>
      <c r="G1251" s="3">
        <v>368.95787916451161</v>
      </c>
      <c r="H1251" t="s">
        <v>1755</v>
      </c>
      <c r="I1251" t="s">
        <v>4271</v>
      </c>
      <c r="M1251" t="s">
        <v>1757</v>
      </c>
    </row>
    <row r="1252" spans="1:13" x14ac:dyDescent="0.45">
      <c r="A1252" t="s">
        <v>4272</v>
      </c>
      <c r="B1252">
        <v>1</v>
      </c>
      <c r="C1252" t="s">
        <v>1774</v>
      </c>
      <c r="G1252" s="3">
        <v>2565.0209553517789</v>
      </c>
      <c r="H1252" t="s">
        <v>1755</v>
      </c>
      <c r="I1252" t="s">
        <v>4272</v>
      </c>
      <c r="M1252" t="s">
        <v>1757</v>
      </c>
    </row>
    <row r="1253" spans="1:13" x14ac:dyDescent="0.45">
      <c r="A1253" t="s">
        <v>4273</v>
      </c>
      <c r="B1253">
        <v>1</v>
      </c>
      <c r="C1253" t="s">
        <v>1774</v>
      </c>
      <c r="G1253" s="3">
        <v>596.81072463742851</v>
      </c>
      <c r="H1253" t="s">
        <v>1755</v>
      </c>
      <c r="I1253" t="s">
        <v>4273</v>
      </c>
      <c r="M1253" t="s">
        <v>1757</v>
      </c>
    </row>
    <row r="1254" spans="1:13" x14ac:dyDescent="0.45">
      <c r="A1254" t="s">
        <v>4274</v>
      </c>
      <c r="B1254">
        <v>1</v>
      </c>
      <c r="C1254" t="s">
        <v>1774</v>
      </c>
      <c r="G1254" s="3">
        <v>205.46840711383911</v>
      </c>
      <c r="H1254" t="s">
        <v>1755</v>
      </c>
      <c r="I1254" t="s">
        <v>4274</v>
      </c>
      <c r="M1254" t="s">
        <v>1757</v>
      </c>
    </row>
    <row r="1255" spans="1:13" x14ac:dyDescent="0.45">
      <c r="A1255" t="s">
        <v>4275</v>
      </c>
      <c r="B1255">
        <v>1</v>
      </c>
      <c r="C1255" t="s">
        <v>1774</v>
      </c>
      <c r="G1255" s="3">
        <v>1277.0228966208051</v>
      </c>
      <c r="H1255" t="s">
        <v>1755</v>
      </c>
      <c r="I1255" t="s">
        <v>4275</v>
      </c>
      <c r="M1255" t="s">
        <v>1757</v>
      </c>
    </row>
    <row r="1256" spans="1:13" x14ac:dyDescent="0.45">
      <c r="A1256" t="s">
        <v>4276</v>
      </c>
      <c r="B1256">
        <v>1</v>
      </c>
      <c r="C1256" t="s">
        <v>1774</v>
      </c>
      <c r="G1256" s="3">
        <v>1494.249567307711</v>
      </c>
      <c r="H1256" t="s">
        <v>1755</v>
      </c>
      <c r="I1256" t="s">
        <v>4276</v>
      </c>
      <c r="M1256" t="s">
        <v>1757</v>
      </c>
    </row>
    <row r="1257" spans="1:13" x14ac:dyDescent="0.45">
      <c r="A1257" t="s">
        <v>4277</v>
      </c>
      <c r="B1257">
        <v>2</v>
      </c>
      <c r="C1257" t="s">
        <v>1774</v>
      </c>
      <c r="G1257" s="3">
        <v>1618.6782254066479</v>
      </c>
      <c r="H1257" t="s">
        <v>1755</v>
      </c>
      <c r="I1257" t="s">
        <v>4277</v>
      </c>
      <c r="M1257" t="s">
        <v>1757</v>
      </c>
    </row>
    <row r="1258" spans="1:13" x14ac:dyDescent="0.45">
      <c r="A1258" t="s">
        <v>4278</v>
      </c>
      <c r="B1258">
        <v>1</v>
      </c>
      <c r="C1258" t="s">
        <v>1774</v>
      </c>
      <c r="G1258" s="3">
        <v>1314.1329692774159</v>
      </c>
      <c r="H1258" t="s">
        <v>1755</v>
      </c>
      <c r="I1258" t="s">
        <v>4278</v>
      </c>
      <c r="M1258" t="s">
        <v>1757</v>
      </c>
    </row>
    <row r="1259" spans="1:13" x14ac:dyDescent="0.45">
      <c r="A1259" t="s">
        <v>4279</v>
      </c>
      <c r="B1259">
        <v>1</v>
      </c>
      <c r="C1259" t="s">
        <v>1774</v>
      </c>
      <c r="G1259" s="3">
        <v>349.8744695043049</v>
      </c>
      <c r="H1259" t="s">
        <v>1755</v>
      </c>
      <c r="I1259" t="s">
        <v>4279</v>
      </c>
      <c r="M1259" t="s">
        <v>1757</v>
      </c>
    </row>
    <row r="1260" spans="1:13" x14ac:dyDescent="0.45">
      <c r="A1260" t="s">
        <v>4280</v>
      </c>
      <c r="B1260">
        <v>4</v>
      </c>
      <c r="C1260" t="s">
        <v>1774</v>
      </c>
      <c r="G1260" s="3">
        <v>505.41518447364268</v>
      </c>
      <c r="H1260" t="s">
        <v>1755</v>
      </c>
      <c r="I1260" t="s">
        <v>4280</v>
      </c>
      <c r="M1260" t="s">
        <v>1757</v>
      </c>
    </row>
    <row r="1261" spans="1:13" x14ac:dyDescent="0.45">
      <c r="A1261" t="s">
        <v>4281</v>
      </c>
      <c r="B1261">
        <v>1</v>
      </c>
      <c r="C1261" t="s">
        <v>1774</v>
      </c>
      <c r="G1261" s="3">
        <v>248.36351544201199</v>
      </c>
      <c r="H1261" t="s">
        <v>1755</v>
      </c>
      <c r="I1261" t="s">
        <v>4281</v>
      </c>
      <c r="M1261" t="s">
        <v>1757</v>
      </c>
    </row>
    <row r="1262" spans="1:13" x14ac:dyDescent="0.45">
      <c r="A1262" t="s">
        <v>4282</v>
      </c>
      <c r="B1262">
        <v>1</v>
      </c>
      <c r="C1262" t="s">
        <v>1774</v>
      </c>
      <c r="G1262" s="3">
        <v>516.41970065780561</v>
      </c>
      <c r="H1262" t="s">
        <v>1755</v>
      </c>
      <c r="I1262" t="s">
        <v>4282</v>
      </c>
      <c r="M1262" t="s">
        <v>1757</v>
      </c>
    </row>
    <row r="1263" spans="1:13" x14ac:dyDescent="0.45">
      <c r="A1263" t="s">
        <v>4283</v>
      </c>
      <c r="B1263">
        <v>1</v>
      </c>
      <c r="C1263" t="s">
        <v>1774</v>
      </c>
      <c r="G1263" s="3">
        <v>214.00359336230849</v>
      </c>
      <c r="H1263" t="s">
        <v>1755</v>
      </c>
      <c r="I1263" t="s">
        <v>4283</v>
      </c>
      <c r="M1263" t="s">
        <v>1757</v>
      </c>
    </row>
    <row r="1264" spans="1:13" x14ac:dyDescent="0.45">
      <c r="A1264" t="s">
        <v>4284</v>
      </c>
      <c r="B1264">
        <v>1</v>
      </c>
      <c r="C1264" t="s">
        <v>1774</v>
      </c>
      <c r="G1264" s="3">
        <v>894.646944077027</v>
      </c>
      <c r="H1264" t="s">
        <v>1755</v>
      </c>
      <c r="I1264" t="s">
        <v>4284</v>
      </c>
      <c r="M1264" t="s">
        <v>1757</v>
      </c>
    </row>
    <row r="1265" spans="1:13" x14ac:dyDescent="0.45">
      <c r="A1265" t="s">
        <v>4285</v>
      </c>
      <c r="B1265">
        <v>1</v>
      </c>
      <c r="C1265" t="s">
        <v>1774</v>
      </c>
      <c r="G1265" s="3">
        <v>582.10759512995764</v>
      </c>
      <c r="H1265" t="s">
        <v>1755</v>
      </c>
      <c r="I1265" t="s">
        <v>4285</v>
      </c>
      <c r="M1265" t="s">
        <v>1757</v>
      </c>
    </row>
    <row r="1266" spans="1:13" x14ac:dyDescent="0.45">
      <c r="A1266" t="s">
        <v>4286</v>
      </c>
      <c r="B1266">
        <v>2</v>
      </c>
      <c r="C1266" t="s">
        <v>1774</v>
      </c>
      <c r="G1266" s="3">
        <v>890.11010886298698</v>
      </c>
      <c r="H1266" t="s">
        <v>1755</v>
      </c>
      <c r="I1266" t="s">
        <v>4286</v>
      </c>
      <c r="M1266" t="s">
        <v>1757</v>
      </c>
    </row>
    <row r="1267" spans="1:13" x14ac:dyDescent="0.45">
      <c r="A1267" t="s">
        <v>4287</v>
      </c>
      <c r="B1267">
        <v>1</v>
      </c>
      <c r="C1267" t="s">
        <v>1774</v>
      </c>
      <c r="G1267" s="3">
        <v>293.72403982934583</v>
      </c>
      <c r="H1267" t="s">
        <v>1755</v>
      </c>
      <c r="I1267" t="s">
        <v>4287</v>
      </c>
      <c r="M1267" t="s">
        <v>1757</v>
      </c>
    </row>
    <row r="1268" spans="1:13" x14ac:dyDescent="0.45">
      <c r="A1268" t="s">
        <v>4288</v>
      </c>
      <c r="B1268">
        <v>1</v>
      </c>
      <c r="C1268" t="s">
        <v>1774</v>
      </c>
      <c r="G1268" s="3">
        <v>372.77390878379748</v>
      </c>
      <c r="H1268" t="s">
        <v>1755</v>
      </c>
      <c r="I1268" t="s">
        <v>4288</v>
      </c>
      <c r="M1268" t="s">
        <v>1757</v>
      </c>
    </row>
    <row r="1269" spans="1:13" x14ac:dyDescent="0.45">
      <c r="A1269" t="s">
        <v>4289</v>
      </c>
      <c r="B1269">
        <v>1</v>
      </c>
      <c r="C1269" t="s">
        <v>1774</v>
      </c>
      <c r="G1269" s="3">
        <v>1279.3516531577029</v>
      </c>
      <c r="H1269" t="s">
        <v>1755</v>
      </c>
      <c r="I1269" t="s">
        <v>4289</v>
      </c>
      <c r="M1269" t="s">
        <v>1757</v>
      </c>
    </row>
    <row r="1270" spans="1:13" x14ac:dyDescent="0.45">
      <c r="A1270" t="s">
        <v>4290</v>
      </c>
      <c r="B1270">
        <v>1</v>
      </c>
      <c r="C1270" t="s">
        <v>1774</v>
      </c>
      <c r="G1270" s="3">
        <v>1216.817690858072</v>
      </c>
      <c r="H1270" t="s">
        <v>1755</v>
      </c>
      <c r="I1270" t="s">
        <v>4290</v>
      </c>
      <c r="M1270" t="s">
        <v>1757</v>
      </c>
    </row>
    <row r="1271" spans="1:13" x14ac:dyDescent="0.45">
      <c r="A1271" t="s">
        <v>4291</v>
      </c>
      <c r="B1271">
        <v>1</v>
      </c>
      <c r="C1271" t="s">
        <v>1774</v>
      </c>
      <c r="G1271" s="3">
        <v>759.29530888835563</v>
      </c>
      <c r="H1271" t="s">
        <v>1755</v>
      </c>
      <c r="I1271" t="s">
        <v>4291</v>
      </c>
      <c r="M1271" t="s">
        <v>1757</v>
      </c>
    </row>
    <row r="1272" spans="1:13" x14ac:dyDescent="0.45">
      <c r="A1272" t="s">
        <v>4292</v>
      </c>
      <c r="B1272">
        <v>3</v>
      </c>
      <c r="C1272" t="s">
        <v>1774</v>
      </c>
      <c r="G1272" s="3">
        <v>143.74592188196709</v>
      </c>
      <c r="H1272" t="s">
        <v>1755</v>
      </c>
      <c r="I1272" t="s">
        <v>4292</v>
      </c>
      <c r="M1272" t="s">
        <v>1757</v>
      </c>
    </row>
    <row r="1273" spans="1:13" x14ac:dyDescent="0.45">
      <c r="A1273" t="s">
        <v>4293</v>
      </c>
      <c r="B1273">
        <v>1</v>
      </c>
      <c r="C1273" t="s">
        <v>1774</v>
      </c>
      <c r="G1273" s="3">
        <v>1086.237723475396</v>
      </c>
      <c r="H1273" t="s">
        <v>1755</v>
      </c>
      <c r="I1273" t="s">
        <v>4293</v>
      </c>
      <c r="M1273" t="s">
        <v>1757</v>
      </c>
    </row>
    <row r="1274" spans="1:13" x14ac:dyDescent="0.45">
      <c r="A1274" t="s">
        <v>4294</v>
      </c>
      <c r="B1274">
        <v>1</v>
      </c>
      <c r="C1274" t="s">
        <v>1774</v>
      </c>
      <c r="G1274" s="3">
        <v>4287.4234319999059</v>
      </c>
      <c r="H1274" t="s">
        <v>1755</v>
      </c>
      <c r="I1274" t="s">
        <v>4294</v>
      </c>
      <c r="M1274" t="s">
        <v>1757</v>
      </c>
    </row>
    <row r="1275" spans="1:13" x14ac:dyDescent="0.45">
      <c r="A1275" t="s">
        <v>4295</v>
      </c>
      <c r="B1275">
        <v>1</v>
      </c>
      <c r="C1275" t="s">
        <v>1774</v>
      </c>
      <c r="G1275" s="3">
        <v>360.49085959898491</v>
      </c>
      <c r="H1275" t="s">
        <v>1755</v>
      </c>
      <c r="I1275" t="s">
        <v>4295</v>
      </c>
      <c r="M1275" t="s">
        <v>1757</v>
      </c>
    </row>
    <row r="1276" spans="1:13" x14ac:dyDescent="0.45">
      <c r="A1276" t="s">
        <v>4296</v>
      </c>
      <c r="B1276">
        <v>1</v>
      </c>
      <c r="C1276" t="s">
        <v>1774</v>
      </c>
      <c r="G1276" s="3">
        <v>185.80672219594061</v>
      </c>
      <c r="H1276" t="s">
        <v>1755</v>
      </c>
      <c r="I1276" t="s">
        <v>4296</v>
      </c>
      <c r="M1276" t="s">
        <v>1757</v>
      </c>
    </row>
    <row r="1277" spans="1:13" x14ac:dyDescent="0.45">
      <c r="A1277" t="s">
        <v>4297</v>
      </c>
      <c r="B1277">
        <v>2</v>
      </c>
      <c r="C1277" t="s">
        <v>1774</v>
      </c>
      <c r="G1277" s="3">
        <v>366.88026303845589</v>
      </c>
      <c r="H1277" t="s">
        <v>1755</v>
      </c>
      <c r="I1277" t="s">
        <v>4297</v>
      </c>
      <c r="M1277" t="s">
        <v>1757</v>
      </c>
    </row>
    <row r="1278" spans="1:13" x14ac:dyDescent="0.45">
      <c r="A1278" t="s">
        <v>4298</v>
      </c>
      <c r="B1278">
        <v>1</v>
      </c>
      <c r="C1278" t="s">
        <v>1774</v>
      </c>
      <c r="G1278" s="3">
        <v>574.98433984062399</v>
      </c>
      <c r="H1278" t="s">
        <v>1755</v>
      </c>
      <c r="I1278" t="s">
        <v>4298</v>
      </c>
      <c r="M1278" t="s">
        <v>1757</v>
      </c>
    </row>
    <row r="1279" spans="1:13" x14ac:dyDescent="0.45">
      <c r="A1279" t="s">
        <v>4299</v>
      </c>
      <c r="B1279">
        <v>1</v>
      </c>
      <c r="C1279" t="s">
        <v>1774</v>
      </c>
      <c r="G1279" s="3">
        <v>482.27438947463969</v>
      </c>
      <c r="H1279" t="s">
        <v>1755</v>
      </c>
      <c r="I1279" t="s">
        <v>4299</v>
      </c>
      <c r="M1279" t="s">
        <v>1757</v>
      </c>
    </row>
    <row r="1280" spans="1:13" x14ac:dyDescent="0.45">
      <c r="A1280" t="s">
        <v>4300</v>
      </c>
      <c r="B1280">
        <v>1</v>
      </c>
      <c r="C1280" t="s">
        <v>1774</v>
      </c>
      <c r="G1280" s="3">
        <v>681.89840045617245</v>
      </c>
      <c r="H1280" t="s">
        <v>1755</v>
      </c>
      <c r="I1280" t="s">
        <v>4300</v>
      </c>
      <c r="M1280" t="s">
        <v>1757</v>
      </c>
    </row>
    <row r="1281" spans="1:13" x14ac:dyDescent="0.45">
      <c r="A1281" t="s">
        <v>4301</v>
      </c>
      <c r="B1281">
        <v>4</v>
      </c>
      <c r="C1281" t="s">
        <v>1774</v>
      </c>
      <c r="G1281" s="3">
        <v>514.28989951131518</v>
      </c>
      <c r="H1281" t="s">
        <v>1755</v>
      </c>
      <c r="I1281" t="s">
        <v>4301</v>
      </c>
      <c r="M1281" t="s">
        <v>1757</v>
      </c>
    </row>
    <row r="1282" spans="1:13" x14ac:dyDescent="0.45">
      <c r="A1282" t="s">
        <v>4302</v>
      </c>
      <c r="B1282">
        <v>1</v>
      </c>
      <c r="C1282" t="s">
        <v>1774</v>
      </c>
      <c r="G1282" s="3">
        <v>354.66244512918672</v>
      </c>
      <c r="H1282" t="s">
        <v>1755</v>
      </c>
      <c r="I1282" t="s">
        <v>4302</v>
      </c>
      <c r="M1282" t="s">
        <v>1757</v>
      </c>
    </row>
    <row r="1283" spans="1:13" x14ac:dyDescent="0.45">
      <c r="A1283" t="s">
        <v>4303</v>
      </c>
      <c r="B1283">
        <v>1</v>
      </c>
      <c r="C1283" t="s">
        <v>1774</v>
      </c>
      <c r="G1283" s="3">
        <v>253.3869759716053</v>
      </c>
      <c r="H1283" t="s">
        <v>1755</v>
      </c>
      <c r="I1283" t="s">
        <v>4303</v>
      </c>
      <c r="M1283" t="s">
        <v>1757</v>
      </c>
    </row>
    <row r="1284" spans="1:13" x14ac:dyDescent="0.45">
      <c r="A1284" t="s">
        <v>4304</v>
      </c>
      <c r="B1284">
        <v>1</v>
      </c>
      <c r="C1284" t="s">
        <v>1774</v>
      </c>
      <c r="G1284" s="3">
        <v>402.5258935591188</v>
      </c>
      <c r="H1284" t="s">
        <v>1755</v>
      </c>
      <c r="I1284" t="s">
        <v>4304</v>
      </c>
      <c r="M1284" t="s">
        <v>1757</v>
      </c>
    </row>
    <row r="1285" spans="1:13" x14ac:dyDescent="0.45">
      <c r="A1285" t="s">
        <v>4305</v>
      </c>
      <c r="B1285">
        <v>1</v>
      </c>
      <c r="C1285" t="s">
        <v>1774</v>
      </c>
      <c r="G1285" s="3">
        <v>385.90170298689628</v>
      </c>
      <c r="H1285" t="s">
        <v>1755</v>
      </c>
      <c r="I1285" t="s">
        <v>4305</v>
      </c>
      <c r="M1285" t="s">
        <v>1757</v>
      </c>
    </row>
    <row r="1286" spans="1:13" x14ac:dyDescent="0.45">
      <c r="A1286" t="s">
        <v>4306</v>
      </c>
      <c r="B1286">
        <v>1</v>
      </c>
      <c r="C1286" t="s">
        <v>1774</v>
      </c>
      <c r="G1286" s="3">
        <v>445.74813673414161</v>
      </c>
      <c r="H1286" t="s">
        <v>1755</v>
      </c>
      <c r="I1286" t="s">
        <v>4306</v>
      </c>
      <c r="M1286" t="s">
        <v>1757</v>
      </c>
    </row>
    <row r="1287" spans="1:13" x14ac:dyDescent="0.45">
      <c r="A1287" t="s">
        <v>4307</v>
      </c>
      <c r="B1287">
        <v>1</v>
      </c>
      <c r="C1287" t="s">
        <v>1774</v>
      </c>
      <c r="G1287" s="3">
        <v>364.11445695541789</v>
      </c>
      <c r="H1287" t="s">
        <v>1755</v>
      </c>
      <c r="I1287" t="s">
        <v>4307</v>
      </c>
      <c r="M1287" t="s">
        <v>1757</v>
      </c>
    </row>
    <row r="1288" spans="1:13" x14ac:dyDescent="0.45">
      <c r="A1288" t="s">
        <v>4308</v>
      </c>
      <c r="B1288">
        <v>1</v>
      </c>
      <c r="C1288" t="s">
        <v>1774</v>
      </c>
      <c r="G1288" s="3">
        <v>920.76554680458378</v>
      </c>
      <c r="H1288" t="s">
        <v>1755</v>
      </c>
      <c r="I1288" t="s">
        <v>4308</v>
      </c>
      <c r="M1288" t="s">
        <v>1757</v>
      </c>
    </row>
    <row r="1289" spans="1:13" x14ac:dyDescent="0.45">
      <c r="A1289" t="s">
        <v>4309</v>
      </c>
      <c r="B1289">
        <v>1</v>
      </c>
      <c r="C1289" t="s">
        <v>1774</v>
      </c>
      <c r="G1289" s="3">
        <v>760.71735069520059</v>
      </c>
      <c r="H1289" t="s">
        <v>1755</v>
      </c>
      <c r="I1289" t="s">
        <v>4309</v>
      </c>
      <c r="M1289" t="s">
        <v>1757</v>
      </c>
    </row>
    <row r="1290" spans="1:13" x14ac:dyDescent="0.45">
      <c r="A1290" t="s">
        <v>4310</v>
      </c>
      <c r="B1290">
        <v>1</v>
      </c>
      <c r="C1290" t="s">
        <v>1774</v>
      </c>
      <c r="G1290" s="3">
        <v>454.23146411855407</v>
      </c>
      <c r="H1290" t="s">
        <v>1755</v>
      </c>
      <c r="I1290" t="s">
        <v>4310</v>
      </c>
      <c r="M1290" t="s">
        <v>1757</v>
      </c>
    </row>
    <row r="1291" spans="1:13" x14ac:dyDescent="0.45">
      <c r="A1291" t="s">
        <v>4311</v>
      </c>
      <c r="B1291">
        <v>1</v>
      </c>
      <c r="C1291" t="s">
        <v>1774</v>
      </c>
      <c r="G1291" s="3">
        <v>522.25789981893524</v>
      </c>
      <c r="H1291" t="s">
        <v>1755</v>
      </c>
      <c r="I1291" t="s">
        <v>4311</v>
      </c>
      <c r="M1291" t="s">
        <v>1757</v>
      </c>
    </row>
    <row r="1292" spans="1:13" x14ac:dyDescent="0.45">
      <c r="A1292" t="s">
        <v>4312</v>
      </c>
      <c r="B1292">
        <v>2</v>
      </c>
      <c r="C1292" t="s">
        <v>1774</v>
      </c>
      <c r="G1292" s="3">
        <v>689.5924294065104</v>
      </c>
      <c r="H1292" t="s">
        <v>1755</v>
      </c>
      <c r="I1292" t="s">
        <v>4312</v>
      </c>
      <c r="M1292" t="s">
        <v>1757</v>
      </c>
    </row>
    <row r="1293" spans="1:13" x14ac:dyDescent="0.45">
      <c r="A1293" t="s">
        <v>4313</v>
      </c>
      <c r="B1293">
        <v>1</v>
      </c>
      <c r="C1293" t="s">
        <v>1774</v>
      </c>
      <c r="G1293" s="3">
        <v>401.83118047458208</v>
      </c>
      <c r="H1293" t="s">
        <v>1755</v>
      </c>
      <c r="I1293" t="s">
        <v>4313</v>
      </c>
      <c r="M1293" t="s">
        <v>1757</v>
      </c>
    </row>
    <row r="1294" spans="1:13" x14ac:dyDescent="0.45">
      <c r="A1294" t="s">
        <v>4314</v>
      </c>
      <c r="B1294">
        <v>1</v>
      </c>
      <c r="C1294" t="s">
        <v>1774</v>
      </c>
      <c r="G1294" s="3">
        <v>1121.9453237078251</v>
      </c>
      <c r="H1294" t="s">
        <v>1755</v>
      </c>
      <c r="I1294" t="s">
        <v>4314</v>
      </c>
      <c r="M1294" t="s">
        <v>1757</v>
      </c>
    </row>
    <row r="1295" spans="1:13" x14ac:dyDescent="0.45">
      <c r="A1295" t="s">
        <v>4315</v>
      </c>
      <c r="B1295">
        <v>1</v>
      </c>
      <c r="C1295" t="s">
        <v>1774</v>
      </c>
      <c r="G1295" s="3">
        <v>1212.724428317727</v>
      </c>
      <c r="H1295" t="s">
        <v>1755</v>
      </c>
      <c r="I1295" t="s">
        <v>4315</v>
      </c>
      <c r="M1295" t="s">
        <v>1757</v>
      </c>
    </row>
    <row r="1296" spans="1:13" x14ac:dyDescent="0.45">
      <c r="A1296" t="s">
        <v>4316</v>
      </c>
      <c r="B1296">
        <v>1</v>
      </c>
      <c r="C1296" t="s">
        <v>1774</v>
      </c>
      <c r="G1296" s="3">
        <v>1819.9297567129879</v>
      </c>
      <c r="H1296" t="s">
        <v>1755</v>
      </c>
      <c r="I1296" t="s">
        <v>4316</v>
      </c>
      <c r="M1296" t="s">
        <v>1757</v>
      </c>
    </row>
    <row r="1297" spans="1:13" x14ac:dyDescent="0.45">
      <c r="A1297" t="s">
        <v>4317</v>
      </c>
      <c r="B1297">
        <v>1</v>
      </c>
      <c r="C1297" t="s">
        <v>1774</v>
      </c>
      <c r="G1297" s="3">
        <v>780.45633467461789</v>
      </c>
      <c r="H1297" t="s">
        <v>1755</v>
      </c>
      <c r="I1297" t="s">
        <v>4317</v>
      </c>
      <c r="M1297" t="s">
        <v>1757</v>
      </c>
    </row>
    <row r="1298" spans="1:13" x14ac:dyDescent="0.45">
      <c r="A1298" t="s">
        <v>4318</v>
      </c>
      <c r="B1298">
        <v>1</v>
      </c>
      <c r="C1298" t="s">
        <v>1774</v>
      </c>
      <c r="G1298" s="3">
        <v>1375.1927047497679</v>
      </c>
      <c r="H1298" t="s">
        <v>1755</v>
      </c>
      <c r="I1298" t="s">
        <v>4318</v>
      </c>
      <c r="M1298" t="s">
        <v>1757</v>
      </c>
    </row>
    <row r="1299" spans="1:13" x14ac:dyDescent="0.45">
      <c r="A1299" t="s">
        <v>4319</v>
      </c>
      <c r="B1299">
        <v>1</v>
      </c>
      <c r="C1299" t="s">
        <v>1774</v>
      </c>
      <c r="G1299" s="3">
        <v>511.90569639020578</v>
      </c>
      <c r="H1299" t="s">
        <v>1755</v>
      </c>
      <c r="I1299" t="s">
        <v>4319</v>
      </c>
      <c r="M1299" t="s">
        <v>1757</v>
      </c>
    </row>
    <row r="1300" spans="1:13" x14ac:dyDescent="0.45">
      <c r="A1300" t="s">
        <v>4320</v>
      </c>
      <c r="B1300">
        <v>1</v>
      </c>
      <c r="C1300" t="s">
        <v>1774</v>
      </c>
      <c r="G1300" s="3">
        <v>1175.337122740056</v>
      </c>
      <c r="H1300" t="s">
        <v>1755</v>
      </c>
      <c r="I1300" t="s">
        <v>4320</v>
      </c>
      <c r="M1300" t="s">
        <v>1757</v>
      </c>
    </row>
    <row r="1301" spans="1:13" x14ac:dyDescent="0.45">
      <c r="A1301" t="s">
        <v>4321</v>
      </c>
      <c r="B1301">
        <v>1</v>
      </c>
      <c r="C1301" t="s">
        <v>1774</v>
      </c>
      <c r="G1301" s="3">
        <v>1137.131164654317</v>
      </c>
      <c r="H1301" t="s">
        <v>1755</v>
      </c>
      <c r="I1301" t="s">
        <v>4321</v>
      </c>
      <c r="M1301" t="s">
        <v>1757</v>
      </c>
    </row>
    <row r="1302" spans="1:13" x14ac:dyDescent="0.45">
      <c r="A1302" t="s">
        <v>4322</v>
      </c>
      <c r="B1302">
        <v>1</v>
      </c>
      <c r="C1302" t="s">
        <v>1774</v>
      </c>
      <c r="G1302" s="3">
        <v>2407.477640223261</v>
      </c>
      <c r="H1302" t="s">
        <v>1755</v>
      </c>
      <c r="I1302" t="s">
        <v>4322</v>
      </c>
      <c r="M1302" t="s">
        <v>1757</v>
      </c>
    </row>
    <row r="1303" spans="1:13" x14ac:dyDescent="0.45">
      <c r="A1303" t="s">
        <v>4323</v>
      </c>
      <c r="B1303">
        <v>1</v>
      </c>
      <c r="C1303" t="s">
        <v>1774</v>
      </c>
      <c r="G1303" s="3">
        <v>1374.4490682085741</v>
      </c>
      <c r="H1303" t="s">
        <v>1755</v>
      </c>
      <c r="I1303" t="s">
        <v>4323</v>
      </c>
      <c r="M1303" t="s">
        <v>1757</v>
      </c>
    </row>
    <row r="1304" spans="1:13" x14ac:dyDescent="0.45">
      <c r="A1304" t="s">
        <v>4324</v>
      </c>
      <c r="B1304">
        <v>1</v>
      </c>
      <c r="C1304" t="s">
        <v>1774</v>
      </c>
      <c r="G1304" s="3">
        <v>679.56964391927488</v>
      </c>
      <c r="H1304" t="s">
        <v>1755</v>
      </c>
      <c r="I1304" t="s">
        <v>4324</v>
      </c>
      <c r="M1304" t="s">
        <v>1757</v>
      </c>
    </row>
    <row r="1305" spans="1:13" x14ac:dyDescent="0.45">
      <c r="A1305" t="s">
        <v>4325</v>
      </c>
      <c r="B1305">
        <v>2</v>
      </c>
      <c r="C1305" t="s">
        <v>1774</v>
      </c>
      <c r="G1305" s="3">
        <v>541.97079128813527</v>
      </c>
      <c r="H1305" t="s">
        <v>1755</v>
      </c>
      <c r="I1305" t="s">
        <v>4325</v>
      </c>
      <c r="M1305" t="s">
        <v>1757</v>
      </c>
    </row>
    <row r="1306" spans="1:13" x14ac:dyDescent="0.45">
      <c r="A1306" t="s">
        <v>4326</v>
      </c>
      <c r="B1306">
        <v>1</v>
      </c>
      <c r="C1306" t="s">
        <v>1774</v>
      </c>
      <c r="G1306" s="3">
        <v>245.1688137222765</v>
      </c>
      <c r="H1306" t="s">
        <v>1755</v>
      </c>
      <c r="I1306" t="s">
        <v>4326</v>
      </c>
      <c r="M1306" t="s">
        <v>1757</v>
      </c>
    </row>
    <row r="1307" spans="1:13" x14ac:dyDescent="0.45">
      <c r="A1307" t="s">
        <v>4327</v>
      </c>
      <c r="B1307">
        <v>1</v>
      </c>
      <c r="C1307" t="s">
        <v>1774</v>
      </c>
      <c r="G1307" s="3">
        <v>529.70404992220847</v>
      </c>
      <c r="H1307" t="s">
        <v>1755</v>
      </c>
      <c r="I1307" t="s">
        <v>4327</v>
      </c>
      <c r="M1307" t="s">
        <v>1757</v>
      </c>
    </row>
    <row r="1308" spans="1:13" x14ac:dyDescent="0.45">
      <c r="A1308" t="s">
        <v>4328</v>
      </c>
      <c r="B1308">
        <v>1</v>
      </c>
      <c r="C1308" t="s">
        <v>1774</v>
      </c>
      <c r="G1308" s="3">
        <v>344.35590359333759</v>
      </c>
      <c r="H1308" t="s">
        <v>1755</v>
      </c>
      <c r="I1308" t="s">
        <v>4328</v>
      </c>
      <c r="M1308" t="s">
        <v>1757</v>
      </c>
    </row>
    <row r="1309" spans="1:13" x14ac:dyDescent="0.45">
      <c r="A1309" t="s">
        <v>4329</v>
      </c>
      <c r="B1309">
        <v>1</v>
      </c>
      <c r="C1309" t="s">
        <v>1774</v>
      </c>
      <c r="G1309" s="3">
        <v>1044.796294122707</v>
      </c>
      <c r="H1309" t="s">
        <v>1755</v>
      </c>
      <c r="I1309" t="s">
        <v>4329</v>
      </c>
      <c r="M1309" t="s">
        <v>1757</v>
      </c>
    </row>
    <row r="1310" spans="1:13" x14ac:dyDescent="0.45">
      <c r="A1310" t="s">
        <v>4330</v>
      </c>
      <c r="B1310">
        <v>2</v>
      </c>
      <c r="C1310" t="s">
        <v>1774</v>
      </c>
      <c r="G1310" s="3">
        <v>658.36621780390942</v>
      </c>
      <c r="H1310" t="s">
        <v>1755</v>
      </c>
      <c r="I1310" t="s">
        <v>4330</v>
      </c>
      <c r="M1310" t="s">
        <v>1757</v>
      </c>
    </row>
    <row r="1311" spans="1:13" x14ac:dyDescent="0.45">
      <c r="A1311" t="s">
        <v>4331</v>
      </c>
      <c r="B1311">
        <v>1</v>
      </c>
      <c r="C1311" t="s">
        <v>1774</v>
      </c>
      <c r="G1311" s="3">
        <v>1479.337697718501</v>
      </c>
      <c r="H1311" t="s">
        <v>1755</v>
      </c>
      <c r="I1311" t="s">
        <v>4331</v>
      </c>
      <c r="M1311" t="s">
        <v>1757</v>
      </c>
    </row>
    <row r="1312" spans="1:13" x14ac:dyDescent="0.45">
      <c r="A1312" t="s">
        <v>4332</v>
      </c>
      <c r="B1312">
        <v>2</v>
      </c>
      <c r="C1312" t="s">
        <v>1774</v>
      </c>
      <c r="G1312" s="3">
        <v>823.85796385738502</v>
      </c>
      <c r="H1312" t="s">
        <v>1755</v>
      </c>
      <c r="I1312" t="s">
        <v>4332</v>
      </c>
      <c r="M1312" t="s">
        <v>1757</v>
      </c>
    </row>
    <row r="1313" spans="1:13" x14ac:dyDescent="0.45">
      <c r="A1313" t="s">
        <v>4333</v>
      </c>
      <c r="B1313">
        <v>2</v>
      </c>
      <c r="C1313" t="s">
        <v>1774</v>
      </c>
      <c r="G1313" s="3">
        <v>1596.104942504872</v>
      </c>
      <c r="H1313" t="s">
        <v>1755</v>
      </c>
      <c r="I1313" t="s">
        <v>4333</v>
      </c>
      <c r="M1313" t="s">
        <v>1757</v>
      </c>
    </row>
    <row r="1314" spans="1:13" x14ac:dyDescent="0.45">
      <c r="A1314" t="s">
        <v>4334</v>
      </c>
      <c r="B1314">
        <v>1</v>
      </c>
      <c r="C1314" t="s">
        <v>1774</v>
      </c>
      <c r="G1314" s="3">
        <v>2265.9192491666399</v>
      </c>
      <c r="H1314" t="s">
        <v>1755</v>
      </c>
      <c r="I1314" t="s">
        <v>4334</v>
      </c>
      <c r="M1314" t="s">
        <v>1757</v>
      </c>
    </row>
    <row r="1315" spans="1:13" x14ac:dyDescent="0.45">
      <c r="A1315" t="s">
        <v>4335</v>
      </c>
      <c r="B1315">
        <v>3</v>
      </c>
      <c r="C1315" t="s">
        <v>1774</v>
      </c>
      <c r="G1315" s="3">
        <v>574.2015645341038</v>
      </c>
      <c r="H1315" t="s">
        <v>1755</v>
      </c>
      <c r="I1315" t="s">
        <v>4335</v>
      </c>
      <c r="M1315" t="s">
        <v>1757</v>
      </c>
    </row>
    <row r="1316" spans="1:13" x14ac:dyDescent="0.45">
      <c r="A1316" t="s">
        <v>4336</v>
      </c>
      <c r="B1316">
        <v>1</v>
      </c>
      <c r="C1316" t="s">
        <v>1774</v>
      </c>
      <c r="G1316" s="3">
        <v>875.77879762611326</v>
      </c>
      <c r="H1316" t="s">
        <v>1755</v>
      </c>
      <c r="I1316" t="s">
        <v>4336</v>
      </c>
      <c r="M1316" t="s">
        <v>1757</v>
      </c>
    </row>
    <row r="1317" spans="1:13" x14ac:dyDescent="0.45">
      <c r="A1317" t="s">
        <v>4337</v>
      </c>
      <c r="B1317">
        <v>1</v>
      </c>
      <c r="C1317" t="s">
        <v>1774</v>
      </c>
      <c r="G1317" s="3">
        <v>299.15715276935128</v>
      </c>
      <c r="H1317" t="s">
        <v>1755</v>
      </c>
      <c r="I1317" t="s">
        <v>4337</v>
      </c>
      <c r="M1317" t="s">
        <v>1757</v>
      </c>
    </row>
    <row r="1318" spans="1:13" x14ac:dyDescent="0.45">
      <c r="A1318" t="s">
        <v>4338</v>
      </c>
      <c r="B1318">
        <v>1</v>
      </c>
      <c r="C1318" t="s">
        <v>1774</v>
      </c>
      <c r="G1318" s="3">
        <v>1632.402885780969</v>
      </c>
      <c r="H1318" t="s">
        <v>1755</v>
      </c>
      <c r="I1318" t="s">
        <v>4338</v>
      </c>
      <c r="M1318" t="s">
        <v>1757</v>
      </c>
    </row>
    <row r="1319" spans="1:13" x14ac:dyDescent="0.45">
      <c r="A1319" t="s">
        <v>4339</v>
      </c>
      <c r="B1319">
        <v>1</v>
      </c>
      <c r="C1319" t="s">
        <v>1774</v>
      </c>
      <c r="G1319" s="3">
        <v>1159.6163853341091</v>
      </c>
      <c r="H1319" t="s">
        <v>1755</v>
      </c>
      <c r="I1319" t="s">
        <v>4339</v>
      </c>
      <c r="M1319" t="s">
        <v>1757</v>
      </c>
    </row>
    <row r="1320" spans="1:13" x14ac:dyDescent="0.45">
      <c r="A1320" t="s">
        <v>4340</v>
      </c>
      <c r="B1320">
        <v>1</v>
      </c>
      <c r="C1320" t="s">
        <v>1774</v>
      </c>
      <c r="G1320" s="3">
        <v>1688.469167110477</v>
      </c>
      <c r="H1320" t="s">
        <v>1755</v>
      </c>
      <c r="I1320" t="s">
        <v>4340</v>
      </c>
      <c r="M1320" t="s">
        <v>1757</v>
      </c>
    </row>
    <row r="1321" spans="1:13" x14ac:dyDescent="0.45">
      <c r="A1321" t="s">
        <v>4341</v>
      </c>
      <c r="B1321">
        <v>1</v>
      </c>
      <c r="C1321" t="s">
        <v>1774</v>
      </c>
      <c r="G1321" s="3">
        <v>1566.551913119958</v>
      </c>
      <c r="H1321" t="s">
        <v>1755</v>
      </c>
      <c r="I1321" t="s">
        <v>4341</v>
      </c>
      <c r="M1321" t="s">
        <v>1757</v>
      </c>
    </row>
    <row r="1322" spans="1:13" x14ac:dyDescent="0.45">
      <c r="A1322" t="s">
        <v>4342</v>
      </c>
      <c r="B1322">
        <v>2</v>
      </c>
      <c r="C1322" t="s">
        <v>1774</v>
      </c>
      <c r="G1322" s="3">
        <v>357.95336298034857</v>
      </c>
      <c r="H1322" t="s">
        <v>1755</v>
      </c>
      <c r="I1322" t="s">
        <v>4342</v>
      </c>
      <c r="M1322" t="s">
        <v>1757</v>
      </c>
    </row>
    <row r="1323" spans="1:13" x14ac:dyDescent="0.45">
      <c r="A1323" t="s">
        <v>4343</v>
      </c>
      <c r="B1323">
        <v>1</v>
      </c>
      <c r="C1323" t="s">
        <v>1774</v>
      </c>
      <c r="G1323" s="3">
        <v>610.63649348884121</v>
      </c>
      <c r="H1323" t="s">
        <v>1755</v>
      </c>
      <c r="I1323" t="s">
        <v>4343</v>
      </c>
      <c r="M1323" t="s">
        <v>1757</v>
      </c>
    </row>
    <row r="1324" spans="1:13" x14ac:dyDescent="0.45">
      <c r="A1324" t="s">
        <v>4344</v>
      </c>
      <c r="B1324">
        <v>1</v>
      </c>
      <c r="C1324" t="s">
        <v>1774</v>
      </c>
      <c r="G1324" s="3">
        <v>606.47799967295271</v>
      </c>
      <c r="H1324" t="s">
        <v>1755</v>
      </c>
      <c r="I1324" t="s">
        <v>4344</v>
      </c>
      <c r="M1324" t="s">
        <v>1757</v>
      </c>
    </row>
    <row r="1325" spans="1:13" x14ac:dyDescent="0.45">
      <c r="A1325" t="s">
        <v>4345</v>
      </c>
      <c r="B1325">
        <v>1</v>
      </c>
      <c r="C1325" t="s">
        <v>1774</v>
      </c>
      <c r="G1325" s="3">
        <v>577.18263382643488</v>
      </c>
      <c r="H1325" t="s">
        <v>1755</v>
      </c>
      <c r="I1325" t="s">
        <v>4345</v>
      </c>
      <c r="M1325" t="s">
        <v>1757</v>
      </c>
    </row>
    <row r="1326" spans="1:13" x14ac:dyDescent="0.45">
      <c r="A1326" t="s">
        <v>4346</v>
      </c>
      <c r="B1326">
        <v>3</v>
      </c>
      <c r="C1326" t="s">
        <v>1774</v>
      </c>
      <c r="G1326" s="3">
        <v>673.86516887300911</v>
      </c>
      <c r="H1326" t="s">
        <v>1755</v>
      </c>
      <c r="I1326" t="s">
        <v>4346</v>
      </c>
      <c r="M1326" t="s">
        <v>1757</v>
      </c>
    </row>
    <row r="1327" spans="1:13" x14ac:dyDescent="0.45">
      <c r="A1327" t="s">
        <v>4347</v>
      </c>
      <c r="B1327">
        <v>1</v>
      </c>
      <c r="C1327" t="s">
        <v>1774</v>
      </c>
      <c r="G1327" s="3">
        <v>605.18315885341724</v>
      </c>
      <c r="H1327" t="s">
        <v>1755</v>
      </c>
      <c r="I1327" t="s">
        <v>4347</v>
      </c>
      <c r="M1327" t="s">
        <v>1757</v>
      </c>
    </row>
    <row r="1328" spans="1:13" x14ac:dyDescent="0.45">
      <c r="A1328" t="s">
        <v>4348</v>
      </c>
      <c r="B1328">
        <v>3</v>
      </c>
      <c r="C1328" t="s">
        <v>1774</v>
      </c>
      <c r="G1328" s="3">
        <v>586.89557075483947</v>
      </c>
      <c r="H1328" t="s">
        <v>1755</v>
      </c>
      <c r="I1328" t="s">
        <v>4348</v>
      </c>
      <c r="M1328" t="s">
        <v>1757</v>
      </c>
    </row>
    <row r="1329" spans="1:13" x14ac:dyDescent="0.45">
      <c r="A1329" t="s">
        <v>4349</v>
      </c>
      <c r="B1329">
        <v>1</v>
      </c>
      <c r="C1329" t="s">
        <v>1774</v>
      </c>
      <c r="G1329" s="3">
        <v>470.3240197950982</v>
      </c>
      <c r="H1329" t="s">
        <v>1755</v>
      </c>
      <c r="I1329" t="s">
        <v>4349</v>
      </c>
      <c r="M1329" t="s">
        <v>1757</v>
      </c>
    </row>
    <row r="1330" spans="1:13" x14ac:dyDescent="0.45">
      <c r="A1330" t="s">
        <v>4350</v>
      </c>
      <c r="B1330">
        <v>1</v>
      </c>
      <c r="C1330" t="s">
        <v>1774</v>
      </c>
      <c r="G1330" s="3">
        <v>1444.262840858843</v>
      </c>
      <c r="H1330" t="s">
        <v>1755</v>
      </c>
      <c r="I1330" t="s">
        <v>4350</v>
      </c>
      <c r="M1330" t="s">
        <v>1757</v>
      </c>
    </row>
    <row r="1331" spans="1:13" x14ac:dyDescent="0.45">
      <c r="A1331" t="s">
        <v>4351</v>
      </c>
      <c r="B1331">
        <v>1</v>
      </c>
      <c r="C1331" t="s">
        <v>1774</v>
      </c>
      <c r="G1331" s="3">
        <v>1512.9742049524291</v>
      </c>
      <c r="H1331" t="s">
        <v>1755</v>
      </c>
      <c r="I1331" t="s">
        <v>4351</v>
      </c>
      <c r="M1331" t="s">
        <v>1757</v>
      </c>
    </row>
    <row r="1332" spans="1:13" x14ac:dyDescent="0.45">
      <c r="A1332" t="s">
        <v>4352</v>
      </c>
      <c r="B1332">
        <v>1</v>
      </c>
      <c r="C1332" t="s">
        <v>1774</v>
      </c>
      <c r="G1332" s="3">
        <v>748.7474116329962</v>
      </c>
      <c r="H1332" t="s">
        <v>1755</v>
      </c>
      <c r="I1332" t="s">
        <v>4352</v>
      </c>
      <c r="M1332" t="s">
        <v>1757</v>
      </c>
    </row>
    <row r="1333" spans="1:13" x14ac:dyDescent="0.45">
      <c r="A1333" t="s">
        <v>4353</v>
      </c>
      <c r="B1333">
        <v>2</v>
      </c>
      <c r="C1333" t="s">
        <v>1774</v>
      </c>
      <c r="G1333" s="3">
        <v>1172.333222501285</v>
      </c>
      <c r="H1333" t="s">
        <v>1755</v>
      </c>
      <c r="I1333" t="s">
        <v>4353</v>
      </c>
      <c r="M1333" t="s">
        <v>1757</v>
      </c>
    </row>
    <row r="1334" spans="1:13" x14ac:dyDescent="0.45">
      <c r="A1334" t="s">
        <v>4354</v>
      </c>
      <c r="B1334">
        <v>1</v>
      </c>
      <c r="C1334" t="s">
        <v>1774</v>
      </c>
      <c r="G1334" s="3">
        <v>2270.3745452862499</v>
      </c>
      <c r="H1334" t="s">
        <v>1755</v>
      </c>
      <c r="I1334" t="s">
        <v>4354</v>
      </c>
      <c r="M1334" t="s">
        <v>1757</v>
      </c>
    </row>
    <row r="1335" spans="1:13" x14ac:dyDescent="0.45">
      <c r="A1335" t="s">
        <v>4355</v>
      </c>
      <c r="B1335">
        <v>1</v>
      </c>
      <c r="C1335" t="s">
        <v>1774</v>
      </c>
      <c r="G1335" s="3">
        <v>527.1013220280289</v>
      </c>
      <c r="H1335" t="s">
        <v>1755</v>
      </c>
      <c r="I1335" t="s">
        <v>4355</v>
      </c>
      <c r="M1335" t="s">
        <v>1757</v>
      </c>
    </row>
    <row r="1336" spans="1:13" x14ac:dyDescent="0.45">
      <c r="A1336" t="s">
        <v>4356</v>
      </c>
      <c r="B1336">
        <v>1</v>
      </c>
      <c r="C1336" t="s">
        <v>1774</v>
      </c>
      <c r="G1336" s="3">
        <v>636.49090955044744</v>
      </c>
      <c r="H1336" t="s">
        <v>1755</v>
      </c>
      <c r="I1336" t="s">
        <v>4356</v>
      </c>
      <c r="M1336" t="s">
        <v>1757</v>
      </c>
    </row>
    <row r="1337" spans="1:13" x14ac:dyDescent="0.45">
      <c r="A1337" t="s">
        <v>4357</v>
      </c>
      <c r="B1337">
        <v>1</v>
      </c>
      <c r="C1337" t="s">
        <v>1774</v>
      </c>
      <c r="G1337" s="3">
        <v>2243.867816469211</v>
      </c>
      <c r="H1337" t="s">
        <v>1755</v>
      </c>
      <c r="I1337" t="s">
        <v>4357</v>
      </c>
      <c r="M1337" t="s">
        <v>1757</v>
      </c>
    </row>
    <row r="1338" spans="1:13" x14ac:dyDescent="0.45">
      <c r="A1338" t="s">
        <v>4358</v>
      </c>
      <c r="B1338">
        <v>1</v>
      </c>
      <c r="C1338" t="s">
        <v>1774</v>
      </c>
      <c r="G1338" s="3">
        <v>594.27975114634648</v>
      </c>
      <c r="H1338" t="s">
        <v>1755</v>
      </c>
      <c r="I1338" t="s">
        <v>4358</v>
      </c>
      <c r="M1338" t="s">
        <v>1757</v>
      </c>
    </row>
    <row r="1339" spans="1:13" x14ac:dyDescent="0.45">
      <c r="A1339" t="s">
        <v>4359</v>
      </c>
      <c r="B1339">
        <v>2</v>
      </c>
      <c r="C1339" t="s">
        <v>1774</v>
      </c>
      <c r="G1339" s="3">
        <v>628.47072422239273</v>
      </c>
      <c r="H1339" t="s">
        <v>1755</v>
      </c>
      <c r="I1339" t="s">
        <v>4359</v>
      </c>
      <c r="M1339" t="s">
        <v>1757</v>
      </c>
    </row>
    <row r="1340" spans="1:13" x14ac:dyDescent="0.45">
      <c r="A1340" t="s">
        <v>4360</v>
      </c>
      <c r="B1340">
        <v>1</v>
      </c>
      <c r="C1340" t="s">
        <v>1774</v>
      </c>
      <c r="G1340" s="3">
        <v>813.11763433917258</v>
      </c>
      <c r="H1340" t="s">
        <v>1755</v>
      </c>
      <c r="I1340" t="s">
        <v>4360</v>
      </c>
      <c r="M1340" t="s">
        <v>1757</v>
      </c>
    </row>
    <row r="1341" spans="1:13" x14ac:dyDescent="0.45">
      <c r="A1341" t="s">
        <v>4361</v>
      </c>
      <c r="B1341">
        <v>3</v>
      </c>
      <c r="C1341" t="s">
        <v>1774</v>
      </c>
      <c r="G1341" s="3">
        <v>475.21310389707219</v>
      </c>
      <c r="H1341" t="s">
        <v>1755</v>
      </c>
      <c r="I1341" t="s">
        <v>4361</v>
      </c>
      <c r="M1341" t="s">
        <v>1757</v>
      </c>
    </row>
    <row r="1342" spans="1:13" x14ac:dyDescent="0.45">
      <c r="A1342" t="s">
        <v>4362</v>
      </c>
      <c r="B1342">
        <v>1</v>
      </c>
      <c r="C1342" t="s">
        <v>1774</v>
      </c>
      <c r="G1342" s="3">
        <v>908.05849432873936</v>
      </c>
      <c r="H1342" t="s">
        <v>1755</v>
      </c>
      <c r="I1342" t="s">
        <v>4362</v>
      </c>
      <c r="M1342" t="s">
        <v>1757</v>
      </c>
    </row>
    <row r="1343" spans="1:13" x14ac:dyDescent="0.45">
      <c r="A1343" t="s">
        <v>4363</v>
      </c>
      <c r="B1343">
        <v>1</v>
      </c>
      <c r="C1343" t="s">
        <v>1774</v>
      </c>
      <c r="G1343" s="3">
        <v>664.66755902139698</v>
      </c>
      <c r="H1343" t="s">
        <v>1755</v>
      </c>
      <c r="I1343" t="s">
        <v>4363</v>
      </c>
      <c r="M1343" t="s">
        <v>1757</v>
      </c>
    </row>
    <row r="1344" spans="1:13" x14ac:dyDescent="0.45">
      <c r="A1344" t="s">
        <v>4364</v>
      </c>
      <c r="B1344">
        <v>5</v>
      </c>
      <c r="C1344" t="s">
        <v>1774</v>
      </c>
      <c r="G1344" s="3">
        <v>269.60184028979319</v>
      </c>
      <c r="H1344" t="s">
        <v>1755</v>
      </c>
      <c r="I1344" t="s">
        <v>4364</v>
      </c>
      <c r="M1344" t="s">
        <v>1757</v>
      </c>
    </row>
    <row r="1345" spans="1:13" x14ac:dyDescent="0.45">
      <c r="A1345" t="s">
        <v>4365</v>
      </c>
      <c r="B1345">
        <v>1</v>
      </c>
      <c r="C1345" t="s">
        <v>1774</v>
      </c>
      <c r="G1345" s="3">
        <v>1372.5280071438219</v>
      </c>
      <c r="H1345" t="s">
        <v>1755</v>
      </c>
      <c r="I1345" t="s">
        <v>4365</v>
      </c>
      <c r="M1345" t="s">
        <v>1757</v>
      </c>
    </row>
    <row r="1346" spans="1:13" x14ac:dyDescent="0.45">
      <c r="A1346" t="s">
        <v>4366</v>
      </c>
      <c r="B1346">
        <v>1</v>
      </c>
      <c r="C1346" t="s">
        <v>1774</v>
      </c>
      <c r="G1346" s="3">
        <v>1398.5096241927381</v>
      </c>
      <c r="H1346" t="s">
        <v>1755</v>
      </c>
      <c r="I1346" t="s">
        <v>4366</v>
      </c>
      <c r="M1346" t="s">
        <v>1757</v>
      </c>
    </row>
    <row r="1347" spans="1:13" x14ac:dyDescent="0.45">
      <c r="A1347" t="s">
        <v>4367</v>
      </c>
      <c r="B1347">
        <v>1</v>
      </c>
      <c r="C1347" t="s">
        <v>1774</v>
      </c>
      <c r="G1347" s="3">
        <v>868.6131420076764</v>
      </c>
      <c r="H1347" t="s">
        <v>1755</v>
      </c>
      <c r="I1347" t="s">
        <v>4367</v>
      </c>
      <c r="M1347" t="s">
        <v>1757</v>
      </c>
    </row>
    <row r="1348" spans="1:13" x14ac:dyDescent="0.45">
      <c r="A1348" t="s">
        <v>4368</v>
      </c>
      <c r="B1348">
        <v>1</v>
      </c>
      <c r="C1348" t="s">
        <v>1774</v>
      </c>
      <c r="G1348" s="3">
        <v>947.4679694482536</v>
      </c>
      <c r="H1348" t="s">
        <v>1755</v>
      </c>
      <c r="I1348" t="s">
        <v>4368</v>
      </c>
      <c r="M1348" t="s">
        <v>1757</v>
      </c>
    </row>
    <row r="1349" spans="1:13" x14ac:dyDescent="0.45">
      <c r="A1349" t="s">
        <v>4369</v>
      </c>
      <c r="B1349">
        <v>2</v>
      </c>
      <c r="C1349" t="s">
        <v>1774</v>
      </c>
      <c r="G1349" s="3">
        <v>845.42342355201617</v>
      </c>
      <c r="H1349" t="s">
        <v>1755</v>
      </c>
      <c r="I1349" t="s">
        <v>4369</v>
      </c>
      <c r="M1349" t="s">
        <v>1757</v>
      </c>
    </row>
    <row r="1350" spans="1:13" x14ac:dyDescent="0.45">
      <c r="A1350" t="s">
        <v>4370</v>
      </c>
      <c r="B1350">
        <v>1</v>
      </c>
      <c r="C1350" t="s">
        <v>1774</v>
      </c>
      <c r="G1350" s="3">
        <v>1002.833014565671</v>
      </c>
      <c r="H1350" t="s">
        <v>1755</v>
      </c>
      <c r="I1350" t="s">
        <v>4370</v>
      </c>
      <c r="M1350" t="s">
        <v>1757</v>
      </c>
    </row>
    <row r="1351" spans="1:13" x14ac:dyDescent="0.45">
      <c r="A1351" t="s">
        <v>4371</v>
      </c>
      <c r="B1351">
        <v>1</v>
      </c>
      <c r="C1351" t="s">
        <v>1774</v>
      </c>
      <c r="G1351" s="3">
        <v>1487.6709931691639</v>
      </c>
      <c r="H1351" t="s">
        <v>1755</v>
      </c>
      <c r="I1351" t="s">
        <v>4371</v>
      </c>
      <c r="M1351" t="s">
        <v>1757</v>
      </c>
    </row>
    <row r="1352" spans="1:13" x14ac:dyDescent="0.45">
      <c r="A1352" t="s">
        <v>4372</v>
      </c>
      <c r="B1352">
        <v>1</v>
      </c>
      <c r="C1352" t="s">
        <v>1774</v>
      </c>
      <c r="G1352" s="3">
        <v>1656.678704974426</v>
      </c>
      <c r="H1352" t="s">
        <v>1755</v>
      </c>
      <c r="I1352" t="s">
        <v>4372</v>
      </c>
      <c r="M1352" t="s">
        <v>1757</v>
      </c>
    </row>
    <row r="1353" spans="1:13" x14ac:dyDescent="0.45">
      <c r="A1353" t="s">
        <v>4373</v>
      </c>
      <c r="B1353">
        <v>1</v>
      </c>
      <c r="C1353" t="s">
        <v>1774</v>
      </c>
      <c r="G1353" s="3">
        <v>1327.4075338504881</v>
      </c>
      <c r="H1353" t="s">
        <v>1755</v>
      </c>
      <c r="I1353" t="s">
        <v>4373</v>
      </c>
      <c r="M1353" t="s">
        <v>1757</v>
      </c>
    </row>
    <row r="1354" spans="1:13" x14ac:dyDescent="0.45">
      <c r="A1354" t="s">
        <v>4374</v>
      </c>
      <c r="B1354">
        <v>1</v>
      </c>
      <c r="C1354" t="s">
        <v>1774</v>
      </c>
      <c r="G1354" s="3">
        <v>867.29547024170085</v>
      </c>
      <c r="H1354" t="s">
        <v>1755</v>
      </c>
      <c r="I1354" t="s">
        <v>4374</v>
      </c>
      <c r="M1354" t="s">
        <v>1757</v>
      </c>
    </row>
    <row r="1355" spans="1:13" x14ac:dyDescent="0.45">
      <c r="A1355" t="s">
        <v>4375</v>
      </c>
      <c r="B1355">
        <v>1</v>
      </c>
      <c r="C1355" t="s">
        <v>1774</v>
      </c>
      <c r="G1355" s="3">
        <v>319.68282593182141</v>
      </c>
      <c r="H1355" t="s">
        <v>1755</v>
      </c>
      <c r="I1355" t="s">
        <v>4375</v>
      </c>
      <c r="M1355" t="s">
        <v>1757</v>
      </c>
    </row>
    <row r="1356" spans="1:13" x14ac:dyDescent="0.45">
      <c r="A1356" t="s">
        <v>4376</v>
      </c>
      <c r="B1356">
        <v>2</v>
      </c>
      <c r="C1356" t="s">
        <v>1774</v>
      </c>
      <c r="G1356" s="3">
        <v>935.1783971358866</v>
      </c>
      <c r="H1356" t="s">
        <v>1755</v>
      </c>
      <c r="I1356" t="s">
        <v>4376</v>
      </c>
      <c r="M1356" t="s">
        <v>1757</v>
      </c>
    </row>
    <row r="1357" spans="1:13" x14ac:dyDescent="0.45">
      <c r="A1357" t="s">
        <v>4377</v>
      </c>
      <c r="B1357">
        <v>2</v>
      </c>
      <c r="C1357" t="s">
        <v>1774</v>
      </c>
      <c r="G1357" s="3">
        <v>896.48646604734927</v>
      </c>
      <c r="H1357" t="s">
        <v>1755</v>
      </c>
      <c r="I1357" t="s">
        <v>4377</v>
      </c>
      <c r="M1357" t="s">
        <v>1757</v>
      </c>
    </row>
    <row r="1358" spans="1:13" x14ac:dyDescent="0.45">
      <c r="A1358" t="s">
        <v>4378</v>
      </c>
      <c r="B1358">
        <v>1</v>
      </c>
      <c r="C1358" t="s">
        <v>1774</v>
      </c>
      <c r="G1358" s="3">
        <v>650.20578523343659</v>
      </c>
      <c r="H1358" t="s">
        <v>1755</v>
      </c>
      <c r="I1358" t="s">
        <v>4378</v>
      </c>
      <c r="M1358" t="s">
        <v>1757</v>
      </c>
    </row>
    <row r="1359" spans="1:13" x14ac:dyDescent="0.45">
      <c r="A1359" t="s">
        <v>4379</v>
      </c>
      <c r="B1359">
        <v>2</v>
      </c>
      <c r="C1359" t="s">
        <v>1774</v>
      </c>
      <c r="G1359" s="3">
        <v>1979.743120230414</v>
      </c>
      <c r="H1359" t="s">
        <v>1755</v>
      </c>
      <c r="I1359" t="s">
        <v>4379</v>
      </c>
      <c r="M1359" t="s">
        <v>1757</v>
      </c>
    </row>
    <row r="1360" spans="1:13" x14ac:dyDescent="0.45">
      <c r="A1360" t="s">
        <v>4380</v>
      </c>
      <c r="B1360">
        <v>1</v>
      </c>
      <c r="C1360" t="s">
        <v>1774</v>
      </c>
      <c r="G1360" s="3">
        <v>756.12180733317177</v>
      </c>
      <c r="H1360" t="s">
        <v>1755</v>
      </c>
      <c r="I1360" t="s">
        <v>4380</v>
      </c>
      <c r="M1360" t="s">
        <v>1757</v>
      </c>
    </row>
    <row r="1361" spans="1:13" x14ac:dyDescent="0.45">
      <c r="A1361" t="s">
        <v>4381</v>
      </c>
      <c r="B1361">
        <v>1</v>
      </c>
      <c r="C1361" t="s">
        <v>1774</v>
      </c>
      <c r="G1361" s="3">
        <v>203.45765304521541</v>
      </c>
      <c r="H1361" t="s">
        <v>1755</v>
      </c>
      <c r="I1361" t="s">
        <v>4381</v>
      </c>
      <c r="M1361" t="s">
        <v>1757</v>
      </c>
    </row>
    <row r="1362" spans="1:13" x14ac:dyDescent="0.45">
      <c r="A1362" t="s">
        <v>4382</v>
      </c>
      <c r="B1362">
        <v>1</v>
      </c>
      <c r="C1362" t="s">
        <v>1774</v>
      </c>
      <c r="G1362" s="3">
        <v>654.68391229948736</v>
      </c>
      <c r="H1362" t="s">
        <v>1755</v>
      </c>
      <c r="I1362" t="s">
        <v>4382</v>
      </c>
      <c r="M1362" t="s">
        <v>1757</v>
      </c>
    </row>
    <row r="1363" spans="1:13" x14ac:dyDescent="0.45">
      <c r="A1363" t="s">
        <v>4383</v>
      </c>
      <c r="B1363">
        <v>1</v>
      </c>
      <c r="C1363" t="s">
        <v>1774</v>
      </c>
      <c r="G1363" s="3">
        <v>1705.9772414663121</v>
      </c>
      <c r="H1363" t="s">
        <v>1755</v>
      </c>
      <c r="I1363" t="s">
        <v>4383</v>
      </c>
      <c r="M1363" t="s">
        <v>1757</v>
      </c>
    </row>
    <row r="1364" spans="1:13" x14ac:dyDescent="0.45">
      <c r="A1364" t="s">
        <v>4384</v>
      </c>
      <c r="B1364">
        <v>1</v>
      </c>
      <c r="C1364" t="s">
        <v>1774</v>
      </c>
      <c r="G1364" s="3">
        <v>804.29836588571186</v>
      </c>
      <c r="H1364" t="s">
        <v>1755</v>
      </c>
      <c r="I1364" t="s">
        <v>4384</v>
      </c>
      <c r="M1364" t="s">
        <v>1757</v>
      </c>
    </row>
    <row r="1365" spans="1:13" x14ac:dyDescent="0.45">
      <c r="A1365" t="s">
        <v>4385</v>
      </c>
      <c r="B1365">
        <v>1</v>
      </c>
      <c r="C1365" t="s">
        <v>1774</v>
      </c>
      <c r="G1365" s="3">
        <v>396.70400221687493</v>
      </c>
      <c r="H1365" t="s">
        <v>1755</v>
      </c>
      <c r="I1365" t="s">
        <v>4385</v>
      </c>
      <c r="M1365" t="s">
        <v>1757</v>
      </c>
    </row>
    <row r="1366" spans="1:13" x14ac:dyDescent="0.45">
      <c r="A1366" t="s">
        <v>4386</v>
      </c>
      <c r="B1366">
        <v>1</v>
      </c>
      <c r="C1366" t="s">
        <v>1774</v>
      </c>
      <c r="G1366" s="3">
        <v>643.29127002584153</v>
      </c>
      <c r="H1366" t="s">
        <v>1755</v>
      </c>
      <c r="I1366" t="s">
        <v>4386</v>
      </c>
      <c r="M1366" t="s">
        <v>1757</v>
      </c>
    </row>
    <row r="1367" spans="1:13" x14ac:dyDescent="0.45">
      <c r="A1367" t="s">
        <v>4387</v>
      </c>
      <c r="B1367">
        <v>1</v>
      </c>
      <c r="C1367" t="s">
        <v>1774</v>
      </c>
      <c r="G1367" s="3">
        <v>278.45633363204729</v>
      </c>
      <c r="H1367" t="s">
        <v>1755</v>
      </c>
      <c r="I1367" t="s">
        <v>4387</v>
      </c>
      <c r="M1367" t="s">
        <v>1757</v>
      </c>
    </row>
    <row r="1368" spans="1:13" x14ac:dyDescent="0.45">
      <c r="A1368" t="s">
        <v>4388</v>
      </c>
      <c r="B1368">
        <v>2</v>
      </c>
      <c r="C1368" t="s">
        <v>1774</v>
      </c>
      <c r="G1368" s="3">
        <v>712.24725140271539</v>
      </c>
      <c r="H1368" t="s">
        <v>1755</v>
      </c>
      <c r="I1368" t="s">
        <v>4388</v>
      </c>
      <c r="M1368" t="s">
        <v>1757</v>
      </c>
    </row>
    <row r="1369" spans="1:13" x14ac:dyDescent="0.45">
      <c r="A1369" t="s">
        <v>4389</v>
      </c>
      <c r="B1369">
        <v>1</v>
      </c>
      <c r="C1369" t="s">
        <v>1774</v>
      </c>
      <c r="G1369" s="3">
        <v>529.37137041693745</v>
      </c>
      <c r="H1369" t="s">
        <v>1755</v>
      </c>
      <c r="I1369" t="s">
        <v>4389</v>
      </c>
      <c r="M1369" t="s">
        <v>1757</v>
      </c>
    </row>
    <row r="1370" spans="1:13" x14ac:dyDescent="0.45">
      <c r="A1370" t="s">
        <v>4390</v>
      </c>
      <c r="B1370">
        <v>1</v>
      </c>
      <c r="C1370" t="s">
        <v>1774</v>
      </c>
      <c r="G1370" s="3">
        <v>1405.835096436256</v>
      </c>
      <c r="H1370" t="s">
        <v>1755</v>
      </c>
      <c r="I1370" t="s">
        <v>4390</v>
      </c>
      <c r="M1370" t="s">
        <v>1757</v>
      </c>
    </row>
    <row r="1371" spans="1:13" x14ac:dyDescent="0.45">
      <c r="A1371" t="s">
        <v>4391</v>
      </c>
      <c r="B1371">
        <v>1</v>
      </c>
      <c r="C1371" t="s">
        <v>1774</v>
      </c>
      <c r="G1371" s="3">
        <v>972.66028806309475</v>
      </c>
      <c r="H1371" t="s">
        <v>1755</v>
      </c>
      <c r="I1371" t="s">
        <v>4391</v>
      </c>
      <c r="M1371" t="s">
        <v>1757</v>
      </c>
    </row>
    <row r="1372" spans="1:13" x14ac:dyDescent="0.45">
      <c r="A1372" t="s">
        <v>4392</v>
      </c>
      <c r="B1372">
        <v>1</v>
      </c>
      <c r="C1372" t="s">
        <v>1774</v>
      </c>
      <c r="G1372" s="3">
        <v>2133.3399431885609</v>
      </c>
      <c r="H1372" t="s">
        <v>1755</v>
      </c>
      <c r="I1372" t="s">
        <v>4392</v>
      </c>
      <c r="M1372" t="s">
        <v>1757</v>
      </c>
    </row>
    <row r="1373" spans="1:13" x14ac:dyDescent="0.45">
      <c r="A1373" t="s">
        <v>4393</v>
      </c>
      <c r="B1373">
        <v>2</v>
      </c>
      <c r="C1373" t="s">
        <v>1774</v>
      </c>
      <c r="G1373" s="3">
        <v>930.07404982461958</v>
      </c>
      <c r="H1373" t="s">
        <v>1755</v>
      </c>
      <c r="I1373" t="s">
        <v>4393</v>
      </c>
      <c r="M1373" t="s">
        <v>1757</v>
      </c>
    </row>
    <row r="1374" spans="1:13" x14ac:dyDescent="0.45">
      <c r="A1374" t="s">
        <v>4394</v>
      </c>
      <c r="B1374">
        <v>2</v>
      </c>
      <c r="C1374" t="s">
        <v>1774</v>
      </c>
      <c r="G1374" s="3">
        <v>848.12399835951067</v>
      </c>
      <c r="H1374" t="s">
        <v>1755</v>
      </c>
      <c r="I1374" t="s">
        <v>4394</v>
      </c>
      <c r="M1374" t="s">
        <v>1757</v>
      </c>
    </row>
    <row r="1375" spans="1:13" x14ac:dyDescent="0.45">
      <c r="A1375" t="s">
        <v>4395</v>
      </c>
      <c r="B1375">
        <v>1</v>
      </c>
      <c r="C1375" t="s">
        <v>1774</v>
      </c>
      <c r="G1375" s="3">
        <v>71.161450802994494</v>
      </c>
      <c r="H1375" t="s">
        <v>1755</v>
      </c>
      <c r="I1375" t="s">
        <v>4395</v>
      </c>
      <c r="M1375" t="s">
        <v>1757</v>
      </c>
    </row>
    <row r="1376" spans="1:13" x14ac:dyDescent="0.45">
      <c r="A1376" t="s">
        <v>4396</v>
      </c>
      <c r="B1376">
        <v>1</v>
      </c>
      <c r="C1376" t="s">
        <v>1774</v>
      </c>
      <c r="G1376" s="3">
        <v>392.40199959479111</v>
      </c>
      <c r="H1376" t="s">
        <v>1755</v>
      </c>
      <c r="I1376" t="s">
        <v>4396</v>
      </c>
      <c r="M1376" t="s">
        <v>1757</v>
      </c>
    </row>
    <row r="1377" spans="1:13" x14ac:dyDescent="0.45">
      <c r="A1377" t="s">
        <v>4397</v>
      </c>
      <c r="B1377">
        <v>1</v>
      </c>
      <c r="C1377" t="s">
        <v>1774</v>
      </c>
      <c r="G1377" s="3">
        <v>306.72528535789058</v>
      </c>
      <c r="H1377" t="s">
        <v>1755</v>
      </c>
      <c r="I1377" t="s">
        <v>4397</v>
      </c>
      <c r="M1377" t="s">
        <v>1757</v>
      </c>
    </row>
    <row r="1378" spans="1:13" x14ac:dyDescent="0.45">
      <c r="A1378" t="s">
        <v>4398</v>
      </c>
      <c r="B1378">
        <v>1</v>
      </c>
      <c r="C1378" t="s">
        <v>1774</v>
      </c>
      <c r="G1378" s="3">
        <v>876.33326346823185</v>
      </c>
      <c r="H1378" t="s">
        <v>1755</v>
      </c>
      <c r="I1378" t="s">
        <v>4398</v>
      </c>
      <c r="M1378" t="s">
        <v>1757</v>
      </c>
    </row>
    <row r="1379" spans="1:13" x14ac:dyDescent="0.45">
      <c r="A1379" t="s">
        <v>4399</v>
      </c>
      <c r="B1379">
        <v>1</v>
      </c>
      <c r="C1379" t="s">
        <v>1774</v>
      </c>
      <c r="G1379" s="3">
        <v>1294.557063486857</v>
      </c>
      <c r="H1379" t="s">
        <v>1755</v>
      </c>
      <c r="I1379" t="s">
        <v>4399</v>
      </c>
      <c r="M1379" t="s">
        <v>1757</v>
      </c>
    </row>
    <row r="1380" spans="1:13" x14ac:dyDescent="0.45">
      <c r="A1380" t="s">
        <v>4400</v>
      </c>
      <c r="B1380">
        <v>2</v>
      </c>
      <c r="C1380" t="s">
        <v>1774</v>
      </c>
      <c r="G1380" s="3">
        <v>595.35280562903461</v>
      </c>
      <c r="H1380" t="s">
        <v>1755</v>
      </c>
      <c r="I1380" t="s">
        <v>4400</v>
      </c>
      <c r="M1380" t="s">
        <v>1757</v>
      </c>
    </row>
    <row r="1381" spans="1:13" x14ac:dyDescent="0.45">
      <c r="A1381" t="s">
        <v>4401</v>
      </c>
      <c r="B1381">
        <v>1</v>
      </c>
      <c r="C1381" t="s">
        <v>1774</v>
      </c>
      <c r="G1381" s="3">
        <v>1554.797237267047</v>
      </c>
      <c r="H1381" t="s">
        <v>1755</v>
      </c>
      <c r="I1381" t="s">
        <v>4401</v>
      </c>
      <c r="M1381" t="s">
        <v>1757</v>
      </c>
    </row>
    <row r="1382" spans="1:13" x14ac:dyDescent="0.45">
      <c r="A1382" t="s">
        <v>4402</v>
      </c>
      <c r="B1382">
        <v>1</v>
      </c>
      <c r="C1382" t="s">
        <v>1774</v>
      </c>
      <c r="G1382" s="3">
        <v>1615.507985415242</v>
      </c>
      <c r="H1382" t="s">
        <v>1755</v>
      </c>
      <c r="I1382" t="s">
        <v>4402</v>
      </c>
      <c r="M1382" t="s">
        <v>1757</v>
      </c>
    </row>
    <row r="1383" spans="1:13" x14ac:dyDescent="0.45">
      <c r="A1383" t="s">
        <v>4403</v>
      </c>
      <c r="B1383">
        <v>1</v>
      </c>
      <c r="C1383" t="s">
        <v>1774</v>
      </c>
      <c r="G1383" s="3">
        <v>1465.2151265633661</v>
      </c>
      <c r="H1383" t="s">
        <v>1755</v>
      </c>
      <c r="I1383" t="s">
        <v>4403</v>
      </c>
      <c r="M1383" t="s">
        <v>1757</v>
      </c>
    </row>
    <row r="1384" spans="1:13" x14ac:dyDescent="0.45">
      <c r="A1384" t="s">
        <v>4404</v>
      </c>
      <c r="B1384">
        <v>1</v>
      </c>
      <c r="C1384" t="s">
        <v>1774</v>
      </c>
      <c r="G1384" s="3">
        <v>1141.1591959191189</v>
      </c>
      <c r="H1384" t="s">
        <v>1755</v>
      </c>
      <c r="I1384" t="s">
        <v>4404</v>
      </c>
      <c r="M1384" t="s">
        <v>1757</v>
      </c>
    </row>
    <row r="1385" spans="1:13" x14ac:dyDescent="0.45">
      <c r="A1385" t="s">
        <v>4405</v>
      </c>
      <c r="B1385">
        <v>1</v>
      </c>
      <c r="C1385" t="s">
        <v>1774</v>
      </c>
      <c r="G1385" s="3">
        <v>1023.3612969791629</v>
      </c>
      <c r="H1385" t="s">
        <v>1755</v>
      </c>
      <c r="I1385" t="s">
        <v>4405</v>
      </c>
      <c r="M1385" t="s">
        <v>1757</v>
      </c>
    </row>
    <row r="1386" spans="1:13" x14ac:dyDescent="0.45">
      <c r="A1386" t="s">
        <v>4406</v>
      </c>
      <c r="B1386">
        <v>1</v>
      </c>
      <c r="C1386" t="s">
        <v>1774</v>
      </c>
      <c r="G1386" s="3">
        <v>1490.942341637663</v>
      </c>
      <c r="H1386" t="s">
        <v>1755</v>
      </c>
      <c r="I1386" t="s">
        <v>4406</v>
      </c>
      <c r="M1386" t="s">
        <v>1757</v>
      </c>
    </row>
    <row r="1387" spans="1:13" x14ac:dyDescent="0.45">
      <c r="A1387" t="s">
        <v>4407</v>
      </c>
      <c r="B1387">
        <v>2</v>
      </c>
      <c r="C1387" t="s">
        <v>1774</v>
      </c>
      <c r="G1387" s="3">
        <v>661.91153762969043</v>
      </c>
      <c r="H1387" t="s">
        <v>1755</v>
      </c>
      <c r="I1387" t="s">
        <v>4407</v>
      </c>
      <c r="M1387" t="s">
        <v>1757</v>
      </c>
    </row>
    <row r="1388" spans="1:13" x14ac:dyDescent="0.45">
      <c r="A1388" t="s">
        <v>4408</v>
      </c>
      <c r="B1388">
        <v>2</v>
      </c>
      <c r="C1388" t="s">
        <v>1774</v>
      </c>
      <c r="G1388" s="3">
        <v>839.66676348531553</v>
      </c>
      <c r="H1388" t="s">
        <v>1755</v>
      </c>
      <c r="I1388" t="s">
        <v>4408</v>
      </c>
      <c r="M1388" t="s">
        <v>1757</v>
      </c>
    </row>
    <row r="1389" spans="1:13" x14ac:dyDescent="0.45">
      <c r="A1389" t="s">
        <v>4409</v>
      </c>
      <c r="B1389">
        <v>1</v>
      </c>
      <c r="C1389" t="s">
        <v>1774</v>
      </c>
      <c r="G1389" s="3">
        <v>3386.8404418484351</v>
      </c>
      <c r="H1389" t="s">
        <v>1755</v>
      </c>
      <c r="I1389" t="s">
        <v>4409</v>
      </c>
      <c r="M1389" t="s">
        <v>1757</v>
      </c>
    </row>
    <row r="1390" spans="1:13" x14ac:dyDescent="0.45">
      <c r="A1390" t="s">
        <v>4410</v>
      </c>
      <c r="B1390">
        <v>1</v>
      </c>
      <c r="C1390" t="s">
        <v>1774</v>
      </c>
      <c r="G1390" s="3">
        <v>450.15450939709478</v>
      </c>
      <c r="H1390" t="s">
        <v>1755</v>
      </c>
      <c r="I1390" t="s">
        <v>4410</v>
      </c>
      <c r="M1390" t="s">
        <v>1757</v>
      </c>
    </row>
    <row r="1391" spans="1:13" x14ac:dyDescent="0.45">
      <c r="A1391" t="s">
        <v>4411</v>
      </c>
      <c r="B1391">
        <v>1</v>
      </c>
      <c r="C1391" t="s">
        <v>1774</v>
      </c>
      <c r="G1391" s="3">
        <v>570.62689063432833</v>
      </c>
      <c r="H1391" t="s">
        <v>1755</v>
      </c>
      <c r="I1391" t="s">
        <v>4411</v>
      </c>
      <c r="M1391" t="s">
        <v>1757</v>
      </c>
    </row>
    <row r="1392" spans="1:13" x14ac:dyDescent="0.45">
      <c r="A1392" t="s">
        <v>4412</v>
      </c>
      <c r="B1392">
        <v>1</v>
      </c>
      <c r="C1392" t="s">
        <v>1774</v>
      </c>
      <c r="G1392" s="3">
        <v>520.29117686130326</v>
      </c>
      <c r="H1392" t="s">
        <v>1755</v>
      </c>
      <c r="I1392" t="s">
        <v>4412</v>
      </c>
      <c r="M1392" t="s">
        <v>1757</v>
      </c>
    </row>
    <row r="1393" spans="1:13" x14ac:dyDescent="0.45">
      <c r="A1393" t="s">
        <v>4413</v>
      </c>
      <c r="B1393">
        <v>1</v>
      </c>
      <c r="C1393" t="s">
        <v>1774</v>
      </c>
      <c r="G1393" s="3">
        <v>861.74755025673915</v>
      </c>
      <c r="H1393" t="s">
        <v>1755</v>
      </c>
      <c r="I1393" t="s">
        <v>4413</v>
      </c>
      <c r="M1393" t="s">
        <v>1757</v>
      </c>
    </row>
    <row r="1394" spans="1:13" x14ac:dyDescent="0.45">
      <c r="A1394" t="s">
        <v>4414</v>
      </c>
      <c r="B1394">
        <v>3</v>
      </c>
      <c r="C1394" t="s">
        <v>1774</v>
      </c>
      <c r="G1394" s="3">
        <v>592.77617024507231</v>
      </c>
      <c r="H1394" t="s">
        <v>1755</v>
      </c>
      <c r="I1394" t="s">
        <v>4414</v>
      </c>
      <c r="M1394" t="s">
        <v>1757</v>
      </c>
    </row>
    <row r="1395" spans="1:13" x14ac:dyDescent="0.45">
      <c r="A1395" t="s">
        <v>4415</v>
      </c>
      <c r="B1395">
        <v>2</v>
      </c>
      <c r="C1395" t="s">
        <v>1774</v>
      </c>
      <c r="G1395" s="3">
        <v>1015.367204161325</v>
      </c>
      <c r="H1395" t="s">
        <v>1755</v>
      </c>
      <c r="I1395" t="s">
        <v>4415</v>
      </c>
      <c r="M1395" t="s">
        <v>1757</v>
      </c>
    </row>
    <row r="1396" spans="1:13" x14ac:dyDescent="0.45">
      <c r="A1396" t="s">
        <v>4416</v>
      </c>
      <c r="B1396">
        <v>1</v>
      </c>
      <c r="C1396" t="s">
        <v>1774</v>
      </c>
      <c r="G1396" s="3">
        <v>1033.3253743184091</v>
      </c>
      <c r="H1396" t="s">
        <v>1755</v>
      </c>
      <c r="I1396" t="s">
        <v>4416</v>
      </c>
      <c r="M1396" t="s">
        <v>1757</v>
      </c>
    </row>
    <row r="1397" spans="1:13" x14ac:dyDescent="0.45">
      <c r="A1397" t="s">
        <v>4417</v>
      </c>
      <c r="B1397">
        <v>1</v>
      </c>
      <c r="C1397" t="s">
        <v>1774</v>
      </c>
      <c r="G1397" s="3">
        <v>1604.265375075345</v>
      </c>
      <c r="H1397" t="s">
        <v>1755</v>
      </c>
      <c r="I1397" t="s">
        <v>4417</v>
      </c>
      <c r="M1397" t="s">
        <v>1757</v>
      </c>
    </row>
    <row r="1398" spans="1:13" x14ac:dyDescent="0.45">
      <c r="A1398" t="s">
        <v>4418</v>
      </c>
      <c r="B1398">
        <v>1</v>
      </c>
      <c r="C1398" t="s">
        <v>1774</v>
      </c>
      <c r="G1398" s="3">
        <v>1323.320794437697</v>
      </c>
      <c r="H1398" t="s">
        <v>1755</v>
      </c>
      <c r="I1398" t="s">
        <v>4418</v>
      </c>
      <c r="M1398" t="s">
        <v>1757</v>
      </c>
    </row>
    <row r="1399" spans="1:13" x14ac:dyDescent="0.45">
      <c r="A1399" t="s">
        <v>4419</v>
      </c>
      <c r="B1399">
        <v>2</v>
      </c>
      <c r="C1399" t="s">
        <v>1774</v>
      </c>
      <c r="G1399" s="3">
        <v>366.81829332668968</v>
      </c>
      <c r="H1399" t="s">
        <v>1755</v>
      </c>
      <c r="I1399" t="s">
        <v>4419</v>
      </c>
      <c r="M1399" t="s">
        <v>1757</v>
      </c>
    </row>
    <row r="1400" spans="1:13" x14ac:dyDescent="0.45">
      <c r="A1400" t="s">
        <v>4420</v>
      </c>
      <c r="B1400">
        <v>2</v>
      </c>
      <c r="C1400" t="s">
        <v>1774</v>
      </c>
      <c r="G1400" s="3">
        <v>1687.9701478525701</v>
      </c>
      <c r="H1400" t="s">
        <v>1755</v>
      </c>
      <c r="I1400" t="s">
        <v>4420</v>
      </c>
      <c r="M1400" t="s">
        <v>1757</v>
      </c>
    </row>
    <row r="1401" spans="1:13" x14ac:dyDescent="0.45">
      <c r="A1401" t="s">
        <v>4421</v>
      </c>
      <c r="B1401">
        <v>1</v>
      </c>
      <c r="C1401" t="s">
        <v>1774</v>
      </c>
      <c r="G1401" s="3">
        <v>1630.426378132006</v>
      </c>
      <c r="H1401" t="s">
        <v>1755</v>
      </c>
      <c r="I1401" t="s">
        <v>4421</v>
      </c>
      <c r="M1401" t="s">
        <v>1757</v>
      </c>
    </row>
    <row r="1402" spans="1:13" x14ac:dyDescent="0.45">
      <c r="A1402" t="s">
        <v>4422</v>
      </c>
      <c r="B1402">
        <v>1</v>
      </c>
      <c r="C1402" t="s">
        <v>1774</v>
      </c>
      <c r="H1402" t="s">
        <v>1755</v>
      </c>
      <c r="I1402" t="s">
        <v>4422</v>
      </c>
      <c r="M1402" t="s">
        <v>1757</v>
      </c>
    </row>
    <row r="1403" spans="1:13" x14ac:dyDescent="0.45">
      <c r="A1403" t="s">
        <v>4423</v>
      </c>
      <c r="B1403">
        <v>1</v>
      </c>
      <c r="C1403" t="s">
        <v>1774</v>
      </c>
      <c r="G1403" s="3">
        <v>1676.042609119469</v>
      </c>
      <c r="H1403" t="s">
        <v>1755</v>
      </c>
      <c r="I1403" t="s">
        <v>4423</v>
      </c>
      <c r="M1403" t="s">
        <v>1757</v>
      </c>
    </row>
    <row r="1404" spans="1:13" x14ac:dyDescent="0.45">
      <c r="A1404" t="s">
        <v>4424</v>
      </c>
      <c r="B1404">
        <v>1</v>
      </c>
      <c r="C1404" t="s">
        <v>1774</v>
      </c>
      <c r="G1404" s="3">
        <v>550.0692541468419</v>
      </c>
      <c r="H1404" t="s">
        <v>1755</v>
      </c>
      <c r="I1404" t="s">
        <v>4424</v>
      </c>
      <c r="M1404" t="s">
        <v>1757</v>
      </c>
    </row>
    <row r="1405" spans="1:13" x14ac:dyDescent="0.45">
      <c r="A1405" t="s">
        <v>4425</v>
      </c>
      <c r="B1405">
        <v>1</v>
      </c>
      <c r="C1405" t="s">
        <v>1774</v>
      </c>
      <c r="G1405" s="3">
        <v>589.35478984282372</v>
      </c>
      <c r="H1405" t="s">
        <v>1755</v>
      </c>
      <c r="I1405" t="s">
        <v>4425</v>
      </c>
      <c r="M1405" t="s">
        <v>1757</v>
      </c>
    </row>
    <row r="1406" spans="1:13" x14ac:dyDescent="0.45">
      <c r="A1406" t="s">
        <v>4426</v>
      </c>
      <c r="B1406">
        <v>1</v>
      </c>
      <c r="C1406" t="s">
        <v>1774</v>
      </c>
      <c r="G1406" s="3">
        <v>2408.83771231834</v>
      </c>
      <c r="H1406" t="s">
        <v>1755</v>
      </c>
      <c r="I1406" t="s">
        <v>4426</v>
      </c>
      <c r="M1406" t="s">
        <v>1757</v>
      </c>
    </row>
    <row r="1407" spans="1:13" x14ac:dyDescent="0.45">
      <c r="A1407" t="s">
        <v>4427</v>
      </c>
      <c r="B1407">
        <v>1</v>
      </c>
      <c r="C1407" t="s">
        <v>1774</v>
      </c>
      <c r="G1407" s="3">
        <v>759.82694378403392</v>
      </c>
      <c r="H1407" t="s">
        <v>1755</v>
      </c>
      <c r="I1407" t="s">
        <v>4427</v>
      </c>
      <c r="M1407" t="s">
        <v>1757</v>
      </c>
    </row>
    <row r="1408" spans="1:13" x14ac:dyDescent="0.45">
      <c r="A1408" t="s">
        <v>4428</v>
      </c>
      <c r="B1408">
        <v>1</v>
      </c>
      <c r="C1408" t="s">
        <v>1774</v>
      </c>
      <c r="G1408" s="3">
        <v>499.64547815183352</v>
      </c>
      <c r="H1408" t="s">
        <v>1755</v>
      </c>
      <c r="I1408" t="s">
        <v>4428</v>
      </c>
      <c r="M1408" t="s">
        <v>1757</v>
      </c>
    </row>
    <row r="1409" spans="1:13" x14ac:dyDescent="0.45">
      <c r="A1409" t="s">
        <v>4429</v>
      </c>
      <c r="B1409">
        <v>4</v>
      </c>
      <c r="C1409" t="s">
        <v>1774</v>
      </c>
      <c r="G1409" s="3">
        <v>216.67253100116471</v>
      </c>
      <c r="H1409" t="s">
        <v>1755</v>
      </c>
      <c r="I1409" t="s">
        <v>4429</v>
      </c>
      <c r="M1409" t="s">
        <v>1757</v>
      </c>
    </row>
    <row r="1410" spans="1:13" x14ac:dyDescent="0.45">
      <c r="A1410" t="s">
        <v>4430</v>
      </c>
      <c r="B1410">
        <v>2</v>
      </c>
      <c r="C1410" t="s">
        <v>1774</v>
      </c>
      <c r="G1410" s="3">
        <v>877.95752222926114</v>
      </c>
      <c r="H1410" t="s">
        <v>1755</v>
      </c>
      <c r="I1410" t="s">
        <v>4430</v>
      </c>
      <c r="M1410" t="s">
        <v>1757</v>
      </c>
    </row>
    <row r="1411" spans="1:13" x14ac:dyDescent="0.45">
      <c r="A1411" t="s">
        <v>4431</v>
      </c>
      <c r="B1411">
        <v>1</v>
      </c>
      <c r="C1411" t="s">
        <v>1774</v>
      </c>
      <c r="G1411" s="3">
        <v>1232.290549416954</v>
      </c>
      <c r="H1411" t="s">
        <v>1755</v>
      </c>
      <c r="I1411" t="s">
        <v>4431</v>
      </c>
      <c r="M1411" t="s">
        <v>1757</v>
      </c>
    </row>
    <row r="1412" spans="1:13" x14ac:dyDescent="0.45">
      <c r="A1412" t="s">
        <v>4432</v>
      </c>
      <c r="B1412">
        <v>2</v>
      </c>
      <c r="C1412" t="s">
        <v>1774</v>
      </c>
      <c r="G1412" s="3">
        <v>1832.7705333036961</v>
      </c>
      <c r="H1412" t="s">
        <v>1755</v>
      </c>
      <c r="I1412" t="s">
        <v>4432</v>
      </c>
      <c r="M1412" t="s">
        <v>1757</v>
      </c>
    </row>
    <row r="1413" spans="1:13" x14ac:dyDescent="0.45">
      <c r="A1413" t="s">
        <v>4433</v>
      </c>
      <c r="B1413">
        <v>1</v>
      </c>
      <c r="C1413" t="s">
        <v>1774</v>
      </c>
      <c r="G1413" s="3">
        <v>462.26469570171753</v>
      </c>
      <c r="H1413" t="s">
        <v>1755</v>
      </c>
      <c r="I1413" t="s">
        <v>4433</v>
      </c>
      <c r="M1413" t="s">
        <v>1757</v>
      </c>
    </row>
    <row r="1414" spans="1:13" x14ac:dyDescent="0.45">
      <c r="A1414" t="s">
        <v>4434</v>
      </c>
      <c r="B1414">
        <v>1</v>
      </c>
      <c r="C1414" t="s">
        <v>1774</v>
      </c>
      <c r="G1414" s="3">
        <v>834.99620415641186</v>
      </c>
      <c r="H1414" t="s">
        <v>1755</v>
      </c>
      <c r="I1414" t="s">
        <v>4434</v>
      </c>
      <c r="M1414" t="s">
        <v>1757</v>
      </c>
    </row>
    <row r="1415" spans="1:13" x14ac:dyDescent="0.45">
      <c r="A1415" t="s">
        <v>4435</v>
      </c>
      <c r="B1415">
        <v>2</v>
      </c>
      <c r="C1415" t="s">
        <v>1774</v>
      </c>
      <c r="G1415" s="3">
        <v>1316.083384416163</v>
      </c>
      <c r="H1415" t="s">
        <v>1755</v>
      </c>
      <c r="I1415" t="s">
        <v>4435</v>
      </c>
      <c r="M1415" t="s">
        <v>1757</v>
      </c>
    </row>
    <row r="1416" spans="1:13" x14ac:dyDescent="0.45">
      <c r="A1416" t="s">
        <v>4436</v>
      </c>
      <c r="B1416">
        <v>3</v>
      </c>
      <c r="C1416" t="s">
        <v>1774</v>
      </c>
      <c r="G1416" s="3">
        <v>654.9285295827749</v>
      </c>
      <c r="H1416" t="s">
        <v>1755</v>
      </c>
      <c r="I1416" t="s">
        <v>4436</v>
      </c>
      <c r="M1416" t="s">
        <v>1757</v>
      </c>
    </row>
    <row r="1417" spans="1:13" x14ac:dyDescent="0.45">
      <c r="A1417" t="s">
        <v>4437</v>
      </c>
      <c r="B1417">
        <v>1</v>
      </c>
      <c r="C1417" t="s">
        <v>1774</v>
      </c>
      <c r="G1417" s="3">
        <v>822.95124912733252</v>
      </c>
      <c r="H1417" t="s">
        <v>1755</v>
      </c>
      <c r="I1417" t="s">
        <v>4437</v>
      </c>
      <c r="M1417" t="s">
        <v>1757</v>
      </c>
    </row>
    <row r="1418" spans="1:13" x14ac:dyDescent="0.45">
      <c r="A1418" t="s">
        <v>4438</v>
      </c>
      <c r="B1418">
        <v>2</v>
      </c>
      <c r="C1418" t="s">
        <v>1774</v>
      </c>
      <c r="G1418" s="3">
        <v>409.42083938405068</v>
      </c>
      <c r="H1418" t="s">
        <v>1755</v>
      </c>
      <c r="I1418" t="s">
        <v>4438</v>
      </c>
      <c r="M1418" t="s">
        <v>1757</v>
      </c>
    </row>
    <row r="1419" spans="1:13" x14ac:dyDescent="0.45">
      <c r="A1419" t="s">
        <v>4439</v>
      </c>
      <c r="B1419">
        <v>2</v>
      </c>
      <c r="C1419" t="s">
        <v>1774</v>
      </c>
      <c r="G1419" s="3">
        <v>929.1412425843497</v>
      </c>
      <c r="H1419" t="s">
        <v>1755</v>
      </c>
      <c r="I1419" t="s">
        <v>4439</v>
      </c>
      <c r="M1419" t="s">
        <v>1757</v>
      </c>
    </row>
    <row r="1420" spans="1:13" x14ac:dyDescent="0.45">
      <c r="A1420" t="s">
        <v>4440</v>
      </c>
      <c r="B1420">
        <v>1</v>
      </c>
      <c r="C1420" t="s">
        <v>1774</v>
      </c>
      <c r="G1420" s="3">
        <v>317.08238113228578</v>
      </c>
      <c r="H1420" t="s">
        <v>1755</v>
      </c>
      <c r="I1420" t="s">
        <v>4440</v>
      </c>
      <c r="M1420" t="s">
        <v>1757</v>
      </c>
    </row>
    <row r="1421" spans="1:13" x14ac:dyDescent="0.45">
      <c r="A1421" t="s">
        <v>4441</v>
      </c>
      <c r="B1421">
        <v>1</v>
      </c>
      <c r="C1421" t="s">
        <v>1774</v>
      </c>
      <c r="G1421" s="3">
        <v>843.76328758943782</v>
      </c>
      <c r="H1421" t="s">
        <v>1755</v>
      </c>
      <c r="I1421" t="s">
        <v>4441</v>
      </c>
      <c r="M1421" t="s">
        <v>1757</v>
      </c>
    </row>
    <row r="1422" spans="1:13" x14ac:dyDescent="0.45">
      <c r="A1422" t="s">
        <v>4442</v>
      </c>
      <c r="B1422">
        <v>1</v>
      </c>
      <c r="C1422" t="s">
        <v>1774</v>
      </c>
      <c r="G1422" s="3">
        <v>1602.2171130232839</v>
      </c>
      <c r="H1422" t="s">
        <v>1755</v>
      </c>
      <c r="I1422" t="s">
        <v>4442</v>
      </c>
      <c r="M1422" t="s">
        <v>1757</v>
      </c>
    </row>
    <row r="1423" spans="1:13" x14ac:dyDescent="0.45">
      <c r="A1423" t="s">
        <v>4443</v>
      </c>
      <c r="B1423">
        <v>1</v>
      </c>
      <c r="C1423" t="s">
        <v>1774</v>
      </c>
      <c r="G1423" s="3">
        <v>360.60175276740858</v>
      </c>
      <c r="H1423" t="s">
        <v>1755</v>
      </c>
      <c r="I1423" t="s">
        <v>4443</v>
      </c>
      <c r="M1423" t="s">
        <v>1757</v>
      </c>
    </row>
    <row r="1424" spans="1:13" x14ac:dyDescent="0.45">
      <c r="A1424" t="s">
        <v>4444</v>
      </c>
      <c r="B1424">
        <v>1</v>
      </c>
      <c r="C1424" t="s">
        <v>1774</v>
      </c>
      <c r="G1424" s="3">
        <v>280.62038119819789</v>
      </c>
      <c r="H1424" t="s">
        <v>1755</v>
      </c>
      <c r="I1424" t="s">
        <v>4444</v>
      </c>
      <c r="M1424" t="s">
        <v>1757</v>
      </c>
    </row>
    <row r="1425" spans="1:13" x14ac:dyDescent="0.45">
      <c r="A1425" t="s">
        <v>4445</v>
      </c>
      <c r="B1425">
        <v>1</v>
      </c>
      <c r="C1425" t="s">
        <v>1774</v>
      </c>
      <c r="G1425" s="3">
        <v>270.58944180151951</v>
      </c>
      <c r="H1425" t="s">
        <v>1755</v>
      </c>
      <c r="I1425" t="s">
        <v>4445</v>
      </c>
      <c r="M1425" t="s">
        <v>1757</v>
      </c>
    </row>
    <row r="1426" spans="1:13" x14ac:dyDescent="0.45">
      <c r="A1426" t="s">
        <v>4446</v>
      </c>
      <c r="B1426">
        <v>2</v>
      </c>
      <c r="C1426" t="s">
        <v>1774</v>
      </c>
      <c r="G1426" s="3">
        <v>437.66272013054351</v>
      </c>
      <c r="H1426" t="s">
        <v>1755</v>
      </c>
      <c r="I1426" t="s">
        <v>4446</v>
      </c>
      <c r="M1426" t="s">
        <v>1757</v>
      </c>
    </row>
    <row r="1427" spans="1:13" x14ac:dyDescent="0.45">
      <c r="A1427" t="s">
        <v>4447</v>
      </c>
      <c r="B1427">
        <v>1</v>
      </c>
      <c r="C1427" t="s">
        <v>1774</v>
      </c>
      <c r="G1427" s="3">
        <v>204.10376882947219</v>
      </c>
      <c r="H1427" t="s">
        <v>1755</v>
      </c>
      <c r="I1427" t="s">
        <v>4447</v>
      </c>
      <c r="M1427" t="s">
        <v>1757</v>
      </c>
    </row>
    <row r="1428" spans="1:13" x14ac:dyDescent="0.45">
      <c r="A1428" t="s">
        <v>4448</v>
      </c>
      <c r="B1428">
        <v>1</v>
      </c>
      <c r="C1428" t="s">
        <v>1774</v>
      </c>
      <c r="G1428" s="3">
        <v>586.60529157867154</v>
      </c>
      <c r="H1428" t="s">
        <v>1755</v>
      </c>
      <c r="I1428" t="s">
        <v>4448</v>
      </c>
      <c r="M1428" t="s">
        <v>1757</v>
      </c>
    </row>
    <row r="1429" spans="1:13" x14ac:dyDescent="0.45">
      <c r="A1429" t="s">
        <v>4449</v>
      </c>
      <c r="B1429">
        <v>1</v>
      </c>
      <c r="C1429" t="s">
        <v>1774</v>
      </c>
      <c r="G1429" s="3">
        <v>2865.0554687771878</v>
      </c>
      <c r="H1429" t="s">
        <v>1755</v>
      </c>
      <c r="I1429" t="s">
        <v>4449</v>
      </c>
      <c r="M1429" t="s">
        <v>1757</v>
      </c>
    </row>
    <row r="1430" spans="1:13" x14ac:dyDescent="0.45">
      <c r="A1430" t="s">
        <v>4450</v>
      </c>
      <c r="B1430">
        <v>1</v>
      </c>
      <c r="C1430" t="s">
        <v>1774</v>
      </c>
      <c r="G1430" s="3">
        <v>1691.5285139334601</v>
      </c>
      <c r="H1430" t="s">
        <v>1755</v>
      </c>
      <c r="I1430" t="s">
        <v>4450</v>
      </c>
      <c r="M1430" t="s">
        <v>1757</v>
      </c>
    </row>
    <row r="1431" spans="1:13" x14ac:dyDescent="0.45">
      <c r="A1431" t="s">
        <v>4451</v>
      </c>
      <c r="B1431">
        <v>2</v>
      </c>
      <c r="C1431" t="s">
        <v>1774</v>
      </c>
      <c r="G1431" s="3">
        <v>1693.4984984548689</v>
      </c>
      <c r="H1431" t="s">
        <v>1755</v>
      </c>
      <c r="I1431" t="s">
        <v>4451</v>
      </c>
      <c r="M1431" t="s">
        <v>1757</v>
      </c>
    </row>
    <row r="1432" spans="1:13" x14ac:dyDescent="0.45">
      <c r="A1432" t="s">
        <v>4452</v>
      </c>
      <c r="B1432">
        <v>1</v>
      </c>
      <c r="C1432" t="s">
        <v>1774</v>
      </c>
      <c r="G1432" s="3">
        <v>875.50156470505419</v>
      </c>
      <c r="H1432" t="s">
        <v>1755</v>
      </c>
      <c r="I1432" t="s">
        <v>4452</v>
      </c>
      <c r="M1432" t="s">
        <v>1757</v>
      </c>
    </row>
    <row r="1433" spans="1:13" x14ac:dyDescent="0.45">
      <c r="A1433" t="s">
        <v>4453</v>
      </c>
      <c r="B1433">
        <v>1</v>
      </c>
      <c r="C1433" t="s">
        <v>1774</v>
      </c>
      <c r="G1433" s="3">
        <v>614.49166187345304</v>
      </c>
      <c r="H1433" t="s">
        <v>1755</v>
      </c>
      <c r="I1433" t="s">
        <v>4453</v>
      </c>
      <c r="M1433" t="s">
        <v>1757</v>
      </c>
    </row>
    <row r="1434" spans="1:13" x14ac:dyDescent="0.45">
      <c r="A1434" t="s">
        <v>4454</v>
      </c>
      <c r="B1434">
        <v>1</v>
      </c>
      <c r="C1434" t="s">
        <v>1774</v>
      </c>
      <c r="G1434" s="3">
        <v>323.41535951841178</v>
      </c>
      <c r="H1434" t="s">
        <v>1755</v>
      </c>
      <c r="I1434" t="s">
        <v>4454</v>
      </c>
      <c r="M1434" t="s">
        <v>1757</v>
      </c>
    </row>
    <row r="1435" spans="1:13" x14ac:dyDescent="0.45">
      <c r="A1435" t="s">
        <v>4455</v>
      </c>
      <c r="B1435">
        <v>1</v>
      </c>
      <c r="C1435" t="s">
        <v>1774</v>
      </c>
      <c r="G1435" s="3">
        <v>1200.3533169109301</v>
      </c>
      <c r="H1435" t="s">
        <v>1755</v>
      </c>
      <c r="I1435" t="s">
        <v>4455</v>
      </c>
      <c r="M1435" t="s">
        <v>1757</v>
      </c>
    </row>
    <row r="1436" spans="1:13" x14ac:dyDescent="0.45">
      <c r="A1436" t="s">
        <v>4456</v>
      </c>
      <c r="B1436">
        <v>1</v>
      </c>
      <c r="C1436" t="s">
        <v>1774</v>
      </c>
      <c r="G1436" s="3">
        <v>815.78559350889566</v>
      </c>
      <c r="H1436" t="s">
        <v>1755</v>
      </c>
      <c r="I1436" t="s">
        <v>4456</v>
      </c>
      <c r="M1436" t="s">
        <v>1757</v>
      </c>
    </row>
    <row r="1437" spans="1:13" x14ac:dyDescent="0.45">
      <c r="A1437" t="s">
        <v>4457</v>
      </c>
      <c r="B1437">
        <v>1</v>
      </c>
      <c r="C1437" t="s">
        <v>1774</v>
      </c>
      <c r="G1437" s="3">
        <v>1058.974311862054</v>
      </c>
      <c r="H1437" t="s">
        <v>1755</v>
      </c>
      <c r="I1437" t="s">
        <v>4457</v>
      </c>
      <c r="M1437" t="s">
        <v>1757</v>
      </c>
    </row>
    <row r="1438" spans="1:13" x14ac:dyDescent="0.45">
      <c r="A1438" t="s">
        <v>4458</v>
      </c>
      <c r="B1438">
        <v>1</v>
      </c>
      <c r="C1438" t="s">
        <v>1774</v>
      </c>
      <c r="G1438" s="3">
        <v>1450.045593435761</v>
      </c>
      <c r="H1438" t="s">
        <v>1755</v>
      </c>
      <c r="I1438" t="s">
        <v>4458</v>
      </c>
      <c r="M1438" t="s">
        <v>1757</v>
      </c>
    </row>
    <row r="1439" spans="1:13" x14ac:dyDescent="0.45">
      <c r="A1439" t="s">
        <v>4459</v>
      </c>
      <c r="B1439">
        <v>1</v>
      </c>
      <c r="C1439" t="s">
        <v>1774</v>
      </c>
      <c r="G1439" s="3">
        <v>738.74419552842369</v>
      </c>
      <c r="H1439" t="s">
        <v>1755</v>
      </c>
      <c r="I1439" t="s">
        <v>4459</v>
      </c>
      <c r="M1439" t="s">
        <v>1757</v>
      </c>
    </row>
    <row r="1440" spans="1:13" x14ac:dyDescent="0.45">
      <c r="A1440" t="s">
        <v>4460</v>
      </c>
      <c r="B1440">
        <v>1</v>
      </c>
      <c r="C1440" t="s">
        <v>1774</v>
      </c>
      <c r="G1440" s="3">
        <v>1048.1883204509611</v>
      </c>
      <c r="H1440" t="s">
        <v>1755</v>
      </c>
      <c r="I1440" t="s">
        <v>4460</v>
      </c>
      <c r="M1440" t="s">
        <v>1757</v>
      </c>
    </row>
    <row r="1441" spans="1:13" x14ac:dyDescent="0.45">
      <c r="A1441" t="s">
        <v>4461</v>
      </c>
      <c r="B1441">
        <v>1</v>
      </c>
      <c r="C1441" t="s">
        <v>1774</v>
      </c>
      <c r="G1441" s="3">
        <v>979.36932475272818</v>
      </c>
      <c r="H1441" t="s">
        <v>1755</v>
      </c>
      <c r="I1441" t="s">
        <v>4461</v>
      </c>
      <c r="M1441" t="s">
        <v>1757</v>
      </c>
    </row>
    <row r="1442" spans="1:13" x14ac:dyDescent="0.45">
      <c r="A1442" t="s">
        <v>4462</v>
      </c>
      <c r="B1442">
        <v>1</v>
      </c>
      <c r="C1442" t="s">
        <v>1774</v>
      </c>
      <c r="G1442" s="3">
        <v>437.23871683951182</v>
      </c>
      <c r="H1442" t="s">
        <v>1755</v>
      </c>
      <c r="I1442" t="s">
        <v>4462</v>
      </c>
      <c r="M1442" t="s">
        <v>1757</v>
      </c>
    </row>
    <row r="1443" spans="1:13" x14ac:dyDescent="0.45">
      <c r="A1443" t="s">
        <v>4463</v>
      </c>
      <c r="B1443">
        <v>1</v>
      </c>
      <c r="C1443" t="s">
        <v>1774</v>
      </c>
      <c r="G1443" s="3">
        <v>444.96209986384417</v>
      </c>
      <c r="H1443" t="s">
        <v>1755</v>
      </c>
      <c r="I1443" t="s">
        <v>4463</v>
      </c>
      <c r="M1443" t="s">
        <v>1757</v>
      </c>
    </row>
    <row r="1444" spans="1:13" x14ac:dyDescent="0.45">
      <c r="A1444" t="s">
        <v>4464</v>
      </c>
      <c r="B1444">
        <v>1</v>
      </c>
      <c r="C1444" t="s">
        <v>1774</v>
      </c>
      <c r="G1444" s="3">
        <v>1535.798628265047</v>
      </c>
      <c r="H1444" t="s">
        <v>1755</v>
      </c>
      <c r="I1444" t="s">
        <v>4464</v>
      </c>
      <c r="M1444" t="s">
        <v>1757</v>
      </c>
    </row>
    <row r="1445" spans="1:13" x14ac:dyDescent="0.45">
      <c r="A1445" t="s">
        <v>4465</v>
      </c>
      <c r="B1445">
        <v>1</v>
      </c>
      <c r="C1445" t="s">
        <v>1774</v>
      </c>
      <c r="G1445" s="3">
        <v>411.80830406893728</v>
      </c>
      <c r="H1445" t="s">
        <v>1755</v>
      </c>
      <c r="I1445" t="s">
        <v>4465</v>
      </c>
      <c r="M1445" t="s">
        <v>1757</v>
      </c>
    </row>
    <row r="1446" spans="1:13" x14ac:dyDescent="0.45">
      <c r="A1446" t="s">
        <v>4466</v>
      </c>
      <c r="B1446">
        <v>1</v>
      </c>
      <c r="C1446" t="s">
        <v>1774</v>
      </c>
      <c r="G1446" s="3">
        <v>314.7973295500023</v>
      </c>
      <c r="H1446" t="s">
        <v>1755</v>
      </c>
      <c r="I1446" t="s">
        <v>4466</v>
      </c>
      <c r="M1446" t="s">
        <v>1757</v>
      </c>
    </row>
    <row r="1447" spans="1:13" x14ac:dyDescent="0.45">
      <c r="A1447" t="s">
        <v>4467</v>
      </c>
      <c r="B1447">
        <v>1</v>
      </c>
      <c r="C1447" t="s">
        <v>1774</v>
      </c>
      <c r="G1447" s="3">
        <v>685.75030727700721</v>
      </c>
      <c r="H1447" t="s">
        <v>1755</v>
      </c>
      <c r="I1447" t="s">
        <v>4467</v>
      </c>
      <c r="M1447" t="s">
        <v>1757</v>
      </c>
    </row>
    <row r="1448" spans="1:13" x14ac:dyDescent="0.45">
      <c r="A1448" t="s">
        <v>4468</v>
      </c>
      <c r="B1448">
        <v>1</v>
      </c>
      <c r="C1448" t="s">
        <v>1774</v>
      </c>
      <c r="G1448" s="3">
        <v>711.18398161135883</v>
      </c>
      <c r="H1448" t="s">
        <v>1755</v>
      </c>
      <c r="I1448" t="s">
        <v>4468</v>
      </c>
      <c r="M1448" t="s">
        <v>1757</v>
      </c>
    </row>
    <row r="1449" spans="1:13" x14ac:dyDescent="0.45">
      <c r="A1449" t="s">
        <v>4469</v>
      </c>
      <c r="B1449">
        <v>2</v>
      </c>
      <c r="C1449" t="s">
        <v>1774</v>
      </c>
      <c r="G1449" s="3">
        <v>785.14320182240749</v>
      </c>
      <c r="H1449" t="s">
        <v>1755</v>
      </c>
      <c r="I1449" t="s">
        <v>4469</v>
      </c>
      <c r="M1449" t="s">
        <v>1757</v>
      </c>
    </row>
    <row r="1450" spans="1:13" x14ac:dyDescent="0.45">
      <c r="A1450" t="s">
        <v>4470</v>
      </c>
      <c r="B1450">
        <v>1</v>
      </c>
      <c r="C1450" t="s">
        <v>1774</v>
      </c>
      <c r="G1450" s="3">
        <v>445.793798627022</v>
      </c>
      <c r="H1450" t="s">
        <v>1755</v>
      </c>
      <c r="I1450" t="s">
        <v>4470</v>
      </c>
      <c r="M1450" t="s">
        <v>1757</v>
      </c>
    </row>
    <row r="1451" spans="1:13" x14ac:dyDescent="0.45">
      <c r="A1451" t="s">
        <v>4471</v>
      </c>
      <c r="B1451">
        <v>1</v>
      </c>
      <c r="C1451" t="s">
        <v>1774</v>
      </c>
      <c r="G1451" s="3">
        <v>644.3936785825241</v>
      </c>
      <c r="H1451" t="s">
        <v>1755</v>
      </c>
      <c r="I1451" t="s">
        <v>4471</v>
      </c>
      <c r="M1451" t="s">
        <v>1757</v>
      </c>
    </row>
    <row r="1452" spans="1:13" x14ac:dyDescent="0.45">
      <c r="A1452" t="s">
        <v>4472</v>
      </c>
      <c r="B1452">
        <v>1</v>
      </c>
      <c r="C1452" t="s">
        <v>1774</v>
      </c>
      <c r="G1452" s="3">
        <v>666.84302206076757</v>
      </c>
      <c r="H1452" t="s">
        <v>1755</v>
      </c>
      <c r="I1452" t="s">
        <v>4472</v>
      </c>
      <c r="M1452" t="s">
        <v>1757</v>
      </c>
    </row>
    <row r="1453" spans="1:13" x14ac:dyDescent="0.45">
      <c r="A1453" t="s">
        <v>4473</v>
      </c>
      <c r="B1453">
        <v>3</v>
      </c>
      <c r="C1453" t="s">
        <v>1774</v>
      </c>
      <c r="G1453" s="3">
        <v>5456.4005053744859</v>
      </c>
      <c r="H1453" t="s">
        <v>1755</v>
      </c>
      <c r="I1453" t="s">
        <v>4473</v>
      </c>
      <c r="M1453" t="s">
        <v>1757</v>
      </c>
    </row>
    <row r="1454" spans="1:13" x14ac:dyDescent="0.45">
      <c r="A1454" t="s">
        <v>4474</v>
      </c>
      <c r="B1454">
        <v>1</v>
      </c>
      <c r="C1454" t="s">
        <v>1774</v>
      </c>
      <c r="G1454" s="3">
        <v>2351.9299475343219</v>
      </c>
      <c r="H1454" t="s">
        <v>1755</v>
      </c>
      <c r="I1454" t="s">
        <v>4474</v>
      </c>
      <c r="M1454" t="s">
        <v>1757</v>
      </c>
    </row>
    <row r="1455" spans="1:13" x14ac:dyDescent="0.45">
      <c r="A1455" t="s">
        <v>4475</v>
      </c>
      <c r="B1455">
        <v>1</v>
      </c>
      <c r="C1455" t="s">
        <v>1774</v>
      </c>
      <c r="G1455" s="3">
        <v>4765.6339130081951</v>
      </c>
      <c r="H1455" t="s">
        <v>1755</v>
      </c>
      <c r="I1455" t="s">
        <v>4475</v>
      </c>
      <c r="M1455" t="s">
        <v>1757</v>
      </c>
    </row>
    <row r="1456" spans="1:13" x14ac:dyDescent="0.45">
      <c r="A1456" t="s">
        <v>4476</v>
      </c>
      <c r="B1456">
        <v>1</v>
      </c>
      <c r="C1456" t="s">
        <v>1774</v>
      </c>
      <c r="G1456" s="3">
        <v>1308.633972749112</v>
      </c>
      <c r="H1456" t="s">
        <v>1755</v>
      </c>
      <c r="I1456" t="s">
        <v>4476</v>
      </c>
      <c r="M1456" t="s">
        <v>1757</v>
      </c>
    </row>
    <row r="1457" spans="1:13" x14ac:dyDescent="0.45">
      <c r="A1457" t="s">
        <v>4477</v>
      </c>
      <c r="B1457">
        <v>1</v>
      </c>
      <c r="C1457" t="s">
        <v>1774</v>
      </c>
      <c r="G1457" s="3">
        <v>3965.0830839024488</v>
      </c>
      <c r="H1457" t="s">
        <v>1755</v>
      </c>
      <c r="I1457" t="s">
        <v>4477</v>
      </c>
      <c r="M1457" t="s">
        <v>1757</v>
      </c>
    </row>
    <row r="1458" spans="1:13" x14ac:dyDescent="0.45">
      <c r="A1458" t="s">
        <v>4478</v>
      </c>
      <c r="B1458">
        <v>2</v>
      </c>
      <c r="C1458" t="s">
        <v>1774</v>
      </c>
      <c r="G1458" s="3">
        <v>4155.2648677490824</v>
      </c>
      <c r="H1458" t="s">
        <v>1755</v>
      </c>
      <c r="I1458" t="s">
        <v>4478</v>
      </c>
      <c r="M1458" t="s">
        <v>1757</v>
      </c>
    </row>
    <row r="1459" spans="1:13" x14ac:dyDescent="0.45">
      <c r="A1459" t="s">
        <v>4479</v>
      </c>
      <c r="B1459">
        <v>1</v>
      </c>
      <c r="C1459" t="s">
        <v>1774</v>
      </c>
      <c r="G1459" s="3">
        <v>1483.8484404223241</v>
      </c>
      <c r="H1459" t="s">
        <v>1755</v>
      </c>
      <c r="I1459" t="s">
        <v>4479</v>
      </c>
      <c r="M1459" t="s">
        <v>1757</v>
      </c>
    </row>
    <row r="1460" spans="1:13" x14ac:dyDescent="0.45">
      <c r="A1460" t="s">
        <v>4480</v>
      </c>
      <c r="B1460">
        <v>1</v>
      </c>
      <c r="C1460" t="s">
        <v>1774</v>
      </c>
      <c r="G1460" s="3">
        <v>4510.3839318070723</v>
      </c>
      <c r="H1460" t="s">
        <v>1755</v>
      </c>
      <c r="I1460" t="s">
        <v>4480</v>
      </c>
      <c r="M1460" t="s">
        <v>1757</v>
      </c>
    </row>
    <row r="1461" spans="1:13" x14ac:dyDescent="0.45">
      <c r="A1461" t="s">
        <v>4481</v>
      </c>
      <c r="B1461">
        <v>1</v>
      </c>
      <c r="C1461" t="s">
        <v>1774</v>
      </c>
      <c r="G1461" s="3">
        <v>2306.9138442818571</v>
      </c>
      <c r="H1461" t="s">
        <v>1755</v>
      </c>
      <c r="I1461" t="s">
        <v>4481</v>
      </c>
      <c r="M1461" t="s">
        <v>1757</v>
      </c>
    </row>
    <row r="1462" spans="1:13" x14ac:dyDescent="0.45">
      <c r="A1462" t="s">
        <v>4482</v>
      </c>
      <c r="B1462">
        <v>2</v>
      </c>
      <c r="C1462" t="s">
        <v>1774</v>
      </c>
      <c r="G1462" s="3">
        <v>5201.3462179999924</v>
      </c>
      <c r="H1462" t="s">
        <v>1755</v>
      </c>
      <c r="I1462" t="s">
        <v>4482</v>
      </c>
      <c r="M1462" t="s">
        <v>1757</v>
      </c>
    </row>
    <row r="1463" spans="1:13" x14ac:dyDescent="0.45">
      <c r="A1463" t="s">
        <v>4483</v>
      </c>
      <c r="B1463">
        <v>1</v>
      </c>
      <c r="C1463" t="s">
        <v>1774</v>
      </c>
      <c r="G1463" s="3">
        <v>20547.851796154831</v>
      </c>
      <c r="H1463" t="s">
        <v>1755</v>
      </c>
      <c r="I1463" t="s">
        <v>4483</v>
      </c>
      <c r="M1463" t="s">
        <v>1757</v>
      </c>
    </row>
    <row r="1464" spans="1:13" x14ac:dyDescent="0.45">
      <c r="A1464" t="s">
        <v>4484</v>
      </c>
      <c r="B1464">
        <v>1</v>
      </c>
      <c r="C1464" t="s">
        <v>1774</v>
      </c>
      <c r="G1464" s="3">
        <v>16568.743988010559</v>
      </c>
      <c r="H1464" t="s">
        <v>1755</v>
      </c>
      <c r="I1464" t="s">
        <v>4484</v>
      </c>
      <c r="M1464" t="s">
        <v>1757</v>
      </c>
    </row>
    <row r="1465" spans="1:13" x14ac:dyDescent="0.45">
      <c r="A1465" t="s">
        <v>4485</v>
      </c>
      <c r="B1465">
        <v>1</v>
      </c>
      <c r="C1465" t="s">
        <v>1774</v>
      </c>
      <c r="G1465" s="3">
        <v>21692.660681940601</v>
      </c>
      <c r="H1465" t="s">
        <v>1755</v>
      </c>
      <c r="I1465" t="s">
        <v>4485</v>
      </c>
      <c r="M1465" t="s">
        <v>1757</v>
      </c>
    </row>
    <row r="1466" spans="1:13" x14ac:dyDescent="0.45">
      <c r="A1466" t="s">
        <v>4486</v>
      </c>
      <c r="B1466">
        <v>1</v>
      </c>
      <c r="C1466" t="s">
        <v>1774</v>
      </c>
      <c r="G1466" s="3">
        <v>22570.021337998642</v>
      </c>
      <c r="H1466" t="s">
        <v>1755</v>
      </c>
      <c r="I1466" t="s">
        <v>4486</v>
      </c>
      <c r="M1466" t="s">
        <v>1757</v>
      </c>
    </row>
    <row r="1467" spans="1:13" x14ac:dyDescent="0.45">
      <c r="A1467" t="s">
        <v>4487</v>
      </c>
      <c r="B1467">
        <v>1</v>
      </c>
      <c r="C1467" t="s">
        <v>1774</v>
      </c>
      <c r="G1467" s="3">
        <v>21526.32092930506</v>
      </c>
      <c r="H1467" t="s">
        <v>1755</v>
      </c>
      <c r="I1467" t="s">
        <v>4487</v>
      </c>
      <c r="M1467" t="s">
        <v>1757</v>
      </c>
    </row>
    <row r="1468" spans="1:13" x14ac:dyDescent="0.45">
      <c r="A1468" t="s">
        <v>4488</v>
      </c>
      <c r="B1468">
        <v>1</v>
      </c>
      <c r="C1468" t="s">
        <v>1774</v>
      </c>
      <c r="G1468" s="3">
        <v>20417.389245068131</v>
      </c>
      <c r="H1468" t="s">
        <v>1755</v>
      </c>
      <c r="I1468" t="s">
        <v>4488</v>
      </c>
      <c r="M1468" t="s">
        <v>1757</v>
      </c>
    </row>
    <row r="1469" spans="1:13" x14ac:dyDescent="0.45">
      <c r="A1469" t="s">
        <v>4489</v>
      </c>
      <c r="B1469">
        <v>1</v>
      </c>
      <c r="C1469" t="s">
        <v>1774</v>
      </c>
      <c r="G1469" s="3">
        <v>23157.102817888779</v>
      </c>
      <c r="H1469" t="s">
        <v>1755</v>
      </c>
      <c r="I1469" t="s">
        <v>4489</v>
      </c>
      <c r="M1469" t="s">
        <v>1757</v>
      </c>
    </row>
    <row r="1470" spans="1:13" x14ac:dyDescent="0.45">
      <c r="A1470" t="s">
        <v>4490</v>
      </c>
      <c r="B1470">
        <v>1</v>
      </c>
      <c r="C1470" t="s">
        <v>1774</v>
      </c>
      <c r="G1470" s="3">
        <v>22863.562077943709</v>
      </c>
      <c r="H1470" t="s">
        <v>1755</v>
      </c>
      <c r="I1470" t="s">
        <v>4490</v>
      </c>
      <c r="M1470" t="s">
        <v>1757</v>
      </c>
    </row>
    <row r="1471" spans="1:13" x14ac:dyDescent="0.45">
      <c r="A1471" t="s">
        <v>4491</v>
      </c>
      <c r="B1471">
        <v>1</v>
      </c>
      <c r="C1471" t="s">
        <v>1774</v>
      </c>
      <c r="G1471" s="3">
        <v>11676.398322259411</v>
      </c>
      <c r="H1471" t="s">
        <v>1755</v>
      </c>
      <c r="I1471" t="s">
        <v>4491</v>
      </c>
      <c r="M1471" t="s">
        <v>1757</v>
      </c>
    </row>
    <row r="1472" spans="1:13" x14ac:dyDescent="0.45">
      <c r="A1472" t="s">
        <v>4492</v>
      </c>
      <c r="B1472">
        <v>1</v>
      </c>
      <c r="C1472" t="s">
        <v>1774</v>
      </c>
      <c r="G1472" s="3">
        <v>21004.470724958272</v>
      </c>
      <c r="H1472" t="s">
        <v>1755</v>
      </c>
      <c r="I1472" t="s">
        <v>4492</v>
      </c>
      <c r="M1472" t="s">
        <v>1757</v>
      </c>
    </row>
    <row r="1473" spans="1:13" x14ac:dyDescent="0.45">
      <c r="A1473" t="s">
        <v>4493</v>
      </c>
      <c r="B1473">
        <v>1</v>
      </c>
      <c r="C1473" t="s">
        <v>1774</v>
      </c>
      <c r="G1473" s="3">
        <v>15916.431232577081</v>
      </c>
      <c r="H1473" t="s">
        <v>1755</v>
      </c>
      <c r="I1473" t="s">
        <v>4493</v>
      </c>
      <c r="M1473" t="s">
        <v>1757</v>
      </c>
    </row>
    <row r="1474" spans="1:13" x14ac:dyDescent="0.45">
      <c r="A1474" t="s">
        <v>4494</v>
      </c>
      <c r="B1474">
        <v>1</v>
      </c>
      <c r="C1474" t="s">
        <v>1774</v>
      </c>
      <c r="G1474" s="3">
        <v>20942.50101319209</v>
      </c>
      <c r="H1474" t="s">
        <v>1755</v>
      </c>
      <c r="I1474" t="s">
        <v>4494</v>
      </c>
      <c r="M1474" t="s">
        <v>1757</v>
      </c>
    </row>
    <row r="1475" spans="1:13" x14ac:dyDescent="0.45">
      <c r="A1475" t="s">
        <v>4495</v>
      </c>
      <c r="B1475">
        <v>1</v>
      </c>
      <c r="C1475" t="s">
        <v>1774</v>
      </c>
      <c r="G1475" s="3">
        <v>14774.883910568469</v>
      </c>
      <c r="H1475" t="s">
        <v>1755</v>
      </c>
      <c r="I1475" t="s">
        <v>4495</v>
      </c>
      <c r="M1475" t="s">
        <v>1757</v>
      </c>
    </row>
    <row r="1476" spans="1:13" x14ac:dyDescent="0.45">
      <c r="A1476" t="s">
        <v>4496</v>
      </c>
      <c r="B1476">
        <v>1</v>
      </c>
      <c r="C1476" t="s">
        <v>1774</v>
      </c>
      <c r="G1476" s="3">
        <v>17612.444396704141</v>
      </c>
      <c r="H1476" t="s">
        <v>1755</v>
      </c>
      <c r="I1476" t="s">
        <v>4496</v>
      </c>
      <c r="M1476" t="s">
        <v>1757</v>
      </c>
    </row>
    <row r="1477" spans="1:13" x14ac:dyDescent="0.45">
      <c r="A1477" t="s">
        <v>4497</v>
      </c>
      <c r="B1477">
        <v>1</v>
      </c>
      <c r="C1477" t="s">
        <v>1774</v>
      </c>
      <c r="G1477" s="3">
        <v>16568.743988010559</v>
      </c>
      <c r="H1477" t="s">
        <v>1755</v>
      </c>
      <c r="I1477" t="s">
        <v>4497</v>
      </c>
      <c r="M1477" t="s">
        <v>1757</v>
      </c>
    </row>
    <row r="1478" spans="1:13" x14ac:dyDescent="0.45">
      <c r="A1478" t="s">
        <v>4498</v>
      </c>
      <c r="B1478">
        <v>1</v>
      </c>
      <c r="C1478" t="s">
        <v>1774</v>
      </c>
      <c r="G1478" s="3">
        <v>23548.490471148871</v>
      </c>
      <c r="H1478" t="s">
        <v>1755</v>
      </c>
      <c r="I1478" t="s">
        <v>4498</v>
      </c>
      <c r="M1478" t="s">
        <v>1757</v>
      </c>
    </row>
    <row r="1479" spans="1:13" x14ac:dyDescent="0.45">
      <c r="A1479" t="s">
        <v>4499</v>
      </c>
      <c r="B1479">
        <v>1</v>
      </c>
      <c r="C1479" t="s">
        <v>1774</v>
      </c>
      <c r="G1479" s="3">
        <v>23124.487180117099</v>
      </c>
      <c r="H1479" t="s">
        <v>1755</v>
      </c>
      <c r="I1479" t="s">
        <v>4499</v>
      </c>
      <c r="M1479" t="s">
        <v>1757</v>
      </c>
    </row>
    <row r="1480" spans="1:13" x14ac:dyDescent="0.45">
      <c r="A1480" t="s">
        <v>4500</v>
      </c>
      <c r="B1480">
        <v>1</v>
      </c>
      <c r="C1480" t="s">
        <v>1774</v>
      </c>
      <c r="G1480" s="3">
        <v>19569.382663004599</v>
      </c>
      <c r="H1480" t="s">
        <v>1755</v>
      </c>
      <c r="I1480" t="s">
        <v>4500</v>
      </c>
      <c r="M1480" t="s">
        <v>1757</v>
      </c>
    </row>
    <row r="1481" spans="1:13" x14ac:dyDescent="0.45">
      <c r="A1481" t="s">
        <v>4501</v>
      </c>
      <c r="B1481">
        <v>1</v>
      </c>
      <c r="C1481" t="s">
        <v>1774</v>
      </c>
      <c r="G1481" s="3">
        <v>21200.164551588321</v>
      </c>
      <c r="H1481" t="s">
        <v>1755</v>
      </c>
      <c r="I1481" t="s">
        <v>4501</v>
      </c>
      <c r="M1481" t="s">
        <v>1757</v>
      </c>
    </row>
    <row r="1482" spans="1:13" x14ac:dyDescent="0.45">
      <c r="A1482" t="s">
        <v>4502</v>
      </c>
      <c r="B1482">
        <v>1</v>
      </c>
      <c r="C1482" t="s">
        <v>1774</v>
      </c>
      <c r="G1482" s="3">
        <v>21200.164551588321</v>
      </c>
      <c r="H1482" t="s">
        <v>1755</v>
      </c>
      <c r="I1482" t="s">
        <v>4502</v>
      </c>
      <c r="M1482" t="s">
        <v>1757</v>
      </c>
    </row>
    <row r="1483" spans="1:13" x14ac:dyDescent="0.45">
      <c r="A1483" t="s">
        <v>4503</v>
      </c>
      <c r="B1483">
        <v>1</v>
      </c>
      <c r="C1483" t="s">
        <v>1774</v>
      </c>
      <c r="G1483" s="3">
        <v>13829.03041518992</v>
      </c>
      <c r="H1483" t="s">
        <v>1755</v>
      </c>
      <c r="I1483" t="s">
        <v>4503</v>
      </c>
      <c r="M1483" t="s">
        <v>1757</v>
      </c>
    </row>
    <row r="1484" spans="1:13" x14ac:dyDescent="0.45">
      <c r="A1484" t="s">
        <v>4504</v>
      </c>
      <c r="B1484">
        <v>1</v>
      </c>
      <c r="C1484" t="s">
        <v>1774</v>
      </c>
      <c r="G1484" s="3">
        <v>25440.19746190598</v>
      </c>
      <c r="H1484" t="s">
        <v>1755</v>
      </c>
      <c r="I1484" t="s">
        <v>4504</v>
      </c>
      <c r="M1484" t="s">
        <v>1757</v>
      </c>
    </row>
    <row r="1485" spans="1:13" x14ac:dyDescent="0.45">
      <c r="A1485" t="s">
        <v>4505</v>
      </c>
      <c r="B1485">
        <v>1</v>
      </c>
      <c r="C1485" t="s">
        <v>1774</v>
      </c>
      <c r="G1485" s="3">
        <v>26190.357130654491</v>
      </c>
      <c r="H1485" t="s">
        <v>1755</v>
      </c>
      <c r="I1485" t="s">
        <v>4505</v>
      </c>
      <c r="M1485" t="s">
        <v>1757</v>
      </c>
    </row>
    <row r="1486" spans="1:13" x14ac:dyDescent="0.45">
      <c r="A1486" t="s">
        <v>4506</v>
      </c>
      <c r="B1486">
        <v>1</v>
      </c>
      <c r="C1486" t="s">
        <v>1774</v>
      </c>
      <c r="G1486" s="3">
        <v>22961.40899125873</v>
      </c>
      <c r="H1486" t="s">
        <v>1755</v>
      </c>
      <c r="I1486" t="s">
        <v>4506</v>
      </c>
      <c r="M1486" t="s">
        <v>1757</v>
      </c>
    </row>
    <row r="1487" spans="1:13" x14ac:dyDescent="0.45">
      <c r="A1487" t="s">
        <v>4507</v>
      </c>
      <c r="B1487">
        <v>1</v>
      </c>
      <c r="C1487" t="s">
        <v>1774</v>
      </c>
      <c r="G1487" s="3">
        <v>11024.085566825919</v>
      </c>
      <c r="H1487" t="s">
        <v>1755</v>
      </c>
      <c r="I1487" t="s">
        <v>4507</v>
      </c>
      <c r="M1487" t="s">
        <v>1757</v>
      </c>
    </row>
    <row r="1488" spans="1:13" x14ac:dyDescent="0.45">
      <c r="A1488" t="s">
        <v>4508</v>
      </c>
      <c r="B1488">
        <v>1</v>
      </c>
      <c r="C1488" t="s">
        <v>1774</v>
      </c>
      <c r="G1488" s="3">
        <v>21134.933276044969</v>
      </c>
      <c r="H1488" t="s">
        <v>1755</v>
      </c>
      <c r="I1488" t="s">
        <v>4508</v>
      </c>
      <c r="M1488" t="s">
        <v>1757</v>
      </c>
    </row>
    <row r="1489" spans="1:13" x14ac:dyDescent="0.45">
      <c r="A1489" t="s">
        <v>4509</v>
      </c>
      <c r="B1489">
        <v>1</v>
      </c>
      <c r="C1489" t="s">
        <v>1774</v>
      </c>
      <c r="G1489" s="3">
        <v>22896.177715715381</v>
      </c>
      <c r="H1489" t="s">
        <v>1755</v>
      </c>
      <c r="I1489" t="s">
        <v>4509</v>
      </c>
      <c r="M1489" t="s">
        <v>1757</v>
      </c>
    </row>
    <row r="1490" spans="1:13" x14ac:dyDescent="0.45">
      <c r="A1490" t="s">
        <v>4510</v>
      </c>
      <c r="B1490">
        <v>1</v>
      </c>
      <c r="C1490" t="s">
        <v>1774</v>
      </c>
      <c r="G1490" s="3">
        <v>22048.171133651849</v>
      </c>
      <c r="H1490" t="s">
        <v>1755</v>
      </c>
      <c r="I1490" t="s">
        <v>4510</v>
      </c>
      <c r="M1490" t="s">
        <v>1757</v>
      </c>
    </row>
    <row r="1491" spans="1:13" x14ac:dyDescent="0.45">
      <c r="A1491" t="s">
        <v>4511</v>
      </c>
      <c r="B1491">
        <v>1</v>
      </c>
      <c r="C1491" t="s">
        <v>1774</v>
      </c>
      <c r="G1491" s="3">
        <v>23809.415573322261</v>
      </c>
      <c r="H1491" t="s">
        <v>1755</v>
      </c>
      <c r="I1491" t="s">
        <v>4511</v>
      </c>
      <c r="M1491" t="s">
        <v>1757</v>
      </c>
    </row>
    <row r="1492" spans="1:13" x14ac:dyDescent="0.45">
      <c r="A1492" t="s">
        <v>4512</v>
      </c>
      <c r="B1492">
        <v>1</v>
      </c>
      <c r="C1492" t="s">
        <v>1774</v>
      </c>
      <c r="G1492" s="3">
        <v>22472.174424683621</v>
      </c>
      <c r="H1492" t="s">
        <v>1755</v>
      </c>
      <c r="I1492" t="s">
        <v>4512</v>
      </c>
      <c r="M1492" t="s">
        <v>1757</v>
      </c>
    </row>
    <row r="1493" spans="1:13" x14ac:dyDescent="0.45">
      <c r="A1493" t="s">
        <v>4513</v>
      </c>
      <c r="B1493">
        <v>1</v>
      </c>
      <c r="C1493" t="s">
        <v>1774</v>
      </c>
      <c r="G1493" s="3">
        <v>21868.785125907641</v>
      </c>
      <c r="H1493" t="s">
        <v>1755</v>
      </c>
      <c r="I1493" t="s">
        <v>4513</v>
      </c>
      <c r="M1493" t="s">
        <v>1757</v>
      </c>
    </row>
    <row r="1494" spans="1:13" x14ac:dyDescent="0.45">
      <c r="A1494" t="s">
        <v>4514</v>
      </c>
      <c r="B1494">
        <v>1</v>
      </c>
      <c r="C1494" t="s">
        <v>1774</v>
      </c>
      <c r="G1494" s="3">
        <v>11285.010668999321</v>
      </c>
      <c r="H1494" t="s">
        <v>1755</v>
      </c>
      <c r="I1494" t="s">
        <v>4514</v>
      </c>
      <c r="M1494" t="s">
        <v>1757</v>
      </c>
    </row>
    <row r="1495" spans="1:13" x14ac:dyDescent="0.45">
      <c r="A1495" t="s">
        <v>4515</v>
      </c>
      <c r="B1495">
        <v>1</v>
      </c>
      <c r="C1495" t="s">
        <v>1774</v>
      </c>
      <c r="G1495" s="3">
        <v>21144.717967376469</v>
      </c>
      <c r="H1495" t="s">
        <v>1755</v>
      </c>
      <c r="I1495" t="s">
        <v>4515</v>
      </c>
      <c r="M1495" t="s">
        <v>1757</v>
      </c>
    </row>
    <row r="1496" spans="1:13" x14ac:dyDescent="0.45">
      <c r="A1496" t="s">
        <v>4516</v>
      </c>
      <c r="B1496">
        <v>1</v>
      </c>
      <c r="C1496" t="s">
        <v>1774</v>
      </c>
      <c r="G1496" s="3">
        <v>19047.53245865781</v>
      </c>
      <c r="H1496" t="s">
        <v>1755</v>
      </c>
      <c r="I1496" t="s">
        <v>4516</v>
      </c>
      <c r="M1496" t="s">
        <v>1757</v>
      </c>
    </row>
    <row r="1497" spans="1:13" x14ac:dyDescent="0.45">
      <c r="A1497" t="s">
        <v>4517</v>
      </c>
      <c r="B1497">
        <v>1</v>
      </c>
      <c r="C1497" t="s">
        <v>1774</v>
      </c>
      <c r="G1497" s="3">
        <v>13535.489675244849</v>
      </c>
      <c r="H1497" t="s">
        <v>1755</v>
      </c>
      <c r="I1497" t="s">
        <v>4517</v>
      </c>
      <c r="M1497" t="s">
        <v>1757</v>
      </c>
    </row>
    <row r="1498" spans="1:13" x14ac:dyDescent="0.45">
      <c r="A1498" t="s">
        <v>4518</v>
      </c>
      <c r="B1498">
        <v>1</v>
      </c>
      <c r="C1498" t="s">
        <v>1774</v>
      </c>
      <c r="G1498" s="3">
        <v>3153.9321725209079</v>
      </c>
      <c r="H1498" t="s">
        <v>1755</v>
      </c>
      <c r="I1498" t="s">
        <v>4518</v>
      </c>
      <c r="M1498" t="s">
        <v>1757</v>
      </c>
    </row>
    <row r="1499" spans="1:13" x14ac:dyDescent="0.45">
      <c r="A1499" t="s">
        <v>4519</v>
      </c>
      <c r="B1499">
        <v>1</v>
      </c>
      <c r="C1499" t="s">
        <v>1774</v>
      </c>
      <c r="G1499" s="3">
        <v>19275.841923059528</v>
      </c>
      <c r="H1499" t="s">
        <v>1755</v>
      </c>
      <c r="I1499" t="s">
        <v>4519</v>
      </c>
      <c r="M1499" t="s">
        <v>1757</v>
      </c>
    </row>
    <row r="1500" spans="1:13" x14ac:dyDescent="0.45">
      <c r="A1500" t="s">
        <v>4520</v>
      </c>
      <c r="B1500">
        <v>1</v>
      </c>
      <c r="C1500" t="s">
        <v>1774</v>
      </c>
      <c r="G1500" s="3">
        <v>14057.33987959164</v>
      </c>
      <c r="H1500" t="s">
        <v>1755</v>
      </c>
      <c r="I1500" t="s">
        <v>4520</v>
      </c>
      <c r="M1500" t="s">
        <v>1757</v>
      </c>
    </row>
    <row r="1501" spans="1:13" x14ac:dyDescent="0.45">
      <c r="A1501" t="s">
        <v>4521</v>
      </c>
      <c r="B1501">
        <v>1</v>
      </c>
      <c r="C1501" t="s">
        <v>1774</v>
      </c>
      <c r="G1501" s="3">
        <v>15981.66250812042</v>
      </c>
      <c r="H1501" t="s">
        <v>1755</v>
      </c>
      <c r="I1501" t="s">
        <v>4521</v>
      </c>
      <c r="M1501" t="s">
        <v>1757</v>
      </c>
    </row>
    <row r="1502" spans="1:13" x14ac:dyDescent="0.45">
      <c r="A1502" t="s">
        <v>4522</v>
      </c>
      <c r="B1502">
        <v>1</v>
      </c>
      <c r="C1502" t="s">
        <v>1774</v>
      </c>
      <c r="G1502" s="3">
        <v>10078.23207144737</v>
      </c>
      <c r="H1502" t="s">
        <v>1755</v>
      </c>
      <c r="I1502" t="s">
        <v>4522</v>
      </c>
      <c r="M1502" t="s">
        <v>1757</v>
      </c>
    </row>
    <row r="1503" spans="1:13" x14ac:dyDescent="0.45">
      <c r="A1503" t="s">
        <v>4523</v>
      </c>
      <c r="B1503">
        <v>1</v>
      </c>
      <c r="C1503" t="s">
        <v>1774</v>
      </c>
      <c r="G1503" s="3">
        <v>21885.09294479348</v>
      </c>
      <c r="H1503" t="s">
        <v>1755</v>
      </c>
      <c r="I1503" t="s">
        <v>4523</v>
      </c>
      <c r="M1503" t="s">
        <v>1757</v>
      </c>
    </row>
    <row r="1504" spans="1:13" x14ac:dyDescent="0.45">
      <c r="A1504" t="s">
        <v>4524</v>
      </c>
      <c r="B1504">
        <v>1</v>
      </c>
      <c r="C1504" t="s">
        <v>1774</v>
      </c>
      <c r="G1504" s="3">
        <v>25146.65672196091</v>
      </c>
      <c r="H1504" t="s">
        <v>1755</v>
      </c>
      <c r="I1504" t="s">
        <v>4524</v>
      </c>
      <c r="M1504" t="s">
        <v>1757</v>
      </c>
    </row>
    <row r="1505" spans="1:13" x14ac:dyDescent="0.45">
      <c r="A1505" t="s">
        <v>4525</v>
      </c>
      <c r="B1505">
        <v>1</v>
      </c>
      <c r="C1505" t="s">
        <v>1774</v>
      </c>
      <c r="G1505" s="3">
        <v>22863.562077943709</v>
      </c>
      <c r="H1505" t="s">
        <v>1755</v>
      </c>
      <c r="I1505" t="s">
        <v>4525</v>
      </c>
      <c r="M1505" t="s">
        <v>1757</v>
      </c>
    </row>
    <row r="1506" spans="1:13" x14ac:dyDescent="0.45">
      <c r="A1506" t="s">
        <v>4526</v>
      </c>
      <c r="B1506">
        <v>1</v>
      </c>
      <c r="C1506" t="s">
        <v>1774</v>
      </c>
      <c r="G1506" s="3">
        <v>14383.496257308379</v>
      </c>
      <c r="H1506" t="s">
        <v>1755</v>
      </c>
      <c r="I1506" t="s">
        <v>4526</v>
      </c>
      <c r="M1506" t="s">
        <v>1757</v>
      </c>
    </row>
    <row r="1507" spans="1:13" x14ac:dyDescent="0.45">
      <c r="A1507" t="s">
        <v>4527</v>
      </c>
      <c r="B1507">
        <v>1</v>
      </c>
      <c r="C1507" t="s">
        <v>1774</v>
      </c>
      <c r="G1507" s="3">
        <v>23809.415573322261</v>
      </c>
      <c r="H1507" t="s">
        <v>1755</v>
      </c>
      <c r="I1507" t="s">
        <v>4527</v>
      </c>
      <c r="M1507" t="s">
        <v>1757</v>
      </c>
    </row>
    <row r="1508" spans="1:13" x14ac:dyDescent="0.45">
      <c r="A1508" t="s">
        <v>4528</v>
      </c>
      <c r="B1508">
        <v>1</v>
      </c>
      <c r="C1508" t="s">
        <v>1774</v>
      </c>
      <c r="G1508" s="3">
        <v>10828.391740195881</v>
      </c>
      <c r="H1508" t="s">
        <v>1755</v>
      </c>
      <c r="I1508" t="s">
        <v>4528</v>
      </c>
      <c r="M1508" t="s">
        <v>1757</v>
      </c>
    </row>
    <row r="1509" spans="1:13" x14ac:dyDescent="0.45">
      <c r="A1509" t="s">
        <v>4529</v>
      </c>
      <c r="B1509">
        <v>1</v>
      </c>
      <c r="C1509" t="s">
        <v>1774</v>
      </c>
      <c r="G1509" s="3">
        <v>23483.259195605518</v>
      </c>
      <c r="H1509" t="s">
        <v>1755</v>
      </c>
      <c r="I1509" t="s">
        <v>4529</v>
      </c>
      <c r="M1509" t="s">
        <v>1757</v>
      </c>
    </row>
    <row r="1510" spans="1:13" x14ac:dyDescent="0.45">
      <c r="A1510" t="s">
        <v>4530</v>
      </c>
      <c r="B1510">
        <v>1</v>
      </c>
      <c r="C1510" t="s">
        <v>1774</v>
      </c>
      <c r="G1510" s="3">
        <v>21526.32092930506</v>
      </c>
      <c r="H1510" t="s">
        <v>1755</v>
      </c>
      <c r="I1510" t="s">
        <v>4530</v>
      </c>
      <c r="M1510" t="s">
        <v>1757</v>
      </c>
    </row>
    <row r="1511" spans="1:13" x14ac:dyDescent="0.45">
      <c r="A1511" t="s">
        <v>4531</v>
      </c>
      <c r="B1511">
        <v>1</v>
      </c>
      <c r="C1511" t="s">
        <v>1774</v>
      </c>
      <c r="G1511" s="3">
        <v>8936.6847494387675</v>
      </c>
      <c r="H1511" t="s">
        <v>1755</v>
      </c>
      <c r="I1511" t="s">
        <v>4531</v>
      </c>
      <c r="M1511" t="s">
        <v>1757</v>
      </c>
    </row>
    <row r="1512" spans="1:13" x14ac:dyDescent="0.45">
      <c r="A1512" t="s">
        <v>4532</v>
      </c>
      <c r="B1512">
        <v>1</v>
      </c>
      <c r="C1512" t="s">
        <v>1774</v>
      </c>
      <c r="G1512" s="3">
        <v>19960.77031626469</v>
      </c>
      <c r="H1512" t="s">
        <v>1755</v>
      </c>
      <c r="I1512" t="s">
        <v>4532</v>
      </c>
      <c r="M1512" t="s">
        <v>1757</v>
      </c>
    </row>
    <row r="1513" spans="1:13" x14ac:dyDescent="0.45">
      <c r="A1513" t="s">
        <v>4533</v>
      </c>
      <c r="B1513">
        <v>1</v>
      </c>
      <c r="C1513" t="s">
        <v>1774</v>
      </c>
      <c r="G1513" s="3">
        <v>15231.502839371909</v>
      </c>
      <c r="H1513" t="s">
        <v>1755</v>
      </c>
      <c r="I1513" t="s">
        <v>4533</v>
      </c>
      <c r="M1513" t="s">
        <v>1757</v>
      </c>
    </row>
    <row r="1514" spans="1:13" x14ac:dyDescent="0.45">
      <c r="A1514" t="s">
        <v>4534</v>
      </c>
      <c r="B1514">
        <v>1</v>
      </c>
      <c r="C1514" t="s">
        <v>1774</v>
      </c>
      <c r="G1514" s="3">
        <v>15003.193374970189</v>
      </c>
      <c r="H1514" t="s">
        <v>1755</v>
      </c>
      <c r="I1514" t="s">
        <v>4534</v>
      </c>
      <c r="M1514" t="s">
        <v>1757</v>
      </c>
    </row>
    <row r="1515" spans="1:13" x14ac:dyDescent="0.45">
      <c r="A1515" t="s">
        <v>4535</v>
      </c>
      <c r="B1515">
        <v>1</v>
      </c>
      <c r="C1515" t="s">
        <v>1774</v>
      </c>
      <c r="G1515" s="3">
        <v>12589.636179866289</v>
      </c>
      <c r="H1515" t="s">
        <v>1755</v>
      </c>
      <c r="I1515" t="s">
        <v>4535</v>
      </c>
      <c r="M1515" t="s">
        <v>1757</v>
      </c>
    </row>
    <row r="1516" spans="1:13" x14ac:dyDescent="0.45">
      <c r="A1516" t="s">
        <v>4536</v>
      </c>
      <c r="B1516">
        <v>1</v>
      </c>
      <c r="C1516" t="s">
        <v>1774</v>
      </c>
      <c r="G1516" s="3">
        <v>21656.783480391761</v>
      </c>
      <c r="H1516" t="s">
        <v>1755</v>
      </c>
      <c r="I1516" t="s">
        <v>4536</v>
      </c>
      <c r="M1516" t="s">
        <v>1757</v>
      </c>
    </row>
    <row r="1517" spans="1:13" x14ac:dyDescent="0.45">
      <c r="A1517" t="s">
        <v>4537</v>
      </c>
      <c r="B1517">
        <v>1</v>
      </c>
      <c r="C1517" t="s">
        <v>1774</v>
      </c>
      <c r="G1517" s="3">
        <v>22961.40899125873</v>
      </c>
      <c r="H1517" t="s">
        <v>1755</v>
      </c>
      <c r="I1517" t="s">
        <v>4537</v>
      </c>
      <c r="M1517" t="s">
        <v>1757</v>
      </c>
    </row>
    <row r="1518" spans="1:13" x14ac:dyDescent="0.45">
      <c r="A1518" t="s">
        <v>4538</v>
      </c>
      <c r="B1518">
        <v>1</v>
      </c>
      <c r="C1518" t="s">
        <v>1774</v>
      </c>
      <c r="G1518" s="3">
        <v>19275.841923059528</v>
      </c>
      <c r="H1518" t="s">
        <v>1755</v>
      </c>
      <c r="I1518" t="s">
        <v>4538</v>
      </c>
      <c r="M1518" t="s">
        <v>1757</v>
      </c>
    </row>
    <row r="1519" spans="1:13" x14ac:dyDescent="0.45">
      <c r="A1519" t="s">
        <v>4539</v>
      </c>
      <c r="B1519">
        <v>1</v>
      </c>
      <c r="C1519" t="s">
        <v>1774</v>
      </c>
      <c r="G1519" s="3">
        <v>19895.539040721342</v>
      </c>
      <c r="H1519" t="s">
        <v>1755</v>
      </c>
      <c r="I1519" t="s">
        <v>4539</v>
      </c>
      <c r="M1519" t="s">
        <v>1757</v>
      </c>
    </row>
    <row r="1520" spans="1:13" x14ac:dyDescent="0.45">
      <c r="A1520" t="s">
        <v>4540</v>
      </c>
      <c r="B1520">
        <v>1</v>
      </c>
      <c r="C1520" t="s">
        <v>1774</v>
      </c>
      <c r="G1520" s="3">
        <v>12524.404904322941</v>
      </c>
      <c r="H1520" t="s">
        <v>1755</v>
      </c>
      <c r="I1520" t="s">
        <v>4540</v>
      </c>
      <c r="M1520" t="s">
        <v>1757</v>
      </c>
    </row>
    <row r="1521" spans="1:13" x14ac:dyDescent="0.45">
      <c r="A1521" t="s">
        <v>4541</v>
      </c>
      <c r="B1521">
        <v>2</v>
      </c>
      <c r="C1521" t="s">
        <v>1774</v>
      </c>
      <c r="G1521" s="3">
        <v>3979.1078081442688</v>
      </c>
      <c r="H1521" t="s">
        <v>1755</v>
      </c>
      <c r="I1521" t="s">
        <v>4541</v>
      </c>
      <c r="M1521" t="s">
        <v>1757</v>
      </c>
    </row>
    <row r="1522" spans="1:13" x14ac:dyDescent="0.45">
      <c r="A1522" t="s">
        <v>4542</v>
      </c>
      <c r="B1522">
        <v>1</v>
      </c>
      <c r="C1522" t="s">
        <v>1774</v>
      </c>
      <c r="G1522" s="3">
        <v>10208.694622534071</v>
      </c>
      <c r="H1522" t="s">
        <v>1755</v>
      </c>
      <c r="I1522" t="s">
        <v>4542</v>
      </c>
      <c r="M1522" t="s">
        <v>1757</v>
      </c>
    </row>
    <row r="1523" spans="1:13" x14ac:dyDescent="0.45">
      <c r="A1523" t="s">
        <v>4543</v>
      </c>
      <c r="B1523">
        <v>1</v>
      </c>
      <c r="C1523" t="s">
        <v>1774</v>
      </c>
      <c r="G1523" s="3">
        <v>15003.193374970189</v>
      </c>
      <c r="H1523" t="s">
        <v>1755</v>
      </c>
      <c r="I1523" t="s">
        <v>4543</v>
      </c>
      <c r="M1523" t="s">
        <v>1757</v>
      </c>
    </row>
    <row r="1524" spans="1:13" x14ac:dyDescent="0.45">
      <c r="A1524" t="s">
        <v>4544</v>
      </c>
      <c r="B1524">
        <v>1</v>
      </c>
      <c r="C1524" t="s">
        <v>1774</v>
      </c>
      <c r="G1524" s="3">
        <v>16699.20653909726</v>
      </c>
      <c r="H1524" t="s">
        <v>1755</v>
      </c>
      <c r="I1524" t="s">
        <v>4544</v>
      </c>
      <c r="M1524" t="s">
        <v>1757</v>
      </c>
    </row>
    <row r="1525" spans="1:13" x14ac:dyDescent="0.45">
      <c r="A1525" t="s">
        <v>4545</v>
      </c>
      <c r="B1525">
        <v>1</v>
      </c>
      <c r="C1525" t="s">
        <v>1774</v>
      </c>
      <c r="G1525" s="3">
        <v>21526.32092930506</v>
      </c>
      <c r="H1525" t="s">
        <v>1755</v>
      </c>
      <c r="I1525" t="s">
        <v>4545</v>
      </c>
      <c r="M1525" t="s">
        <v>1757</v>
      </c>
    </row>
    <row r="1526" spans="1:13" x14ac:dyDescent="0.45">
      <c r="A1526" t="s">
        <v>4546</v>
      </c>
      <c r="B1526">
        <v>1</v>
      </c>
      <c r="C1526" t="s">
        <v>1774</v>
      </c>
      <c r="G1526" s="3">
        <v>22667.868251313659</v>
      </c>
      <c r="H1526" t="s">
        <v>1755</v>
      </c>
      <c r="I1526" t="s">
        <v>4546</v>
      </c>
      <c r="M1526" t="s">
        <v>1757</v>
      </c>
    </row>
    <row r="1527" spans="1:13" x14ac:dyDescent="0.45">
      <c r="A1527" t="s">
        <v>4547</v>
      </c>
      <c r="B1527">
        <v>1</v>
      </c>
      <c r="C1527" t="s">
        <v>1774</v>
      </c>
      <c r="G1527" s="3">
        <v>21526.32092930506</v>
      </c>
      <c r="H1527" t="s">
        <v>1755</v>
      </c>
      <c r="I1527" t="s">
        <v>4547</v>
      </c>
      <c r="M1527" t="s">
        <v>1757</v>
      </c>
    </row>
    <row r="1528" spans="1:13" x14ac:dyDescent="0.45">
      <c r="A1528" t="s">
        <v>4548</v>
      </c>
      <c r="B1528">
        <v>1</v>
      </c>
      <c r="C1528" t="s">
        <v>1774</v>
      </c>
      <c r="G1528" s="3">
        <v>10078.23207144737</v>
      </c>
      <c r="H1528" t="s">
        <v>1755</v>
      </c>
      <c r="I1528" t="s">
        <v>4548</v>
      </c>
      <c r="M1528" t="s">
        <v>1757</v>
      </c>
    </row>
    <row r="1529" spans="1:13" x14ac:dyDescent="0.45">
      <c r="A1529" t="s">
        <v>4549</v>
      </c>
      <c r="B1529">
        <v>1</v>
      </c>
      <c r="C1529" t="s">
        <v>1774</v>
      </c>
      <c r="G1529" s="3">
        <v>22830.946440172029</v>
      </c>
      <c r="H1529" t="s">
        <v>1755</v>
      </c>
      <c r="I1529" t="s">
        <v>4549</v>
      </c>
      <c r="M1529" t="s">
        <v>1757</v>
      </c>
    </row>
    <row r="1530" spans="1:13" x14ac:dyDescent="0.45">
      <c r="A1530" t="s">
        <v>4550</v>
      </c>
      <c r="B1530">
        <v>1</v>
      </c>
      <c r="C1530" t="s">
        <v>1774</v>
      </c>
      <c r="G1530" s="3">
        <v>19862.923402949669</v>
      </c>
      <c r="H1530" t="s">
        <v>1755</v>
      </c>
      <c r="I1530" t="s">
        <v>4550</v>
      </c>
      <c r="M1530" t="s">
        <v>1757</v>
      </c>
    </row>
    <row r="1531" spans="1:13" x14ac:dyDescent="0.45">
      <c r="A1531" t="s">
        <v>4551</v>
      </c>
      <c r="B1531">
        <v>1</v>
      </c>
      <c r="C1531" t="s">
        <v>1774</v>
      </c>
      <c r="G1531" s="3">
        <v>23581.10610892054</v>
      </c>
      <c r="H1531" t="s">
        <v>1755</v>
      </c>
      <c r="I1531" t="s">
        <v>4551</v>
      </c>
      <c r="M1531" t="s">
        <v>1757</v>
      </c>
    </row>
    <row r="1532" spans="1:13" x14ac:dyDescent="0.45">
      <c r="A1532" t="s">
        <v>4552</v>
      </c>
      <c r="B1532">
        <v>1</v>
      </c>
      <c r="C1532" t="s">
        <v>1774</v>
      </c>
      <c r="G1532" s="3">
        <v>21134.933276044969</v>
      </c>
      <c r="H1532" t="s">
        <v>1755</v>
      </c>
      <c r="I1532" t="s">
        <v>4552</v>
      </c>
      <c r="M1532" t="s">
        <v>1757</v>
      </c>
    </row>
    <row r="1533" spans="1:13" x14ac:dyDescent="0.45">
      <c r="A1533" t="s">
        <v>4553</v>
      </c>
      <c r="B1533">
        <v>1</v>
      </c>
      <c r="C1533" t="s">
        <v>1774</v>
      </c>
      <c r="G1533" s="3">
        <v>18134.294601050929</v>
      </c>
      <c r="H1533" t="s">
        <v>1755</v>
      </c>
      <c r="I1533" t="s">
        <v>4553</v>
      </c>
      <c r="M1533" t="s">
        <v>1757</v>
      </c>
    </row>
    <row r="1534" spans="1:13" x14ac:dyDescent="0.45">
      <c r="A1534" t="s">
        <v>4554</v>
      </c>
      <c r="B1534">
        <v>2</v>
      </c>
      <c r="C1534" t="s">
        <v>1774</v>
      </c>
      <c r="G1534" s="3">
        <v>26875.285523859649</v>
      </c>
      <c r="H1534" t="s">
        <v>1755</v>
      </c>
      <c r="I1534" t="s">
        <v>4554</v>
      </c>
      <c r="M1534" t="s">
        <v>1757</v>
      </c>
    </row>
    <row r="1535" spans="1:13" x14ac:dyDescent="0.45">
      <c r="A1535" t="s">
        <v>4555</v>
      </c>
      <c r="B1535">
        <v>1</v>
      </c>
      <c r="C1535" t="s">
        <v>1774</v>
      </c>
      <c r="G1535" s="3">
        <v>14807.499548340151</v>
      </c>
      <c r="H1535" t="s">
        <v>1755</v>
      </c>
      <c r="I1535" t="s">
        <v>4555</v>
      </c>
      <c r="M1535" t="s">
        <v>1757</v>
      </c>
    </row>
    <row r="1536" spans="1:13" x14ac:dyDescent="0.45">
      <c r="A1536" t="s">
        <v>4556</v>
      </c>
      <c r="B1536">
        <v>1</v>
      </c>
      <c r="C1536" t="s">
        <v>1774</v>
      </c>
      <c r="G1536" s="3">
        <v>12393.942353236251</v>
      </c>
      <c r="H1536" t="s">
        <v>1755</v>
      </c>
      <c r="I1536" t="s">
        <v>4556</v>
      </c>
      <c r="M1536" t="s">
        <v>1757</v>
      </c>
    </row>
    <row r="1537" spans="1:13" x14ac:dyDescent="0.45">
      <c r="A1537" t="s">
        <v>4557</v>
      </c>
      <c r="B1537">
        <v>1</v>
      </c>
      <c r="C1537" t="s">
        <v>1774</v>
      </c>
      <c r="G1537" s="3">
        <v>21656.783480391761</v>
      </c>
      <c r="H1537" t="s">
        <v>1755</v>
      </c>
      <c r="I1537" t="s">
        <v>4557</v>
      </c>
      <c r="M1537" t="s">
        <v>1757</v>
      </c>
    </row>
    <row r="1538" spans="1:13" x14ac:dyDescent="0.45">
      <c r="A1538" t="s">
        <v>4558</v>
      </c>
      <c r="B1538">
        <v>1</v>
      </c>
      <c r="C1538" t="s">
        <v>1774</v>
      </c>
      <c r="G1538" s="3">
        <v>20482.620520611479</v>
      </c>
      <c r="H1538" t="s">
        <v>1755</v>
      </c>
      <c r="I1538" t="s">
        <v>4558</v>
      </c>
      <c r="M1538" t="s">
        <v>1757</v>
      </c>
    </row>
    <row r="1539" spans="1:13" x14ac:dyDescent="0.45">
      <c r="A1539" t="s">
        <v>4559</v>
      </c>
      <c r="B1539">
        <v>1</v>
      </c>
      <c r="C1539" t="s">
        <v>1774</v>
      </c>
      <c r="G1539" s="3">
        <v>19471.535749689581</v>
      </c>
      <c r="H1539" t="s">
        <v>1755</v>
      </c>
      <c r="I1539" t="s">
        <v>4559</v>
      </c>
      <c r="M1539" t="s">
        <v>1757</v>
      </c>
    </row>
    <row r="1540" spans="1:13" x14ac:dyDescent="0.45">
      <c r="A1540" t="s">
        <v>4560</v>
      </c>
      <c r="B1540">
        <v>1</v>
      </c>
      <c r="C1540" t="s">
        <v>1774</v>
      </c>
      <c r="G1540" s="3">
        <v>18656.144805397718</v>
      </c>
      <c r="H1540" t="s">
        <v>1755</v>
      </c>
      <c r="I1540" t="s">
        <v>4560</v>
      </c>
      <c r="M1540" t="s">
        <v>1757</v>
      </c>
    </row>
    <row r="1541" spans="1:13" x14ac:dyDescent="0.45">
      <c r="A1541" t="s">
        <v>4561</v>
      </c>
      <c r="B1541">
        <v>1</v>
      </c>
      <c r="C1541" t="s">
        <v>1774</v>
      </c>
      <c r="G1541" s="3">
        <v>16536.128350238891</v>
      </c>
      <c r="H1541" t="s">
        <v>1755</v>
      </c>
      <c r="I1541" t="s">
        <v>4561</v>
      </c>
      <c r="M1541" t="s">
        <v>1757</v>
      </c>
    </row>
    <row r="1542" spans="1:13" x14ac:dyDescent="0.45">
      <c r="A1542" t="s">
        <v>4562</v>
      </c>
      <c r="B1542">
        <v>1</v>
      </c>
      <c r="C1542" t="s">
        <v>1774</v>
      </c>
      <c r="G1542" s="3">
        <v>25048.809808645889</v>
      </c>
      <c r="H1542" t="s">
        <v>1755</v>
      </c>
      <c r="I1542" t="s">
        <v>4562</v>
      </c>
      <c r="M1542" t="s">
        <v>1757</v>
      </c>
    </row>
    <row r="1543" spans="1:13" x14ac:dyDescent="0.45">
      <c r="A1543" t="s">
        <v>4563</v>
      </c>
      <c r="B1543">
        <v>1</v>
      </c>
      <c r="C1543" t="s">
        <v>1774</v>
      </c>
      <c r="G1543" s="3">
        <v>23483.259195605518</v>
      </c>
      <c r="H1543" t="s">
        <v>1755</v>
      </c>
      <c r="I1543" t="s">
        <v>4563</v>
      </c>
      <c r="M1543" t="s">
        <v>1757</v>
      </c>
    </row>
    <row r="1544" spans="1:13" x14ac:dyDescent="0.45">
      <c r="A1544" t="s">
        <v>4564</v>
      </c>
      <c r="B1544">
        <v>1</v>
      </c>
      <c r="C1544" t="s">
        <v>1774</v>
      </c>
      <c r="G1544" s="3">
        <v>22570.021337998642</v>
      </c>
      <c r="H1544" t="s">
        <v>1755</v>
      </c>
      <c r="I1544" t="s">
        <v>4564</v>
      </c>
      <c r="M1544" t="s">
        <v>1757</v>
      </c>
    </row>
    <row r="1545" spans="1:13" x14ac:dyDescent="0.45">
      <c r="A1545" t="s">
        <v>4565</v>
      </c>
      <c r="B1545">
        <v>1</v>
      </c>
      <c r="C1545" t="s">
        <v>1774</v>
      </c>
      <c r="G1545" s="3">
        <v>22504.790062455289</v>
      </c>
      <c r="H1545" t="s">
        <v>1755</v>
      </c>
      <c r="I1545" t="s">
        <v>4565</v>
      </c>
      <c r="M1545" t="s">
        <v>1757</v>
      </c>
    </row>
    <row r="1546" spans="1:13" x14ac:dyDescent="0.45">
      <c r="A1546" t="s">
        <v>4566</v>
      </c>
      <c r="B1546">
        <v>1</v>
      </c>
      <c r="C1546" t="s">
        <v>1774</v>
      </c>
      <c r="G1546" s="3">
        <v>23124.487180117099</v>
      </c>
      <c r="H1546" t="s">
        <v>1755</v>
      </c>
      <c r="I1546" t="s">
        <v>4566</v>
      </c>
      <c r="M1546" t="s">
        <v>1757</v>
      </c>
    </row>
    <row r="1547" spans="1:13" x14ac:dyDescent="0.45">
      <c r="A1547" t="s">
        <v>4567</v>
      </c>
      <c r="B1547">
        <v>1</v>
      </c>
      <c r="C1547" t="s">
        <v>1774</v>
      </c>
      <c r="G1547" s="3">
        <v>22178.63368473855</v>
      </c>
      <c r="H1547" t="s">
        <v>1755</v>
      </c>
      <c r="I1547" t="s">
        <v>4567</v>
      </c>
      <c r="M1547" t="s">
        <v>1757</v>
      </c>
    </row>
    <row r="1548" spans="1:13" x14ac:dyDescent="0.45">
      <c r="A1548" t="s">
        <v>4568</v>
      </c>
      <c r="B1548">
        <v>1</v>
      </c>
      <c r="C1548" t="s">
        <v>1774</v>
      </c>
      <c r="G1548" s="3">
        <v>9686.8444181872765</v>
      </c>
      <c r="H1548" t="s">
        <v>1755</v>
      </c>
      <c r="I1548" t="s">
        <v>4568</v>
      </c>
      <c r="M1548" t="s">
        <v>1757</v>
      </c>
    </row>
    <row r="1549" spans="1:13" x14ac:dyDescent="0.45">
      <c r="A1549" t="s">
        <v>4569</v>
      </c>
      <c r="B1549">
        <v>1</v>
      </c>
      <c r="C1549" t="s">
        <v>1774</v>
      </c>
      <c r="G1549" s="3">
        <v>24396.497053212399</v>
      </c>
      <c r="H1549" t="s">
        <v>1755</v>
      </c>
      <c r="I1549" t="s">
        <v>4569</v>
      </c>
      <c r="M1549" t="s">
        <v>1757</v>
      </c>
    </row>
    <row r="1550" spans="1:13" x14ac:dyDescent="0.45">
      <c r="A1550" t="s">
        <v>4570</v>
      </c>
      <c r="B1550">
        <v>1</v>
      </c>
      <c r="C1550" t="s">
        <v>1774</v>
      </c>
      <c r="G1550" s="3">
        <v>21428.474015990039</v>
      </c>
      <c r="H1550" t="s">
        <v>1755</v>
      </c>
      <c r="I1550" t="s">
        <v>4570</v>
      </c>
      <c r="M1550" t="s">
        <v>1757</v>
      </c>
    </row>
    <row r="1551" spans="1:13" x14ac:dyDescent="0.45">
      <c r="A1551" t="s">
        <v>4571</v>
      </c>
      <c r="B1551">
        <v>1</v>
      </c>
      <c r="C1551" t="s">
        <v>1774</v>
      </c>
      <c r="G1551" s="3">
        <v>23287.565368975469</v>
      </c>
      <c r="H1551" t="s">
        <v>1755</v>
      </c>
      <c r="I1551" t="s">
        <v>4571</v>
      </c>
      <c r="M1551" t="s">
        <v>1757</v>
      </c>
    </row>
    <row r="1552" spans="1:13" x14ac:dyDescent="0.45">
      <c r="A1552" t="s">
        <v>4572</v>
      </c>
      <c r="B1552">
        <v>1</v>
      </c>
      <c r="C1552" t="s">
        <v>1774</v>
      </c>
      <c r="G1552" s="3">
        <v>11415.47322008602</v>
      </c>
      <c r="H1552" t="s">
        <v>1755</v>
      </c>
      <c r="I1552" t="s">
        <v>4572</v>
      </c>
      <c r="M1552" t="s">
        <v>1757</v>
      </c>
    </row>
    <row r="1553" spans="1:13" x14ac:dyDescent="0.45">
      <c r="A1553" t="s">
        <v>4573</v>
      </c>
      <c r="B1553">
        <v>1</v>
      </c>
      <c r="C1553" t="s">
        <v>1774</v>
      </c>
      <c r="G1553" s="3">
        <v>25146.65672196091</v>
      </c>
      <c r="H1553" t="s">
        <v>1755</v>
      </c>
      <c r="I1553" t="s">
        <v>4573</v>
      </c>
      <c r="M1553" t="s">
        <v>1757</v>
      </c>
    </row>
    <row r="1554" spans="1:13" x14ac:dyDescent="0.45">
      <c r="A1554" t="s">
        <v>4574</v>
      </c>
      <c r="B1554">
        <v>1</v>
      </c>
      <c r="C1554" t="s">
        <v>1774</v>
      </c>
      <c r="G1554" s="3">
        <v>22504.790062455289</v>
      </c>
      <c r="H1554" t="s">
        <v>1755</v>
      </c>
      <c r="I1554" t="s">
        <v>4574</v>
      </c>
      <c r="M1554" t="s">
        <v>1757</v>
      </c>
    </row>
    <row r="1555" spans="1:13" x14ac:dyDescent="0.45">
      <c r="A1555" t="s">
        <v>4575</v>
      </c>
      <c r="B1555">
        <v>1</v>
      </c>
      <c r="C1555" t="s">
        <v>1774</v>
      </c>
      <c r="G1555" s="3">
        <v>21134.933276044969</v>
      </c>
      <c r="H1555" t="s">
        <v>1755</v>
      </c>
      <c r="I1555" t="s">
        <v>4575</v>
      </c>
      <c r="M1555" t="s">
        <v>1757</v>
      </c>
    </row>
    <row r="1556" spans="1:13" x14ac:dyDescent="0.45">
      <c r="A1556" t="s">
        <v>4576</v>
      </c>
      <c r="B1556">
        <v>2</v>
      </c>
      <c r="C1556" t="s">
        <v>1774</v>
      </c>
      <c r="G1556" s="3">
        <v>17286.288018987401</v>
      </c>
      <c r="H1556" t="s">
        <v>1755</v>
      </c>
      <c r="I1556" t="s">
        <v>4576</v>
      </c>
      <c r="M1556" t="s">
        <v>1757</v>
      </c>
    </row>
    <row r="1557" spans="1:13" x14ac:dyDescent="0.45">
      <c r="A1557" t="s">
        <v>4577</v>
      </c>
      <c r="B1557">
        <v>1</v>
      </c>
      <c r="C1557" t="s">
        <v>1774</v>
      </c>
      <c r="G1557" s="3">
        <v>18166.910238822598</v>
      </c>
      <c r="H1557" t="s">
        <v>1755</v>
      </c>
      <c r="I1557" t="s">
        <v>4577</v>
      </c>
      <c r="M1557" t="s">
        <v>1757</v>
      </c>
    </row>
    <row r="1558" spans="1:13" x14ac:dyDescent="0.45">
      <c r="A1558" t="s">
        <v>4578</v>
      </c>
      <c r="B1558">
        <v>1</v>
      </c>
      <c r="C1558" t="s">
        <v>1774</v>
      </c>
      <c r="G1558" s="3">
        <v>23874.64684886561</v>
      </c>
      <c r="H1558" t="s">
        <v>1755</v>
      </c>
      <c r="I1558" t="s">
        <v>4578</v>
      </c>
      <c r="M1558" t="s">
        <v>1757</v>
      </c>
    </row>
    <row r="1559" spans="1:13" x14ac:dyDescent="0.45">
      <c r="A1559" t="s">
        <v>4579</v>
      </c>
      <c r="B1559">
        <v>1</v>
      </c>
      <c r="C1559" t="s">
        <v>1774</v>
      </c>
      <c r="G1559" s="3">
        <v>17645.06003447581</v>
      </c>
      <c r="H1559" t="s">
        <v>1755</v>
      </c>
      <c r="I1559" t="s">
        <v>4579</v>
      </c>
      <c r="M1559" t="s">
        <v>1757</v>
      </c>
    </row>
    <row r="1560" spans="1:13" x14ac:dyDescent="0.45">
      <c r="A1560" t="s">
        <v>4580</v>
      </c>
      <c r="B1560">
        <v>1</v>
      </c>
      <c r="C1560" t="s">
        <v>1774</v>
      </c>
      <c r="G1560" s="3">
        <v>21200.164551588321</v>
      </c>
      <c r="H1560" t="s">
        <v>1755</v>
      </c>
      <c r="I1560" t="s">
        <v>4580</v>
      </c>
      <c r="M1560" t="s">
        <v>1757</v>
      </c>
    </row>
    <row r="1561" spans="1:13" x14ac:dyDescent="0.45">
      <c r="A1561" t="s">
        <v>4581</v>
      </c>
      <c r="B1561">
        <v>1</v>
      </c>
      <c r="C1561" t="s">
        <v>1774</v>
      </c>
      <c r="G1561" s="3">
        <v>19243.226285287859</v>
      </c>
      <c r="H1561" t="s">
        <v>1755</v>
      </c>
      <c r="I1561" t="s">
        <v>4581</v>
      </c>
      <c r="M1561" t="s">
        <v>1757</v>
      </c>
    </row>
    <row r="1562" spans="1:13" x14ac:dyDescent="0.45">
      <c r="A1562" t="s">
        <v>4582</v>
      </c>
      <c r="B1562">
        <v>1</v>
      </c>
      <c r="C1562" t="s">
        <v>1774</v>
      </c>
      <c r="G1562" s="3">
        <v>22178.63368473855</v>
      </c>
      <c r="H1562" t="s">
        <v>1755</v>
      </c>
      <c r="I1562" t="s">
        <v>4582</v>
      </c>
      <c r="M1562" t="s">
        <v>1757</v>
      </c>
    </row>
    <row r="1563" spans="1:13" x14ac:dyDescent="0.45">
      <c r="A1563" t="s">
        <v>4583</v>
      </c>
      <c r="B1563">
        <v>1</v>
      </c>
      <c r="C1563" t="s">
        <v>1774</v>
      </c>
      <c r="G1563" s="3">
        <v>23059.255904573751</v>
      </c>
      <c r="H1563" t="s">
        <v>1755</v>
      </c>
      <c r="I1563" t="s">
        <v>4583</v>
      </c>
      <c r="M1563" t="s">
        <v>1757</v>
      </c>
    </row>
    <row r="1564" spans="1:13" x14ac:dyDescent="0.45">
      <c r="A1564" t="s">
        <v>4584</v>
      </c>
      <c r="B1564">
        <v>1</v>
      </c>
      <c r="C1564" t="s">
        <v>1774</v>
      </c>
      <c r="G1564" s="3">
        <v>22276.480598053571</v>
      </c>
      <c r="H1564" t="s">
        <v>1755</v>
      </c>
      <c r="I1564" t="s">
        <v>4584</v>
      </c>
      <c r="M1564" t="s">
        <v>1757</v>
      </c>
    </row>
    <row r="1565" spans="1:13" x14ac:dyDescent="0.45">
      <c r="A1565" t="s">
        <v>4585</v>
      </c>
      <c r="B1565">
        <v>1</v>
      </c>
      <c r="C1565" t="s">
        <v>1774</v>
      </c>
      <c r="G1565" s="3">
        <v>20841.392536099898</v>
      </c>
      <c r="H1565" t="s">
        <v>1755</v>
      </c>
      <c r="I1565" t="s">
        <v>4585</v>
      </c>
      <c r="M1565" t="s">
        <v>1757</v>
      </c>
    </row>
    <row r="1566" spans="1:13" x14ac:dyDescent="0.45">
      <c r="A1566" t="s">
        <v>4586</v>
      </c>
      <c r="B1566">
        <v>1</v>
      </c>
      <c r="C1566" t="s">
        <v>1774</v>
      </c>
      <c r="G1566" s="3">
        <v>23646.337384463892</v>
      </c>
      <c r="H1566" t="s">
        <v>1755</v>
      </c>
      <c r="I1566" t="s">
        <v>4586</v>
      </c>
      <c r="M1566" t="s">
        <v>1757</v>
      </c>
    </row>
    <row r="1567" spans="1:13" x14ac:dyDescent="0.45">
      <c r="A1567" t="s">
        <v>4587</v>
      </c>
      <c r="B1567">
        <v>1</v>
      </c>
      <c r="C1567" t="s">
        <v>1774</v>
      </c>
      <c r="G1567" s="3">
        <v>19765.076489634641</v>
      </c>
      <c r="H1567" t="s">
        <v>1755</v>
      </c>
      <c r="I1567" t="s">
        <v>4587</v>
      </c>
      <c r="M1567" t="s">
        <v>1757</v>
      </c>
    </row>
    <row r="1568" spans="1:13" x14ac:dyDescent="0.45">
      <c r="A1568" t="s">
        <v>4588</v>
      </c>
      <c r="B1568">
        <v>1</v>
      </c>
      <c r="C1568" t="s">
        <v>1774</v>
      </c>
      <c r="G1568" s="3">
        <v>22178.63368473855</v>
      </c>
      <c r="H1568" t="s">
        <v>1755</v>
      </c>
      <c r="I1568" t="s">
        <v>4588</v>
      </c>
      <c r="M1568" t="s">
        <v>1757</v>
      </c>
    </row>
    <row r="1569" spans="1:13" x14ac:dyDescent="0.45">
      <c r="A1569" t="s">
        <v>4589</v>
      </c>
      <c r="B1569">
        <v>1</v>
      </c>
      <c r="C1569" t="s">
        <v>1774</v>
      </c>
      <c r="G1569" s="3">
        <v>23548.490471148871</v>
      </c>
      <c r="H1569" t="s">
        <v>1755</v>
      </c>
      <c r="I1569" t="s">
        <v>4589</v>
      </c>
      <c r="M1569" t="s">
        <v>1757</v>
      </c>
    </row>
    <row r="1570" spans="1:13" x14ac:dyDescent="0.45">
      <c r="A1570" t="s">
        <v>4590</v>
      </c>
      <c r="B1570">
        <v>1</v>
      </c>
      <c r="C1570" t="s">
        <v>1774</v>
      </c>
      <c r="G1570" s="3">
        <v>23483.259195605518</v>
      </c>
      <c r="H1570" t="s">
        <v>1755</v>
      </c>
      <c r="I1570" t="s">
        <v>4590</v>
      </c>
      <c r="M1570" t="s">
        <v>1757</v>
      </c>
    </row>
    <row r="1571" spans="1:13" x14ac:dyDescent="0.45">
      <c r="A1571" t="s">
        <v>4591</v>
      </c>
      <c r="B1571">
        <v>1</v>
      </c>
      <c r="C1571" t="s">
        <v>1774</v>
      </c>
      <c r="G1571" s="3">
        <v>22765.71516462868</v>
      </c>
      <c r="H1571" t="s">
        <v>1755</v>
      </c>
      <c r="I1571" t="s">
        <v>4591</v>
      </c>
      <c r="M1571" t="s">
        <v>1757</v>
      </c>
    </row>
    <row r="1572" spans="1:13" x14ac:dyDescent="0.45">
      <c r="A1572" t="s">
        <v>4592</v>
      </c>
      <c r="B1572">
        <v>1</v>
      </c>
      <c r="C1572" t="s">
        <v>1774</v>
      </c>
      <c r="G1572" s="3">
        <v>23254.9497312038</v>
      </c>
      <c r="H1572" t="s">
        <v>1755</v>
      </c>
      <c r="I1572" t="s">
        <v>4592</v>
      </c>
      <c r="M1572" t="s">
        <v>1757</v>
      </c>
    </row>
    <row r="1573" spans="1:13" x14ac:dyDescent="0.45">
      <c r="A1573" t="s">
        <v>4593</v>
      </c>
      <c r="B1573">
        <v>1</v>
      </c>
      <c r="C1573" t="s">
        <v>1774</v>
      </c>
      <c r="G1573" s="3">
        <v>20254.311056209761</v>
      </c>
      <c r="H1573" t="s">
        <v>1755</v>
      </c>
      <c r="I1573" t="s">
        <v>4593</v>
      </c>
      <c r="M1573" t="s">
        <v>1757</v>
      </c>
    </row>
    <row r="1574" spans="1:13" x14ac:dyDescent="0.45">
      <c r="A1574" t="s">
        <v>4594</v>
      </c>
      <c r="B1574">
        <v>1</v>
      </c>
      <c r="C1574" t="s">
        <v>1774</v>
      </c>
      <c r="G1574" s="3">
        <v>17905.985136649211</v>
      </c>
      <c r="H1574" t="s">
        <v>1755</v>
      </c>
      <c r="I1574" t="s">
        <v>4594</v>
      </c>
      <c r="M1574" t="s">
        <v>1757</v>
      </c>
    </row>
    <row r="1575" spans="1:13" x14ac:dyDescent="0.45">
      <c r="A1575" t="s">
        <v>4595</v>
      </c>
      <c r="B1575">
        <v>1</v>
      </c>
      <c r="C1575" t="s">
        <v>1774</v>
      </c>
      <c r="G1575" s="3">
        <v>18166.910238822598</v>
      </c>
      <c r="H1575" t="s">
        <v>1755</v>
      </c>
      <c r="I1575" t="s">
        <v>4595</v>
      </c>
      <c r="M1575" t="s">
        <v>1757</v>
      </c>
    </row>
    <row r="1576" spans="1:13" x14ac:dyDescent="0.45">
      <c r="A1576" t="s">
        <v>4596</v>
      </c>
      <c r="B1576">
        <v>1</v>
      </c>
      <c r="C1576" t="s">
        <v>1774</v>
      </c>
      <c r="G1576" s="3">
        <v>27201.441901576389</v>
      </c>
      <c r="H1576" t="s">
        <v>1755</v>
      </c>
      <c r="I1576" t="s">
        <v>4596</v>
      </c>
      <c r="M1576" t="s">
        <v>1757</v>
      </c>
    </row>
    <row r="1577" spans="1:13" x14ac:dyDescent="0.45">
      <c r="A1577" t="s">
        <v>4597</v>
      </c>
      <c r="B1577">
        <v>1</v>
      </c>
      <c r="C1577" t="s">
        <v>1774</v>
      </c>
      <c r="G1577" s="3">
        <v>18753.991718712739</v>
      </c>
      <c r="H1577" t="s">
        <v>1755</v>
      </c>
      <c r="I1577" t="s">
        <v>4597</v>
      </c>
      <c r="M1577" t="s">
        <v>1757</v>
      </c>
    </row>
    <row r="1578" spans="1:13" x14ac:dyDescent="0.45">
      <c r="A1578" t="s">
        <v>4598</v>
      </c>
      <c r="B1578">
        <v>2</v>
      </c>
      <c r="C1578" t="s">
        <v>1774</v>
      </c>
      <c r="G1578" s="3">
        <v>23515.874833377191</v>
      </c>
      <c r="H1578" t="s">
        <v>1755</v>
      </c>
      <c r="I1578" t="s">
        <v>4598</v>
      </c>
      <c r="M1578" t="s">
        <v>1757</v>
      </c>
    </row>
    <row r="1579" spans="1:13" x14ac:dyDescent="0.45">
      <c r="A1579" t="s">
        <v>4599</v>
      </c>
      <c r="B1579">
        <v>1</v>
      </c>
      <c r="C1579" t="s">
        <v>1774</v>
      </c>
      <c r="G1579" s="3">
        <v>22667.868251313659</v>
      </c>
      <c r="H1579" t="s">
        <v>1755</v>
      </c>
      <c r="I1579" t="s">
        <v>4599</v>
      </c>
      <c r="M1579" t="s">
        <v>1757</v>
      </c>
    </row>
    <row r="1580" spans="1:13" x14ac:dyDescent="0.45">
      <c r="A1580" t="s">
        <v>4600</v>
      </c>
      <c r="B1580">
        <v>1</v>
      </c>
      <c r="C1580" t="s">
        <v>1774</v>
      </c>
      <c r="G1580" s="3">
        <v>23287.565368975469</v>
      </c>
      <c r="H1580" t="s">
        <v>1755</v>
      </c>
      <c r="I1580" t="s">
        <v>4600</v>
      </c>
      <c r="M1580" t="s">
        <v>1757</v>
      </c>
    </row>
    <row r="1581" spans="1:13" x14ac:dyDescent="0.45">
      <c r="A1581" t="s">
        <v>4601</v>
      </c>
      <c r="B1581">
        <v>1</v>
      </c>
      <c r="C1581" t="s">
        <v>1774</v>
      </c>
      <c r="G1581" s="3">
        <v>12817.945644268009</v>
      </c>
      <c r="H1581" t="s">
        <v>1755</v>
      </c>
      <c r="I1581" t="s">
        <v>4601</v>
      </c>
      <c r="M1581" t="s">
        <v>1757</v>
      </c>
    </row>
    <row r="1582" spans="1:13" x14ac:dyDescent="0.45">
      <c r="A1582" t="s">
        <v>4602</v>
      </c>
      <c r="B1582">
        <v>1</v>
      </c>
      <c r="C1582" t="s">
        <v>1774</v>
      </c>
      <c r="G1582" s="3">
        <v>23418.02792006217</v>
      </c>
      <c r="H1582" t="s">
        <v>1755</v>
      </c>
      <c r="I1582" t="s">
        <v>4602</v>
      </c>
      <c r="M1582" t="s">
        <v>1757</v>
      </c>
    </row>
    <row r="1583" spans="1:13" x14ac:dyDescent="0.45">
      <c r="A1583" t="s">
        <v>4603</v>
      </c>
      <c r="B1583">
        <v>1</v>
      </c>
      <c r="C1583" t="s">
        <v>1774</v>
      </c>
      <c r="G1583" s="3">
        <v>17873.369498877539</v>
      </c>
      <c r="H1583" t="s">
        <v>1755</v>
      </c>
      <c r="I1583" t="s">
        <v>4603</v>
      </c>
      <c r="M1583" t="s">
        <v>1757</v>
      </c>
    </row>
    <row r="1584" spans="1:13" x14ac:dyDescent="0.45">
      <c r="A1584" t="s">
        <v>4604</v>
      </c>
      <c r="B1584">
        <v>1</v>
      </c>
      <c r="C1584" t="s">
        <v>1774</v>
      </c>
      <c r="G1584" s="3">
        <v>25179.272359732589</v>
      </c>
      <c r="H1584" t="s">
        <v>1755</v>
      </c>
      <c r="I1584" t="s">
        <v>4604</v>
      </c>
      <c r="M1584" t="s">
        <v>1757</v>
      </c>
    </row>
    <row r="1585" spans="1:13" x14ac:dyDescent="0.45">
      <c r="A1585" t="s">
        <v>4605</v>
      </c>
      <c r="B1585">
        <v>1</v>
      </c>
      <c r="C1585" t="s">
        <v>1774</v>
      </c>
      <c r="G1585" s="3">
        <v>19797.692127406321</v>
      </c>
      <c r="H1585" t="s">
        <v>1755</v>
      </c>
      <c r="I1585" t="s">
        <v>4605</v>
      </c>
      <c r="M1585" t="s">
        <v>1757</v>
      </c>
    </row>
    <row r="1586" spans="1:13" x14ac:dyDescent="0.45">
      <c r="A1586" t="s">
        <v>4606</v>
      </c>
      <c r="B1586">
        <v>1</v>
      </c>
      <c r="C1586" t="s">
        <v>1774</v>
      </c>
      <c r="G1586" s="3">
        <v>23450.64355783385</v>
      </c>
      <c r="H1586" t="s">
        <v>1755</v>
      </c>
      <c r="I1586" t="s">
        <v>4606</v>
      </c>
      <c r="M1586" t="s">
        <v>1757</v>
      </c>
    </row>
    <row r="1587" spans="1:13" x14ac:dyDescent="0.45">
      <c r="A1587" t="s">
        <v>4607</v>
      </c>
      <c r="B1587">
        <v>1</v>
      </c>
      <c r="C1587" t="s">
        <v>1774</v>
      </c>
      <c r="G1587" s="3">
        <v>24853.115982015839</v>
      </c>
      <c r="H1587" t="s">
        <v>1755</v>
      </c>
      <c r="I1587" t="s">
        <v>4607</v>
      </c>
      <c r="M1587" t="s">
        <v>1757</v>
      </c>
    </row>
    <row r="1588" spans="1:13" x14ac:dyDescent="0.45">
      <c r="A1588" t="s">
        <v>4608</v>
      </c>
      <c r="B1588">
        <v>1</v>
      </c>
      <c r="C1588" t="s">
        <v>1774</v>
      </c>
      <c r="G1588" s="3">
        <v>23744.184297778909</v>
      </c>
      <c r="H1588" t="s">
        <v>1755</v>
      </c>
      <c r="I1588" t="s">
        <v>4608</v>
      </c>
      <c r="M1588" t="s">
        <v>1757</v>
      </c>
    </row>
    <row r="1589" spans="1:13" x14ac:dyDescent="0.45">
      <c r="A1589" t="s">
        <v>4609</v>
      </c>
      <c r="B1589">
        <v>1</v>
      </c>
      <c r="C1589" t="s">
        <v>1774</v>
      </c>
      <c r="G1589" s="3">
        <v>21917.708582565148</v>
      </c>
      <c r="H1589" t="s">
        <v>1755</v>
      </c>
      <c r="I1589" t="s">
        <v>4609</v>
      </c>
      <c r="M1589" t="s">
        <v>1757</v>
      </c>
    </row>
    <row r="1590" spans="1:13" x14ac:dyDescent="0.45">
      <c r="A1590" t="s">
        <v>4610</v>
      </c>
      <c r="B1590">
        <v>1</v>
      </c>
      <c r="C1590" t="s">
        <v>1774</v>
      </c>
      <c r="G1590" s="3">
        <v>20221.695418438081</v>
      </c>
      <c r="H1590" t="s">
        <v>1755</v>
      </c>
      <c r="I1590" t="s">
        <v>4610</v>
      </c>
      <c r="M1590" t="s">
        <v>1757</v>
      </c>
    </row>
    <row r="1591" spans="1:13" x14ac:dyDescent="0.45">
      <c r="A1591" t="s">
        <v>4611</v>
      </c>
      <c r="B1591">
        <v>1</v>
      </c>
      <c r="C1591" t="s">
        <v>1774</v>
      </c>
      <c r="G1591" s="3">
        <v>26027.278941796121</v>
      </c>
      <c r="H1591" t="s">
        <v>1755</v>
      </c>
      <c r="I1591" t="s">
        <v>4611</v>
      </c>
      <c r="M1591" t="s">
        <v>1757</v>
      </c>
    </row>
    <row r="1592" spans="1:13" x14ac:dyDescent="0.45">
      <c r="A1592" t="s">
        <v>4612</v>
      </c>
      <c r="B1592">
        <v>1</v>
      </c>
      <c r="C1592" t="s">
        <v>1774</v>
      </c>
      <c r="G1592" s="3">
        <v>25841.369806497569</v>
      </c>
      <c r="H1592" t="s">
        <v>1755</v>
      </c>
      <c r="I1592" t="s">
        <v>4612</v>
      </c>
      <c r="M1592" t="s">
        <v>1757</v>
      </c>
    </row>
    <row r="1593" spans="1:13" x14ac:dyDescent="0.45">
      <c r="A1593" t="s">
        <v>4613</v>
      </c>
      <c r="B1593">
        <v>1</v>
      </c>
      <c r="C1593" t="s">
        <v>1774</v>
      </c>
      <c r="G1593" s="3">
        <v>21461.089653761712</v>
      </c>
      <c r="H1593" t="s">
        <v>1755</v>
      </c>
      <c r="I1593" t="s">
        <v>4613</v>
      </c>
      <c r="M1593" t="s">
        <v>1757</v>
      </c>
    </row>
    <row r="1594" spans="1:13" x14ac:dyDescent="0.45">
      <c r="A1594" t="s">
        <v>4614</v>
      </c>
      <c r="B1594">
        <v>1</v>
      </c>
      <c r="C1594" t="s">
        <v>1774</v>
      </c>
      <c r="G1594" s="3">
        <v>24461.728328755751</v>
      </c>
      <c r="H1594" t="s">
        <v>1755</v>
      </c>
      <c r="I1594" t="s">
        <v>4614</v>
      </c>
      <c r="M1594" t="s">
        <v>1757</v>
      </c>
    </row>
    <row r="1595" spans="1:13" x14ac:dyDescent="0.45">
      <c r="A1595" t="s">
        <v>4615</v>
      </c>
      <c r="B1595">
        <v>1</v>
      </c>
      <c r="C1595" t="s">
        <v>1774</v>
      </c>
      <c r="G1595" s="3">
        <v>21591.552204848409</v>
      </c>
      <c r="H1595" t="s">
        <v>1755</v>
      </c>
      <c r="I1595" t="s">
        <v>4615</v>
      </c>
      <c r="M1595" t="s">
        <v>1757</v>
      </c>
    </row>
    <row r="1596" spans="1:13" x14ac:dyDescent="0.45">
      <c r="A1596" t="s">
        <v>4616</v>
      </c>
      <c r="B1596">
        <v>2</v>
      </c>
      <c r="C1596" t="s">
        <v>1774</v>
      </c>
      <c r="G1596" s="3">
        <v>78.185554553502286</v>
      </c>
      <c r="H1596" t="s">
        <v>1755</v>
      </c>
      <c r="I1596" t="s">
        <v>4616</v>
      </c>
      <c r="M1596" t="s">
        <v>1757</v>
      </c>
    </row>
    <row r="1597" spans="1:13" x14ac:dyDescent="0.45">
      <c r="A1597" t="s">
        <v>4617</v>
      </c>
      <c r="B1597">
        <v>2</v>
      </c>
      <c r="C1597" t="s">
        <v>1774</v>
      </c>
      <c r="G1597" s="3">
        <v>1302.662049473118</v>
      </c>
      <c r="H1597" t="s">
        <v>1755</v>
      </c>
      <c r="I1597" t="s">
        <v>4617</v>
      </c>
      <c r="M1597" t="s">
        <v>1757</v>
      </c>
    </row>
    <row r="1598" spans="1:13" x14ac:dyDescent="0.45">
      <c r="A1598" t="s">
        <v>4618</v>
      </c>
      <c r="B1598">
        <v>1</v>
      </c>
      <c r="C1598" t="s">
        <v>1774</v>
      </c>
      <c r="H1598" t="s">
        <v>1755</v>
      </c>
      <c r="I1598" t="s">
        <v>4618</v>
      </c>
      <c r="M1598" t="s">
        <v>1757</v>
      </c>
    </row>
    <row r="1599" spans="1:13" x14ac:dyDescent="0.45">
      <c r="A1599" t="s">
        <v>4619</v>
      </c>
      <c r="B1599">
        <v>1</v>
      </c>
      <c r="C1599" t="s">
        <v>1774</v>
      </c>
      <c r="G1599" s="3">
        <v>1693.064710472506</v>
      </c>
      <c r="H1599" t="s">
        <v>1755</v>
      </c>
      <c r="I1599" t="s">
        <v>4619</v>
      </c>
      <c r="M1599" t="s">
        <v>1757</v>
      </c>
    </row>
    <row r="1600" spans="1:13" x14ac:dyDescent="0.45">
      <c r="A1600" t="s">
        <v>4620</v>
      </c>
      <c r="B1600">
        <v>2</v>
      </c>
      <c r="C1600" t="s">
        <v>1774</v>
      </c>
      <c r="G1600" s="3">
        <v>3780.8373461302599</v>
      </c>
      <c r="H1600" t="s">
        <v>1755</v>
      </c>
      <c r="I1600" t="s">
        <v>4620</v>
      </c>
      <c r="M1600" t="s">
        <v>1757</v>
      </c>
    </row>
    <row r="1601" spans="1:13" x14ac:dyDescent="0.45">
      <c r="A1601" t="s">
        <v>4621</v>
      </c>
      <c r="B1601">
        <v>3</v>
      </c>
      <c r="C1601" t="s">
        <v>1774</v>
      </c>
      <c r="G1601" s="3">
        <v>1229.16270975465</v>
      </c>
      <c r="H1601" t="s">
        <v>1755</v>
      </c>
      <c r="I1601" t="s">
        <v>4621</v>
      </c>
      <c r="M1601" t="s">
        <v>1757</v>
      </c>
    </row>
    <row r="1602" spans="1:13" x14ac:dyDescent="0.45">
      <c r="A1602" t="s">
        <v>4622</v>
      </c>
      <c r="B1602">
        <v>2</v>
      </c>
      <c r="C1602" t="s">
        <v>1774</v>
      </c>
      <c r="G1602" s="3">
        <v>3690.9160327937539</v>
      </c>
      <c r="H1602" t="s">
        <v>1755</v>
      </c>
      <c r="I1602" t="s">
        <v>4622</v>
      </c>
      <c r="M1602" t="s">
        <v>1757</v>
      </c>
    </row>
    <row r="1603" spans="1:13" x14ac:dyDescent="0.45">
      <c r="A1603" t="s">
        <v>4623</v>
      </c>
      <c r="B1603">
        <v>2</v>
      </c>
      <c r="C1603" t="s">
        <v>1774</v>
      </c>
      <c r="G1603" s="3">
        <v>2823.6336088071621</v>
      </c>
      <c r="H1603" t="s">
        <v>1755</v>
      </c>
      <c r="I1603" t="s">
        <v>4623</v>
      </c>
      <c r="M1603" t="s">
        <v>1757</v>
      </c>
    </row>
    <row r="1604" spans="1:13" x14ac:dyDescent="0.45">
      <c r="A1604" t="s">
        <v>4624</v>
      </c>
      <c r="B1604">
        <v>1</v>
      </c>
      <c r="C1604" t="s">
        <v>1774</v>
      </c>
      <c r="G1604" s="3">
        <v>2983.3491254112741</v>
      </c>
      <c r="H1604" t="s">
        <v>1755</v>
      </c>
      <c r="I1604" t="s">
        <v>4624</v>
      </c>
      <c r="M1604" t="s">
        <v>1757</v>
      </c>
    </row>
    <row r="1605" spans="1:13" x14ac:dyDescent="0.45">
      <c r="A1605" t="s">
        <v>4625</v>
      </c>
      <c r="B1605">
        <v>1</v>
      </c>
      <c r="C1605" t="s">
        <v>1774</v>
      </c>
      <c r="G1605" s="3">
        <v>4467.9183714283517</v>
      </c>
      <c r="H1605" t="s">
        <v>1755</v>
      </c>
      <c r="I1605" t="s">
        <v>4625</v>
      </c>
      <c r="M1605" t="s">
        <v>1757</v>
      </c>
    </row>
    <row r="1606" spans="1:13" x14ac:dyDescent="0.45">
      <c r="A1606" t="s">
        <v>4626</v>
      </c>
      <c r="B1606">
        <v>2</v>
      </c>
      <c r="C1606" t="s">
        <v>1774</v>
      </c>
      <c r="G1606" s="3">
        <v>2153.0821887317552</v>
      </c>
      <c r="H1606" t="s">
        <v>1755</v>
      </c>
      <c r="I1606" t="s">
        <v>4626</v>
      </c>
      <c r="M1606" t="s">
        <v>1757</v>
      </c>
    </row>
    <row r="1607" spans="1:13" x14ac:dyDescent="0.45">
      <c r="A1607" t="s">
        <v>4627</v>
      </c>
      <c r="B1607">
        <v>2</v>
      </c>
      <c r="C1607" t="s">
        <v>1774</v>
      </c>
      <c r="G1607" s="3">
        <v>2893.2158104292521</v>
      </c>
      <c r="H1607" t="s">
        <v>1755</v>
      </c>
      <c r="I1607" t="s">
        <v>4627</v>
      </c>
      <c r="M1607" t="s">
        <v>1757</v>
      </c>
    </row>
    <row r="1608" spans="1:13" x14ac:dyDescent="0.45">
      <c r="A1608" t="s">
        <v>4628</v>
      </c>
      <c r="B1608">
        <v>8</v>
      </c>
      <c r="C1608" t="s">
        <v>1774</v>
      </c>
      <c r="G1608" s="3">
        <v>2766.6345202373841</v>
      </c>
      <c r="H1608" t="s">
        <v>1755</v>
      </c>
      <c r="I1608" t="s">
        <v>4628</v>
      </c>
      <c r="M1608" t="s">
        <v>1757</v>
      </c>
    </row>
    <row r="1609" spans="1:13" x14ac:dyDescent="0.45">
      <c r="A1609" t="s">
        <v>4629</v>
      </c>
      <c r="B1609">
        <v>1</v>
      </c>
      <c r="C1609" t="s">
        <v>1774</v>
      </c>
      <c r="G1609" s="3">
        <v>3007.1161406554929</v>
      </c>
      <c r="H1609" t="s">
        <v>1755</v>
      </c>
      <c r="I1609" t="s">
        <v>4629</v>
      </c>
      <c r="M1609" t="s">
        <v>1757</v>
      </c>
    </row>
    <row r="1610" spans="1:13" x14ac:dyDescent="0.45">
      <c r="A1610" t="s">
        <v>4630</v>
      </c>
      <c r="B1610">
        <v>1</v>
      </c>
      <c r="C1610" t="s">
        <v>1774</v>
      </c>
      <c r="G1610" s="3">
        <v>561.7880527982046</v>
      </c>
      <c r="H1610" t="s">
        <v>1755</v>
      </c>
      <c r="I1610" t="s">
        <v>4630</v>
      </c>
      <c r="M1610" t="s">
        <v>1757</v>
      </c>
    </row>
    <row r="1611" spans="1:13" x14ac:dyDescent="0.45">
      <c r="A1611" t="s">
        <v>4631</v>
      </c>
      <c r="B1611">
        <v>1</v>
      </c>
      <c r="C1611" t="s">
        <v>1774</v>
      </c>
      <c r="G1611" s="3">
        <v>3053.9358886767318</v>
      </c>
      <c r="H1611" t="s">
        <v>1755</v>
      </c>
      <c r="I1611" t="s">
        <v>4631</v>
      </c>
      <c r="M1611" t="s">
        <v>1757</v>
      </c>
    </row>
    <row r="1612" spans="1:13" x14ac:dyDescent="0.45">
      <c r="A1612" t="s">
        <v>4632</v>
      </c>
      <c r="B1612">
        <v>2</v>
      </c>
      <c r="C1612" t="s">
        <v>1774</v>
      </c>
      <c r="G1612" s="3">
        <v>4015.0502409686542</v>
      </c>
      <c r="H1612" t="s">
        <v>1755</v>
      </c>
      <c r="I1612" t="s">
        <v>4632</v>
      </c>
      <c r="M1612" t="s">
        <v>1757</v>
      </c>
    </row>
    <row r="1613" spans="1:13" x14ac:dyDescent="0.45">
      <c r="A1613" t="s">
        <v>4633</v>
      </c>
      <c r="B1613">
        <v>1</v>
      </c>
      <c r="C1613" t="s">
        <v>1774</v>
      </c>
      <c r="G1613" s="3">
        <v>864.29809313048395</v>
      </c>
      <c r="H1613" t="s">
        <v>1755</v>
      </c>
      <c r="I1613" t="s">
        <v>4633</v>
      </c>
      <c r="M1613" t="s">
        <v>1757</v>
      </c>
    </row>
    <row r="1614" spans="1:13" x14ac:dyDescent="0.45">
      <c r="A1614" t="s">
        <v>4634</v>
      </c>
      <c r="B1614">
        <v>3</v>
      </c>
      <c r="C1614" t="s">
        <v>1774</v>
      </c>
      <c r="G1614" s="3">
        <v>3497.3748382566391</v>
      </c>
      <c r="H1614" t="s">
        <v>1755</v>
      </c>
      <c r="I1614" t="s">
        <v>4634</v>
      </c>
      <c r="M1614" t="s">
        <v>1757</v>
      </c>
    </row>
    <row r="1615" spans="1:13" x14ac:dyDescent="0.45">
      <c r="A1615" t="s">
        <v>4635</v>
      </c>
      <c r="B1615">
        <v>1</v>
      </c>
      <c r="C1615" t="s">
        <v>1774</v>
      </c>
      <c r="G1615" s="3">
        <v>884.7872367786498</v>
      </c>
      <c r="H1615" t="s">
        <v>1755</v>
      </c>
      <c r="I1615" t="s">
        <v>4635</v>
      </c>
      <c r="M1615" t="s">
        <v>1757</v>
      </c>
    </row>
    <row r="1616" spans="1:13" x14ac:dyDescent="0.45">
      <c r="A1616" t="s">
        <v>4636</v>
      </c>
      <c r="B1616">
        <v>4</v>
      </c>
      <c r="C1616" t="s">
        <v>1774</v>
      </c>
      <c r="G1616" s="3">
        <v>1555.9355230252779</v>
      </c>
      <c r="H1616" t="s">
        <v>1755</v>
      </c>
      <c r="I1616" t="s">
        <v>4636</v>
      </c>
      <c r="M1616" t="s">
        <v>1757</v>
      </c>
    </row>
    <row r="1617" spans="1:13" x14ac:dyDescent="0.45">
      <c r="A1617" t="s">
        <v>4637</v>
      </c>
      <c r="B1617">
        <v>2</v>
      </c>
      <c r="C1617" t="s">
        <v>1774</v>
      </c>
      <c r="G1617" s="3">
        <v>824.08953488556392</v>
      </c>
      <c r="H1617" t="s">
        <v>1755</v>
      </c>
      <c r="I1617" t="s">
        <v>4637</v>
      </c>
      <c r="M1617" t="s">
        <v>1757</v>
      </c>
    </row>
    <row r="1618" spans="1:13" x14ac:dyDescent="0.45">
      <c r="A1618" t="s">
        <v>4638</v>
      </c>
      <c r="B1618">
        <v>1</v>
      </c>
      <c r="C1618" t="s">
        <v>1774</v>
      </c>
      <c r="G1618" s="3">
        <v>856.83237364454783</v>
      </c>
      <c r="H1618" t="s">
        <v>1755</v>
      </c>
      <c r="I1618" t="s">
        <v>4638</v>
      </c>
      <c r="M1618" t="s">
        <v>1757</v>
      </c>
    </row>
    <row r="1619" spans="1:13" x14ac:dyDescent="0.45">
      <c r="A1619" t="s">
        <v>256</v>
      </c>
      <c r="B1619">
        <v>1</v>
      </c>
      <c r="C1619" t="s">
        <v>1751</v>
      </c>
      <c r="D1619" t="s">
        <v>255</v>
      </c>
      <c r="E1619" t="s">
        <v>253</v>
      </c>
      <c r="F1619" s="3">
        <v>12.757280558012701</v>
      </c>
      <c r="G1619" s="3">
        <v>12.82789341378837</v>
      </c>
      <c r="H1619" t="s">
        <v>47</v>
      </c>
      <c r="I1619" t="s">
        <v>4639</v>
      </c>
      <c r="J1619" s="3">
        <v>147.02704750177239</v>
      </c>
      <c r="K1619" s="3">
        <v>0.55351025208365723</v>
      </c>
    </row>
    <row r="1620" spans="1:13" x14ac:dyDescent="0.45">
      <c r="A1620" t="s">
        <v>4640</v>
      </c>
      <c r="B1620">
        <v>3</v>
      </c>
      <c r="C1620" t="s">
        <v>1774</v>
      </c>
      <c r="G1620" s="3">
        <v>605.03965004722193</v>
      </c>
      <c r="H1620" t="s">
        <v>1755</v>
      </c>
      <c r="I1620" t="s">
        <v>4640</v>
      </c>
      <c r="M1620" t="s">
        <v>1757</v>
      </c>
    </row>
    <row r="1621" spans="1:13" x14ac:dyDescent="0.45">
      <c r="A1621" t="s">
        <v>4641</v>
      </c>
      <c r="B1621">
        <v>4</v>
      </c>
      <c r="C1621" t="s">
        <v>1774</v>
      </c>
      <c r="G1621" s="3">
        <v>993.61909689517267</v>
      </c>
      <c r="H1621" t="s">
        <v>1755</v>
      </c>
      <c r="I1621" t="s">
        <v>4641</v>
      </c>
      <c r="M1621" t="s">
        <v>1757</v>
      </c>
    </row>
    <row r="1622" spans="1:13" x14ac:dyDescent="0.45">
      <c r="A1622" t="s">
        <v>4642</v>
      </c>
      <c r="B1622">
        <v>1</v>
      </c>
      <c r="C1622" t="s">
        <v>1774</v>
      </c>
      <c r="G1622" s="3">
        <v>3638.6657810835318</v>
      </c>
      <c r="H1622" t="s">
        <v>1755</v>
      </c>
      <c r="I1622" t="s">
        <v>4642</v>
      </c>
      <c r="M1622" t="s">
        <v>1757</v>
      </c>
    </row>
    <row r="1623" spans="1:13" x14ac:dyDescent="0.45">
      <c r="A1623" t="s">
        <v>4643</v>
      </c>
      <c r="B1623">
        <v>2</v>
      </c>
      <c r="C1623" t="s">
        <v>1774</v>
      </c>
      <c r="G1623" s="3">
        <v>3029.9209945854482</v>
      </c>
      <c r="H1623" t="s">
        <v>1755</v>
      </c>
      <c r="I1623" t="s">
        <v>4643</v>
      </c>
      <c r="M1623" t="s">
        <v>1757</v>
      </c>
    </row>
    <row r="1624" spans="1:13" x14ac:dyDescent="0.45">
      <c r="A1624" t="s">
        <v>4644</v>
      </c>
      <c r="B1624">
        <v>1</v>
      </c>
      <c r="C1624" t="s">
        <v>1774</v>
      </c>
      <c r="G1624" s="3">
        <v>1331.706274908795</v>
      </c>
      <c r="H1624" t="s">
        <v>1755</v>
      </c>
      <c r="I1624" t="s">
        <v>4644</v>
      </c>
      <c r="M1624" t="s">
        <v>1757</v>
      </c>
    </row>
    <row r="1625" spans="1:13" x14ac:dyDescent="0.45">
      <c r="A1625" t="s">
        <v>4645</v>
      </c>
      <c r="B1625">
        <v>1</v>
      </c>
      <c r="C1625" t="s">
        <v>1774</v>
      </c>
      <c r="G1625" s="3">
        <v>3072.0734448415601</v>
      </c>
      <c r="H1625" t="s">
        <v>1755</v>
      </c>
      <c r="I1625" t="s">
        <v>4645</v>
      </c>
      <c r="M1625" t="s">
        <v>1757</v>
      </c>
    </row>
    <row r="1626" spans="1:13" x14ac:dyDescent="0.45">
      <c r="A1626" t="s">
        <v>4646</v>
      </c>
      <c r="B1626">
        <v>1</v>
      </c>
      <c r="C1626" t="s">
        <v>1774</v>
      </c>
      <c r="G1626" s="3">
        <v>3759.5393346653568</v>
      </c>
      <c r="H1626" t="s">
        <v>1755</v>
      </c>
      <c r="I1626" t="s">
        <v>4646</v>
      </c>
      <c r="M1626" t="s">
        <v>1757</v>
      </c>
    </row>
    <row r="1627" spans="1:13" x14ac:dyDescent="0.45">
      <c r="A1627" t="s">
        <v>4647</v>
      </c>
      <c r="B1627">
        <v>1</v>
      </c>
      <c r="C1627" t="s">
        <v>1774</v>
      </c>
      <c r="G1627" s="3">
        <v>1851.9354820583319</v>
      </c>
      <c r="H1627" t="s">
        <v>1755</v>
      </c>
      <c r="I1627" t="s">
        <v>4647</v>
      </c>
      <c r="M1627" t="s">
        <v>1757</v>
      </c>
    </row>
    <row r="1628" spans="1:13" x14ac:dyDescent="0.45">
      <c r="A1628" t="s">
        <v>4648</v>
      </c>
      <c r="B1628">
        <v>1</v>
      </c>
      <c r="C1628" t="s">
        <v>1774</v>
      </c>
      <c r="H1628" t="s">
        <v>1755</v>
      </c>
      <c r="I1628" t="s">
        <v>4648</v>
      </c>
      <c r="M1628" t="s">
        <v>1757</v>
      </c>
    </row>
    <row r="1629" spans="1:13" x14ac:dyDescent="0.45">
      <c r="A1629" t="s">
        <v>4649</v>
      </c>
      <c r="B1629">
        <v>1</v>
      </c>
      <c r="C1629" t="s">
        <v>1774</v>
      </c>
      <c r="H1629" t="s">
        <v>1755</v>
      </c>
      <c r="I1629" t="s">
        <v>4649</v>
      </c>
      <c r="M1629" t="s">
        <v>1757</v>
      </c>
    </row>
    <row r="1630" spans="1:13" x14ac:dyDescent="0.45">
      <c r="A1630" t="s">
        <v>4650</v>
      </c>
      <c r="B1630">
        <v>1</v>
      </c>
      <c r="C1630" t="s">
        <v>1774</v>
      </c>
      <c r="G1630" s="3">
        <v>921.60376869531581</v>
      </c>
      <c r="H1630" t="s">
        <v>1755</v>
      </c>
      <c r="I1630" t="s">
        <v>4650</v>
      </c>
      <c r="M1630" t="s">
        <v>1757</v>
      </c>
    </row>
    <row r="1631" spans="1:13" x14ac:dyDescent="0.45">
      <c r="A1631" t="s">
        <v>4651</v>
      </c>
      <c r="B1631">
        <v>1</v>
      </c>
      <c r="C1631" t="s">
        <v>1774</v>
      </c>
      <c r="G1631" s="3">
        <v>1157.9171106062049</v>
      </c>
      <c r="H1631" t="s">
        <v>1755</v>
      </c>
      <c r="I1631" t="s">
        <v>4651</v>
      </c>
      <c r="M1631" t="s">
        <v>1757</v>
      </c>
    </row>
    <row r="1632" spans="1:13" x14ac:dyDescent="0.45">
      <c r="A1632" t="s">
        <v>4652</v>
      </c>
      <c r="B1632">
        <v>2</v>
      </c>
      <c r="C1632" t="s">
        <v>1774</v>
      </c>
      <c r="G1632" s="3">
        <v>3026.6692154996122</v>
      </c>
      <c r="H1632" t="s">
        <v>1755</v>
      </c>
      <c r="I1632" t="s">
        <v>4652</v>
      </c>
      <c r="M1632" t="s">
        <v>1757</v>
      </c>
    </row>
    <row r="1633" spans="1:13" x14ac:dyDescent="0.45">
      <c r="A1633" t="s">
        <v>4653</v>
      </c>
      <c r="B1633">
        <v>1</v>
      </c>
      <c r="C1633" t="s">
        <v>1774</v>
      </c>
      <c r="G1633" s="3">
        <v>1889.335833891111</v>
      </c>
      <c r="H1633" t="s">
        <v>1755</v>
      </c>
      <c r="I1633" t="s">
        <v>4653</v>
      </c>
      <c r="M1633" t="s">
        <v>1757</v>
      </c>
    </row>
    <row r="1634" spans="1:13" x14ac:dyDescent="0.45">
      <c r="A1634" t="s">
        <v>4654</v>
      </c>
      <c r="B1634">
        <v>1</v>
      </c>
      <c r="C1634" t="s">
        <v>1774</v>
      </c>
      <c r="G1634" s="3">
        <v>2403.051698177645</v>
      </c>
      <c r="H1634" t="s">
        <v>1755</v>
      </c>
      <c r="I1634" t="s">
        <v>4654</v>
      </c>
      <c r="M1634" t="s">
        <v>1757</v>
      </c>
    </row>
    <row r="1635" spans="1:13" x14ac:dyDescent="0.45">
      <c r="A1635" t="s">
        <v>4655</v>
      </c>
      <c r="B1635">
        <v>1</v>
      </c>
      <c r="C1635" t="s">
        <v>1774</v>
      </c>
      <c r="G1635" s="3">
        <v>1340.7538528266571</v>
      </c>
      <c r="H1635" t="s">
        <v>1755</v>
      </c>
      <c r="I1635" t="s">
        <v>4655</v>
      </c>
      <c r="M1635" t="s">
        <v>1757</v>
      </c>
    </row>
    <row r="1636" spans="1:13" x14ac:dyDescent="0.45">
      <c r="A1636" t="s">
        <v>4656</v>
      </c>
      <c r="B1636">
        <v>1</v>
      </c>
      <c r="C1636" t="s">
        <v>1774</v>
      </c>
      <c r="G1636" s="3">
        <v>1377.1822586538401</v>
      </c>
      <c r="H1636" t="s">
        <v>1755</v>
      </c>
      <c r="I1636" t="s">
        <v>4656</v>
      </c>
      <c r="M1636" t="s">
        <v>1757</v>
      </c>
    </row>
    <row r="1637" spans="1:13" x14ac:dyDescent="0.45">
      <c r="A1637" t="s">
        <v>4657</v>
      </c>
      <c r="B1637">
        <v>1</v>
      </c>
      <c r="C1637" t="s">
        <v>1774</v>
      </c>
      <c r="G1637" s="3">
        <v>2037.8250479742121</v>
      </c>
      <c r="H1637" t="s">
        <v>1755</v>
      </c>
      <c r="I1637" t="s">
        <v>4657</v>
      </c>
      <c r="M1637" t="s">
        <v>1757</v>
      </c>
    </row>
    <row r="1638" spans="1:13" x14ac:dyDescent="0.45">
      <c r="A1638" t="s">
        <v>4658</v>
      </c>
      <c r="B1638">
        <v>1</v>
      </c>
      <c r="C1638" t="s">
        <v>1774</v>
      </c>
      <c r="G1638" s="3">
        <v>2411.4600095951819</v>
      </c>
      <c r="H1638" t="s">
        <v>1755</v>
      </c>
      <c r="I1638" t="s">
        <v>4658</v>
      </c>
      <c r="M1638" t="s">
        <v>1757</v>
      </c>
    </row>
    <row r="1639" spans="1:13" x14ac:dyDescent="0.45">
      <c r="A1639" t="s">
        <v>4659</v>
      </c>
      <c r="B1639">
        <v>2</v>
      </c>
      <c r="C1639" t="s">
        <v>1774</v>
      </c>
      <c r="G1639" s="3">
        <v>4575.3868978860182</v>
      </c>
      <c r="H1639" t="s">
        <v>1755</v>
      </c>
      <c r="I1639" t="s">
        <v>4659</v>
      </c>
      <c r="M1639" t="s">
        <v>1757</v>
      </c>
    </row>
    <row r="1640" spans="1:13" x14ac:dyDescent="0.45">
      <c r="A1640" t="s">
        <v>4660</v>
      </c>
      <c r="B1640">
        <v>1</v>
      </c>
      <c r="C1640" t="s">
        <v>1774</v>
      </c>
      <c r="G1640" s="3">
        <v>1800.572375695499</v>
      </c>
      <c r="H1640" t="s">
        <v>1755</v>
      </c>
      <c r="I1640" t="s">
        <v>4660</v>
      </c>
      <c r="M1640" t="s">
        <v>1757</v>
      </c>
    </row>
    <row r="1641" spans="1:13" x14ac:dyDescent="0.45">
      <c r="A1641" t="s">
        <v>4661</v>
      </c>
      <c r="B1641">
        <v>1</v>
      </c>
      <c r="C1641" t="s">
        <v>1774</v>
      </c>
      <c r="G1641" s="3">
        <v>3294.212030576879</v>
      </c>
      <c r="H1641" t="s">
        <v>1755</v>
      </c>
      <c r="I1641" t="s">
        <v>4661</v>
      </c>
      <c r="M1641" t="s">
        <v>1757</v>
      </c>
    </row>
    <row r="1642" spans="1:13" x14ac:dyDescent="0.45">
      <c r="A1642" t="s">
        <v>4662</v>
      </c>
      <c r="B1642">
        <v>1</v>
      </c>
      <c r="C1642" t="s">
        <v>1774</v>
      </c>
      <c r="G1642" s="3">
        <v>633.33697737792647</v>
      </c>
      <c r="H1642" t="s">
        <v>1755</v>
      </c>
      <c r="I1642" t="s">
        <v>4662</v>
      </c>
      <c r="M1642" t="s">
        <v>1757</v>
      </c>
    </row>
    <row r="1643" spans="1:13" x14ac:dyDescent="0.45">
      <c r="A1643" t="s">
        <v>4663</v>
      </c>
      <c r="B1643">
        <v>5</v>
      </c>
      <c r="C1643" t="s">
        <v>1774</v>
      </c>
      <c r="G1643" s="3">
        <v>351.58352892354071</v>
      </c>
      <c r="H1643" t="s">
        <v>1755</v>
      </c>
      <c r="I1643" t="s">
        <v>4663</v>
      </c>
      <c r="M1643" t="s">
        <v>1757</v>
      </c>
    </row>
    <row r="1644" spans="1:13" x14ac:dyDescent="0.45">
      <c r="A1644" t="s">
        <v>4664</v>
      </c>
      <c r="B1644">
        <v>1</v>
      </c>
      <c r="C1644" t="s">
        <v>1774</v>
      </c>
      <c r="G1644" s="3">
        <v>1354.7166073567109</v>
      </c>
      <c r="H1644" t="s">
        <v>1755</v>
      </c>
      <c r="I1644" t="s">
        <v>4664</v>
      </c>
      <c r="M1644" t="s">
        <v>1757</v>
      </c>
    </row>
    <row r="1645" spans="1:13" x14ac:dyDescent="0.45">
      <c r="A1645" t="s">
        <v>4665</v>
      </c>
      <c r="B1645">
        <v>1</v>
      </c>
      <c r="C1645" t="s">
        <v>1774</v>
      </c>
      <c r="G1645" s="3">
        <v>2642.1341077353491</v>
      </c>
      <c r="H1645" t="s">
        <v>1755</v>
      </c>
      <c r="I1645" t="s">
        <v>4665</v>
      </c>
      <c r="M1645" t="s">
        <v>1757</v>
      </c>
    </row>
    <row r="1646" spans="1:13" x14ac:dyDescent="0.45">
      <c r="A1646" t="s">
        <v>4666</v>
      </c>
      <c r="B1646">
        <v>1</v>
      </c>
      <c r="C1646" t="s">
        <v>1774</v>
      </c>
      <c r="G1646" s="3">
        <v>1369.9937720889629</v>
      </c>
      <c r="H1646" t="s">
        <v>1755</v>
      </c>
      <c r="I1646" t="s">
        <v>4666</v>
      </c>
      <c r="M1646" t="s">
        <v>1757</v>
      </c>
    </row>
    <row r="1647" spans="1:13" x14ac:dyDescent="0.45">
      <c r="A1647" t="s">
        <v>4667</v>
      </c>
      <c r="B1647">
        <v>1</v>
      </c>
      <c r="C1647" t="s">
        <v>1774</v>
      </c>
      <c r="G1647" s="3">
        <v>2264.0960350152031</v>
      </c>
      <c r="H1647" t="s">
        <v>1755</v>
      </c>
      <c r="I1647" t="s">
        <v>4667</v>
      </c>
      <c r="M1647" t="s">
        <v>1757</v>
      </c>
    </row>
    <row r="1648" spans="1:13" x14ac:dyDescent="0.45">
      <c r="A1648" t="s">
        <v>4668</v>
      </c>
      <c r="B1648">
        <v>1</v>
      </c>
      <c r="C1648" t="s">
        <v>1774</v>
      </c>
      <c r="G1648" s="3">
        <v>3546.624451291867</v>
      </c>
      <c r="H1648" t="s">
        <v>1755</v>
      </c>
      <c r="I1648" t="s">
        <v>4668</v>
      </c>
      <c r="M1648" t="s">
        <v>1757</v>
      </c>
    </row>
    <row r="1649" spans="1:13" x14ac:dyDescent="0.45">
      <c r="A1649" t="s">
        <v>4669</v>
      </c>
      <c r="B1649">
        <v>1</v>
      </c>
      <c r="C1649" t="s">
        <v>1774</v>
      </c>
      <c r="G1649" s="3">
        <v>2621.5666865565308</v>
      </c>
      <c r="H1649" t="s">
        <v>1755</v>
      </c>
      <c r="I1649" t="s">
        <v>4669</v>
      </c>
      <c r="M1649" t="s">
        <v>1757</v>
      </c>
    </row>
    <row r="1650" spans="1:13" x14ac:dyDescent="0.45">
      <c r="A1650" t="s">
        <v>4670</v>
      </c>
      <c r="B1650">
        <v>1</v>
      </c>
      <c r="C1650" t="s">
        <v>1774</v>
      </c>
      <c r="G1650" s="3">
        <v>1145.5883995285119</v>
      </c>
      <c r="H1650" t="s">
        <v>1755</v>
      </c>
      <c r="I1650" t="s">
        <v>4670</v>
      </c>
      <c r="M1650" t="s">
        <v>1757</v>
      </c>
    </row>
    <row r="1651" spans="1:13" x14ac:dyDescent="0.45">
      <c r="A1651" t="s">
        <v>4671</v>
      </c>
      <c r="B1651">
        <v>1</v>
      </c>
      <c r="C1651" t="s">
        <v>1774</v>
      </c>
      <c r="G1651" s="3">
        <v>1321.2725323856359</v>
      </c>
      <c r="H1651" t="s">
        <v>1755</v>
      </c>
      <c r="I1651" t="s">
        <v>4671</v>
      </c>
      <c r="M1651" t="s">
        <v>1757</v>
      </c>
    </row>
    <row r="1652" spans="1:13" x14ac:dyDescent="0.45">
      <c r="A1652" t="s">
        <v>4672</v>
      </c>
      <c r="B1652">
        <v>1</v>
      </c>
      <c r="C1652" t="s">
        <v>1774</v>
      </c>
      <c r="G1652" s="3">
        <v>1982.7568051605181</v>
      </c>
      <c r="H1652" t="s">
        <v>1755</v>
      </c>
      <c r="I1652" t="s">
        <v>4672</v>
      </c>
      <c r="M1652" t="s">
        <v>1757</v>
      </c>
    </row>
    <row r="1653" spans="1:13" x14ac:dyDescent="0.45">
      <c r="A1653" t="s">
        <v>4673</v>
      </c>
      <c r="B1653">
        <v>1</v>
      </c>
      <c r="C1653" t="s">
        <v>1774</v>
      </c>
      <c r="G1653" s="3">
        <v>1195.8719282811021</v>
      </c>
      <c r="H1653" t="s">
        <v>1755</v>
      </c>
      <c r="I1653" t="s">
        <v>4673</v>
      </c>
      <c r="M1653" t="s">
        <v>1757</v>
      </c>
    </row>
    <row r="1654" spans="1:13" x14ac:dyDescent="0.45">
      <c r="A1654" t="s">
        <v>4674</v>
      </c>
      <c r="B1654">
        <v>2</v>
      </c>
      <c r="C1654" t="s">
        <v>1774</v>
      </c>
      <c r="G1654" s="3">
        <v>1613.926126983315</v>
      </c>
      <c r="H1654" t="s">
        <v>1755</v>
      </c>
      <c r="I1654" t="s">
        <v>4674</v>
      </c>
      <c r="M1654" t="s">
        <v>1757</v>
      </c>
    </row>
    <row r="1655" spans="1:13" x14ac:dyDescent="0.45">
      <c r="A1655" t="s">
        <v>4675</v>
      </c>
      <c r="B1655">
        <v>1</v>
      </c>
      <c r="C1655" t="s">
        <v>1774</v>
      </c>
      <c r="G1655" s="3">
        <v>2474.554960864486</v>
      </c>
      <c r="H1655" t="s">
        <v>1755</v>
      </c>
      <c r="I1655" t="s">
        <v>4675</v>
      </c>
      <c r="M1655" t="s">
        <v>1757</v>
      </c>
    </row>
    <row r="1656" spans="1:13" x14ac:dyDescent="0.45">
      <c r="A1656" t="s">
        <v>4676</v>
      </c>
      <c r="B1656">
        <v>1</v>
      </c>
      <c r="C1656" t="s">
        <v>1774</v>
      </c>
      <c r="G1656" s="3">
        <v>2227.263195279651</v>
      </c>
      <c r="H1656" t="s">
        <v>1755</v>
      </c>
      <c r="I1656" t="s">
        <v>4676</v>
      </c>
      <c r="M1656" t="s">
        <v>1757</v>
      </c>
    </row>
    <row r="1657" spans="1:13" x14ac:dyDescent="0.45">
      <c r="A1657" t="s">
        <v>4677</v>
      </c>
      <c r="B1657">
        <v>1</v>
      </c>
      <c r="C1657" t="s">
        <v>1774</v>
      </c>
      <c r="G1657" s="3">
        <v>2195.0650376714539</v>
      </c>
      <c r="H1657" t="s">
        <v>1755</v>
      </c>
      <c r="I1657" t="s">
        <v>4677</v>
      </c>
      <c r="M1657" t="s">
        <v>1757</v>
      </c>
    </row>
    <row r="1658" spans="1:13" x14ac:dyDescent="0.45">
      <c r="A1658" t="s">
        <v>4678</v>
      </c>
      <c r="B1658">
        <v>1</v>
      </c>
      <c r="C1658" t="s">
        <v>1774</v>
      </c>
      <c r="G1658" s="3">
        <v>4747.2060776671988</v>
      </c>
      <c r="H1658" t="s">
        <v>1755</v>
      </c>
      <c r="I1658" t="s">
        <v>4678</v>
      </c>
      <c r="M1658" t="s">
        <v>1757</v>
      </c>
    </row>
    <row r="1659" spans="1:13" x14ac:dyDescent="0.45">
      <c r="A1659" t="s">
        <v>4679</v>
      </c>
      <c r="B1659">
        <v>1</v>
      </c>
      <c r="C1659" t="s">
        <v>1774</v>
      </c>
      <c r="G1659" s="3">
        <v>2134.8533087811661</v>
      </c>
      <c r="H1659" t="s">
        <v>1755</v>
      </c>
      <c r="I1659" t="s">
        <v>4679</v>
      </c>
      <c r="M1659" t="s">
        <v>1757</v>
      </c>
    </row>
    <row r="1660" spans="1:13" x14ac:dyDescent="0.45">
      <c r="A1660" t="s">
        <v>4680</v>
      </c>
      <c r="B1660">
        <v>1</v>
      </c>
      <c r="C1660" t="s">
        <v>1774</v>
      </c>
      <c r="G1660" s="3">
        <v>1833.377184166249</v>
      </c>
      <c r="H1660" t="s">
        <v>1755</v>
      </c>
      <c r="I1660" t="s">
        <v>4680</v>
      </c>
      <c r="M1660" t="s">
        <v>1757</v>
      </c>
    </row>
    <row r="1661" spans="1:13" x14ac:dyDescent="0.45">
      <c r="A1661" t="s">
        <v>4681</v>
      </c>
      <c r="B1661">
        <v>1</v>
      </c>
      <c r="C1661" t="s">
        <v>1774</v>
      </c>
      <c r="G1661" s="3">
        <v>1596.3234672779431</v>
      </c>
      <c r="H1661" t="s">
        <v>1755</v>
      </c>
      <c r="I1661" t="s">
        <v>4681</v>
      </c>
      <c r="M1661" t="s">
        <v>1757</v>
      </c>
    </row>
    <row r="1662" spans="1:13" x14ac:dyDescent="0.45">
      <c r="A1662" t="s">
        <v>4682</v>
      </c>
      <c r="B1662">
        <v>1</v>
      </c>
      <c r="C1662" t="s">
        <v>1774</v>
      </c>
      <c r="G1662" s="3">
        <v>1457.638513909006</v>
      </c>
      <c r="H1662" t="s">
        <v>1755</v>
      </c>
      <c r="I1662" t="s">
        <v>4682</v>
      </c>
      <c r="M1662" t="s">
        <v>1757</v>
      </c>
    </row>
    <row r="1663" spans="1:13" x14ac:dyDescent="0.45">
      <c r="A1663" t="s">
        <v>4683</v>
      </c>
      <c r="B1663">
        <v>2</v>
      </c>
      <c r="C1663" t="s">
        <v>1774</v>
      </c>
      <c r="G1663" s="3">
        <v>1905.196818539476</v>
      </c>
      <c r="H1663" t="s">
        <v>1755</v>
      </c>
      <c r="I1663" t="s">
        <v>4683</v>
      </c>
      <c r="M1663" t="s">
        <v>1757</v>
      </c>
    </row>
    <row r="1664" spans="1:13" x14ac:dyDescent="0.45">
      <c r="A1664" t="s">
        <v>4684</v>
      </c>
      <c r="B1664">
        <v>1</v>
      </c>
      <c r="C1664" t="s">
        <v>1774</v>
      </c>
      <c r="G1664" s="3">
        <v>1001.006538850457</v>
      </c>
      <c r="H1664" t="s">
        <v>1755</v>
      </c>
      <c r="I1664" t="s">
        <v>4684</v>
      </c>
      <c r="M1664" t="s">
        <v>1757</v>
      </c>
    </row>
    <row r="1665" spans="1:13" x14ac:dyDescent="0.45">
      <c r="A1665" t="s">
        <v>4685</v>
      </c>
      <c r="B1665">
        <v>3</v>
      </c>
      <c r="C1665" t="s">
        <v>1774</v>
      </c>
      <c r="G1665" s="3">
        <v>1307.1858384320501</v>
      </c>
      <c r="H1665" t="s">
        <v>1755</v>
      </c>
      <c r="I1665" t="s">
        <v>4685</v>
      </c>
      <c r="M1665" t="s">
        <v>1757</v>
      </c>
    </row>
    <row r="1666" spans="1:13" x14ac:dyDescent="0.45">
      <c r="A1666" t="s">
        <v>4686</v>
      </c>
      <c r="B1666">
        <v>1</v>
      </c>
      <c r="C1666" t="s">
        <v>1774</v>
      </c>
      <c r="G1666" s="3">
        <v>1572.4618666841859</v>
      </c>
      <c r="H1666" t="s">
        <v>1755</v>
      </c>
      <c r="I1666" t="s">
        <v>4686</v>
      </c>
      <c r="M1666" t="s">
        <v>1757</v>
      </c>
    </row>
    <row r="1667" spans="1:13" x14ac:dyDescent="0.45">
      <c r="A1667" t="s">
        <v>4687</v>
      </c>
      <c r="B1667">
        <v>1</v>
      </c>
      <c r="C1667" t="s">
        <v>1774</v>
      </c>
      <c r="G1667" s="3">
        <v>4846.0966913909151</v>
      </c>
      <c r="H1667" t="s">
        <v>1755</v>
      </c>
      <c r="I1667" t="s">
        <v>4687</v>
      </c>
      <c r="M1667" t="s">
        <v>1757</v>
      </c>
    </row>
    <row r="1668" spans="1:13" x14ac:dyDescent="0.45">
      <c r="A1668" t="s">
        <v>4688</v>
      </c>
      <c r="B1668">
        <v>1</v>
      </c>
      <c r="C1668" t="s">
        <v>1774</v>
      </c>
      <c r="H1668" t="s">
        <v>1755</v>
      </c>
      <c r="I1668" t="s">
        <v>4688</v>
      </c>
      <c r="M1668" t="s">
        <v>1757</v>
      </c>
    </row>
    <row r="1669" spans="1:13" x14ac:dyDescent="0.45">
      <c r="A1669" t="s">
        <v>4689</v>
      </c>
      <c r="B1669">
        <v>1</v>
      </c>
      <c r="C1669" t="s">
        <v>1774</v>
      </c>
      <c r="G1669" s="3">
        <v>2946.274929956212</v>
      </c>
      <c r="H1669" t="s">
        <v>1755</v>
      </c>
      <c r="I1669" t="s">
        <v>4689</v>
      </c>
      <c r="M1669" t="s">
        <v>1757</v>
      </c>
    </row>
    <row r="1670" spans="1:13" x14ac:dyDescent="0.45">
      <c r="A1670" t="s">
        <v>4690</v>
      </c>
      <c r="B1670">
        <v>1</v>
      </c>
      <c r="C1670" t="s">
        <v>1774</v>
      </c>
      <c r="G1670" s="3">
        <v>4171.4096084460607</v>
      </c>
      <c r="H1670" t="s">
        <v>1755</v>
      </c>
      <c r="I1670" t="s">
        <v>4690</v>
      </c>
      <c r="M1670" t="s">
        <v>1757</v>
      </c>
    </row>
    <row r="1671" spans="1:13" x14ac:dyDescent="0.45">
      <c r="A1671" t="s">
        <v>4691</v>
      </c>
      <c r="B1671">
        <v>1</v>
      </c>
      <c r="C1671" t="s">
        <v>1774</v>
      </c>
      <c r="G1671" s="3">
        <v>3073.974936523648</v>
      </c>
      <c r="H1671" t="s">
        <v>1755</v>
      </c>
      <c r="I1671" t="s">
        <v>4691</v>
      </c>
      <c r="M1671" t="s">
        <v>1757</v>
      </c>
    </row>
    <row r="1672" spans="1:13" x14ac:dyDescent="0.45">
      <c r="A1672" t="s">
        <v>4692</v>
      </c>
      <c r="B1672">
        <v>1</v>
      </c>
      <c r="C1672" t="s">
        <v>1774</v>
      </c>
      <c r="G1672" s="3">
        <v>2353.3291583947271</v>
      </c>
      <c r="H1672" t="s">
        <v>1755</v>
      </c>
      <c r="I1672" t="s">
        <v>4692</v>
      </c>
      <c r="M1672" t="s">
        <v>1757</v>
      </c>
    </row>
    <row r="1673" spans="1:13" x14ac:dyDescent="0.45">
      <c r="A1673" t="s">
        <v>4693</v>
      </c>
      <c r="B1673">
        <v>2</v>
      </c>
      <c r="C1673" t="s">
        <v>1774</v>
      </c>
      <c r="G1673" s="3">
        <v>2666.8078377096199</v>
      </c>
      <c r="H1673" t="s">
        <v>1755</v>
      </c>
      <c r="I1673" t="s">
        <v>4693</v>
      </c>
      <c r="M1673" t="s">
        <v>1757</v>
      </c>
    </row>
    <row r="1674" spans="1:13" x14ac:dyDescent="0.45">
      <c r="A1674" t="s">
        <v>4694</v>
      </c>
      <c r="B1674">
        <v>1</v>
      </c>
      <c r="C1674" t="s">
        <v>1774</v>
      </c>
      <c r="G1674" s="3">
        <v>1813.449029487756</v>
      </c>
      <c r="H1674" t="s">
        <v>1755</v>
      </c>
      <c r="I1674" t="s">
        <v>4694</v>
      </c>
      <c r="M1674" t="s">
        <v>1757</v>
      </c>
    </row>
    <row r="1675" spans="1:13" x14ac:dyDescent="0.45">
      <c r="A1675" t="s">
        <v>4695</v>
      </c>
      <c r="B1675">
        <v>1</v>
      </c>
      <c r="C1675" t="s">
        <v>1774</v>
      </c>
      <c r="G1675" s="3">
        <v>528.39290128378718</v>
      </c>
      <c r="H1675" t="s">
        <v>1755</v>
      </c>
      <c r="I1675" t="s">
        <v>4695</v>
      </c>
      <c r="M1675" t="s">
        <v>1757</v>
      </c>
    </row>
    <row r="1676" spans="1:13" x14ac:dyDescent="0.45">
      <c r="A1676" t="s">
        <v>4696</v>
      </c>
      <c r="B1676">
        <v>2</v>
      </c>
      <c r="C1676" t="s">
        <v>1774</v>
      </c>
      <c r="G1676" s="3">
        <v>1497.78510244216</v>
      </c>
      <c r="H1676" t="s">
        <v>1755</v>
      </c>
      <c r="I1676" t="s">
        <v>4696</v>
      </c>
      <c r="M1676" t="s">
        <v>1757</v>
      </c>
    </row>
    <row r="1677" spans="1:13" x14ac:dyDescent="0.45">
      <c r="A1677" t="s">
        <v>4697</v>
      </c>
      <c r="B1677">
        <v>2</v>
      </c>
      <c r="C1677" t="s">
        <v>1774</v>
      </c>
      <c r="G1677" s="3">
        <v>1599.7578939353</v>
      </c>
      <c r="H1677" t="s">
        <v>1755</v>
      </c>
      <c r="I1677" t="s">
        <v>4697</v>
      </c>
      <c r="M1677" t="s">
        <v>1757</v>
      </c>
    </row>
    <row r="1678" spans="1:13" x14ac:dyDescent="0.45">
      <c r="A1678" t="s">
        <v>4698</v>
      </c>
      <c r="B1678">
        <v>1</v>
      </c>
      <c r="C1678" t="s">
        <v>1774</v>
      </c>
      <c r="G1678" s="3">
        <v>2704.95508764737</v>
      </c>
      <c r="H1678" t="s">
        <v>1755</v>
      </c>
      <c r="I1678" t="s">
        <v>4698</v>
      </c>
      <c r="M1678" t="s">
        <v>1757</v>
      </c>
    </row>
    <row r="1679" spans="1:13" x14ac:dyDescent="0.45">
      <c r="A1679" t="s">
        <v>4699</v>
      </c>
      <c r="B1679">
        <v>2</v>
      </c>
      <c r="C1679" t="s">
        <v>1774</v>
      </c>
      <c r="G1679" s="3">
        <v>3077.1027761859518</v>
      </c>
      <c r="H1679" t="s">
        <v>1755</v>
      </c>
      <c r="I1679" t="s">
        <v>4699</v>
      </c>
      <c r="M1679" t="s">
        <v>1757</v>
      </c>
    </row>
    <row r="1680" spans="1:13" x14ac:dyDescent="0.45">
      <c r="A1680" t="s">
        <v>4700</v>
      </c>
      <c r="B1680">
        <v>1</v>
      </c>
      <c r="C1680" t="s">
        <v>1774</v>
      </c>
      <c r="G1680" s="3">
        <v>492.91687207953697</v>
      </c>
      <c r="H1680" t="s">
        <v>1755</v>
      </c>
      <c r="I1680" t="s">
        <v>4700</v>
      </c>
      <c r="M1680" t="s">
        <v>1757</v>
      </c>
    </row>
    <row r="1681" spans="1:13" x14ac:dyDescent="0.45">
      <c r="A1681" t="s">
        <v>4701</v>
      </c>
      <c r="B1681">
        <v>1</v>
      </c>
      <c r="C1681" t="s">
        <v>1774</v>
      </c>
      <c r="G1681" s="3">
        <v>3556.7679146388582</v>
      </c>
      <c r="H1681" t="s">
        <v>1755</v>
      </c>
      <c r="I1681" t="s">
        <v>4701</v>
      </c>
      <c r="M1681" t="s">
        <v>1757</v>
      </c>
    </row>
    <row r="1682" spans="1:13" x14ac:dyDescent="0.45">
      <c r="A1682" t="s">
        <v>4702</v>
      </c>
      <c r="B1682">
        <v>1</v>
      </c>
      <c r="C1682" t="s">
        <v>1774</v>
      </c>
      <c r="G1682" s="3">
        <v>1270.043150137667</v>
      </c>
      <c r="H1682" t="s">
        <v>1755</v>
      </c>
      <c r="I1682" t="s">
        <v>4702</v>
      </c>
      <c r="M1682" t="s">
        <v>1757</v>
      </c>
    </row>
    <row r="1683" spans="1:13" x14ac:dyDescent="0.45">
      <c r="A1683" t="s">
        <v>4703</v>
      </c>
      <c r="B1683">
        <v>1</v>
      </c>
      <c r="C1683" t="s">
        <v>1774</v>
      </c>
      <c r="G1683" s="3">
        <v>3204.5190267047751</v>
      </c>
      <c r="H1683" t="s">
        <v>1755</v>
      </c>
      <c r="I1683" t="s">
        <v>4703</v>
      </c>
      <c r="M1683" t="s">
        <v>1757</v>
      </c>
    </row>
    <row r="1684" spans="1:13" x14ac:dyDescent="0.45">
      <c r="A1684" t="s">
        <v>4704</v>
      </c>
      <c r="B1684">
        <v>1</v>
      </c>
      <c r="C1684" t="s">
        <v>1774</v>
      </c>
      <c r="G1684" s="3">
        <v>3919.812578675364</v>
      </c>
      <c r="H1684" t="s">
        <v>1755</v>
      </c>
      <c r="I1684" t="s">
        <v>4704</v>
      </c>
      <c r="M1684" t="s">
        <v>1757</v>
      </c>
    </row>
    <row r="1685" spans="1:13" x14ac:dyDescent="0.45">
      <c r="A1685" t="s">
        <v>4705</v>
      </c>
      <c r="B1685">
        <v>1</v>
      </c>
      <c r="C1685" t="s">
        <v>1774</v>
      </c>
      <c r="G1685" s="3">
        <v>1604.6795936750459</v>
      </c>
      <c r="H1685" t="s">
        <v>1755</v>
      </c>
      <c r="I1685" t="s">
        <v>4705</v>
      </c>
      <c r="M1685" t="s">
        <v>1757</v>
      </c>
    </row>
    <row r="1686" spans="1:13" x14ac:dyDescent="0.45">
      <c r="A1686" t="s">
        <v>4706</v>
      </c>
      <c r="B1686">
        <v>1</v>
      </c>
      <c r="C1686" t="s">
        <v>1774</v>
      </c>
      <c r="G1686" s="3">
        <v>2326.0396542711669</v>
      </c>
      <c r="H1686" t="s">
        <v>1755</v>
      </c>
      <c r="I1686" t="s">
        <v>4706</v>
      </c>
      <c r="M1686" t="s">
        <v>1757</v>
      </c>
    </row>
    <row r="1687" spans="1:13" x14ac:dyDescent="0.45">
      <c r="A1687" t="s">
        <v>4707</v>
      </c>
      <c r="B1687">
        <v>4</v>
      </c>
      <c r="C1687" t="s">
        <v>1774</v>
      </c>
      <c r="G1687" s="3">
        <v>1449.184540598588</v>
      </c>
      <c r="H1687" t="s">
        <v>1755</v>
      </c>
      <c r="I1687" t="s">
        <v>4707</v>
      </c>
      <c r="M1687" t="s">
        <v>1757</v>
      </c>
    </row>
    <row r="1688" spans="1:13" x14ac:dyDescent="0.45">
      <c r="A1688" t="s">
        <v>4708</v>
      </c>
      <c r="B1688">
        <v>1</v>
      </c>
      <c r="C1688" t="s">
        <v>1774</v>
      </c>
      <c r="G1688" s="3">
        <v>3087.2821167344919</v>
      </c>
      <c r="H1688" t="s">
        <v>1755</v>
      </c>
      <c r="I1688" t="s">
        <v>4708</v>
      </c>
      <c r="M1688" t="s">
        <v>1757</v>
      </c>
    </row>
    <row r="1689" spans="1:13" x14ac:dyDescent="0.45">
      <c r="A1689" t="s">
        <v>4709</v>
      </c>
      <c r="B1689">
        <v>1</v>
      </c>
      <c r="C1689" t="s">
        <v>1774</v>
      </c>
      <c r="G1689" s="3">
        <v>1772.2522174183539</v>
      </c>
      <c r="H1689" t="s">
        <v>1755</v>
      </c>
      <c r="I1689" t="s">
        <v>4709</v>
      </c>
      <c r="M1689" t="s">
        <v>1757</v>
      </c>
    </row>
    <row r="1690" spans="1:13" x14ac:dyDescent="0.45">
      <c r="A1690" t="s">
        <v>4710</v>
      </c>
      <c r="B1690">
        <v>1</v>
      </c>
      <c r="C1690" t="s">
        <v>1774</v>
      </c>
      <c r="G1690" s="3">
        <v>1296.3248310540821</v>
      </c>
      <c r="H1690" t="s">
        <v>1755</v>
      </c>
      <c r="I1690" t="s">
        <v>4710</v>
      </c>
      <c r="M1690" t="s">
        <v>1757</v>
      </c>
    </row>
    <row r="1691" spans="1:13" x14ac:dyDescent="0.45">
      <c r="A1691" t="s">
        <v>4711</v>
      </c>
      <c r="B1691">
        <v>1</v>
      </c>
      <c r="C1691" t="s">
        <v>1774</v>
      </c>
      <c r="G1691" s="3">
        <v>1119.45348898207</v>
      </c>
      <c r="H1691" t="s">
        <v>1755</v>
      </c>
      <c r="I1691" t="s">
        <v>4711</v>
      </c>
      <c r="M1691" t="s">
        <v>1757</v>
      </c>
    </row>
    <row r="1692" spans="1:13" x14ac:dyDescent="0.45">
      <c r="A1692" t="s">
        <v>4712</v>
      </c>
      <c r="B1692">
        <v>1</v>
      </c>
      <c r="C1692" t="s">
        <v>1774</v>
      </c>
      <c r="H1692" t="s">
        <v>1755</v>
      </c>
      <c r="I1692" t="s">
        <v>4712</v>
      </c>
      <c r="M1692" t="s">
        <v>1757</v>
      </c>
    </row>
    <row r="1693" spans="1:13" x14ac:dyDescent="0.45">
      <c r="A1693" t="s">
        <v>4713</v>
      </c>
      <c r="B1693">
        <v>2</v>
      </c>
      <c r="C1693" t="s">
        <v>1774</v>
      </c>
      <c r="G1693" s="3">
        <v>3661.0401085949011</v>
      </c>
      <c r="H1693" t="s">
        <v>1755</v>
      </c>
      <c r="I1693" t="s">
        <v>4713</v>
      </c>
      <c r="M1693" t="s">
        <v>1757</v>
      </c>
    </row>
    <row r="1694" spans="1:13" x14ac:dyDescent="0.45">
      <c r="A1694" t="s">
        <v>4714</v>
      </c>
      <c r="B1694">
        <v>1</v>
      </c>
      <c r="C1694" t="s">
        <v>1774</v>
      </c>
      <c r="G1694" s="3">
        <v>1122.7965918536661</v>
      </c>
      <c r="H1694" t="s">
        <v>1755</v>
      </c>
      <c r="I1694" t="s">
        <v>4714</v>
      </c>
      <c r="M1694" t="s">
        <v>1757</v>
      </c>
    </row>
    <row r="1695" spans="1:13" x14ac:dyDescent="0.45">
      <c r="A1695" t="s">
        <v>4715</v>
      </c>
      <c r="B1695">
        <v>2</v>
      </c>
      <c r="C1695" t="s">
        <v>1774</v>
      </c>
      <c r="G1695" s="3">
        <v>2177.7233030682551</v>
      </c>
      <c r="H1695" t="s">
        <v>1755</v>
      </c>
      <c r="I1695" t="s">
        <v>4715</v>
      </c>
      <c r="M1695" t="s">
        <v>1757</v>
      </c>
    </row>
    <row r="1696" spans="1:13" x14ac:dyDescent="0.45">
      <c r="A1696" t="s">
        <v>4716</v>
      </c>
      <c r="B1696">
        <v>1</v>
      </c>
      <c r="C1696" t="s">
        <v>1774</v>
      </c>
      <c r="G1696" s="3">
        <v>4806.272997671701</v>
      </c>
      <c r="H1696" t="s">
        <v>1755</v>
      </c>
      <c r="I1696" t="s">
        <v>4716</v>
      </c>
      <c r="M1696" t="s">
        <v>1757</v>
      </c>
    </row>
    <row r="1697" spans="1:13" x14ac:dyDescent="0.45">
      <c r="A1697" t="s">
        <v>4717</v>
      </c>
      <c r="B1697">
        <v>1</v>
      </c>
      <c r="C1697" t="s">
        <v>1774</v>
      </c>
      <c r="G1697" s="3">
        <v>2269.940757303887</v>
      </c>
      <c r="H1697" t="s">
        <v>1755</v>
      </c>
      <c r="I1697" t="s">
        <v>4717</v>
      </c>
      <c r="M1697" t="s">
        <v>1757</v>
      </c>
    </row>
    <row r="1698" spans="1:13" x14ac:dyDescent="0.45">
      <c r="A1698" t="s">
        <v>4718</v>
      </c>
      <c r="B1698">
        <v>4</v>
      </c>
      <c r="C1698" t="s">
        <v>1774</v>
      </c>
      <c r="G1698" s="3">
        <v>1715.5727620987379</v>
      </c>
      <c r="H1698" t="s">
        <v>1755</v>
      </c>
      <c r="I1698" t="s">
        <v>4718</v>
      </c>
      <c r="M1698" t="s">
        <v>1757</v>
      </c>
    </row>
    <row r="1699" spans="1:13" x14ac:dyDescent="0.45">
      <c r="A1699" t="s">
        <v>4719</v>
      </c>
      <c r="B1699">
        <v>1</v>
      </c>
      <c r="C1699" t="s">
        <v>1774</v>
      </c>
      <c r="G1699" s="3">
        <v>3062.6116483239971</v>
      </c>
      <c r="H1699" t="s">
        <v>1755</v>
      </c>
      <c r="I1699" t="s">
        <v>4719</v>
      </c>
      <c r="M1699" t="s">
        <v>1757</v>
      </c>
    </row>
    <row r="1700" spans="1:13" x14ac:dyDescent="0.45">
      <c r="A1700" t="s">
        <v>4720</v>
      </c>
      <c r="B1700">
        <v>1</v>
      </c>
      <c r="C1700" t="s">
        <v>1774</v>
      </c>
      <c r="G1700" s="3">
        <v>3399.4300780283011</v>
      </c>
      <c r="H1700" t="s">
        <v>1755</v>
      </c>
      <c r="I1700" t="s">
        <v>4720</v>
      </c>
      <c r="M1700" t="s">
        <v>1757</v>
      </c>
    </row>
    <row r="1701" spans="1:13" x14ac:dyDescent="0.45">
      <c r="A1701" t="s">
        <v>4721</v>
      </c>
      <c r="B1701">
        <v>1</v>
      </c>
      <c r="C1701" t="s">
        <v>1774</v>
      </c>
      <c r="G1701" s="3">
        <v>3205.190908842872</v>
      </c>
      <c r="H1701" t="s">
        <v>1755</v>
      </c>
      <c r="I1701" t="s">
        <v>4721</v>
      </c>
      <c r="M1701" t="s">
        <v>1757</v>
      </c>
    </row>
    <row r="1702" spans="1:13" x14ac:dyDescent="0.45">
      <c r="A1702" t="s">
        <v>4722</v>
      </c>
      <c r="B1702">
        <v>3</v>
      </c>
      <c r="C1702" t="s">
        <v>1774</v>
      </c>
      <c r="G1702" s="3">
        <v>2641.5307184365729</v>
      </c>
      <c r="H1702" t="s">
        <v>1755</v>
      </c>
      <c r="I1702" t="s">
        <v>4722</v>
      </c>
      <c r="M1702" t="s">
        <v>1757</v>
      </c>
    </row>
    <row r="1703" spans="1:13" x14ac:dyDescent="0.45">
      <c r="A1703" t="s">
        <v>4723</v>
      </c>
      <c r="B1703">
        <v>1</v>
      </c>
      <c r="C1703" t="s">
        <v>1774</v>
      </c>
      <c r="G1703" s="3">
        <v>818.05564189780409</v>
      </c>
      <c r="H1703" t="s">
        <v>1755</v>
      </c>
      <c r="I1703" t="s">
        <v>4723</v>
      </c>
      <c r="M1703" t="s">
        <v>1757</v>
      </c>
    </row>
    <row r="1704" spans="1:13" x14ac:dyDescent="0.45">
      <c r="A1704" t="s">
        <v>4724</v>
      </c>
      <c r="B1704">
        <v>1</v>
      </c>
      <c r="C1704" t="s">
        <v>1774</v>
      </c>
      <c r="G1704" s="3">
        <v>950.01198919444403</v>
      </c>
      <c r="H1704" t="s">
        <v>1755</v>
      </c>
      <c r="I1704" t="s">
        <v>4724</v>
      </c>
      <c r="M1704" t="s">
        <v>1757</v>
      </c>
    </row>
    <row r="1705" spans="1:13" x14ac:dyDescent="0.45">
      <c r="A1705" t="s">
        <v>4725</v>
      </c>
      <c r="B1705">
        <v>1</v>
      </c>
      <c r="C1705" t="s">
        <v>1774</v>
      </c>
      <c r="H1705" t="s">
        <v>1755</v>
      </c>
      <c r="I1705" t="s">
        <v>4725</v>
      </c>
      <c r="M1705" t="s">
        <v>1757</v>
      </c>
    </row>
    <row r="1706" spans="1:13" x14ac:dyDescent="0.45">
      <c r="A1706" t="s">
        <v>4726</v>
      </c>
      <c r="B1706">
        <v>1</v>
      </c>
      <c r="C1706" t="s">
        <v>1774</v>
      </c>
      <c r="G1706" s="3">
        <v>3592.3515754477539</v>
      </c>
      <c r="H1706" t="s">
        <v>1755</v>
      </c>
      <c r="I1706" t="s">
        <v>4726</v>
      </c>
      <c r="M1706" t="s">
        <v>1757</v>
      </c>
    </row>
    <row r="1707" spans="1:13" x14ac:dyDescent="0.45">
      <c r="A1707" t="s">
        <v>4727</v>
      </c>
      <c r="B1707">
        <v>1</v>
      </c>
      <c r="C1707" t="s">
        <v>1774</v>
      </c>
      <c r="G1707" s="3">
        <v>8094.2554414341912</v>
      </c>
      <c r="H1707" t="s">
        <v>1755</v>
      </c>
      <c r="I1707" t="s">
        <v>4727</v>
      </c>
      <c r="M1707" t="s">
        <v>1757</v>
      </c>
    </row>
    <row r="1708" spans="1:13" x14ac:dyDescent="0.45">
      <c r="A1708" t="s">
        <v>4728</v>
      </c>
      <c r="B1708">
        <v>1</v>
      </c>
      <c r="C1708" t="s">
        <v>1774</v>
      </c>
      <c r="G1708" s="3">
        <v>1927.903825556115</v>
      </c>
      <c r="H1708" t="s">
        <v>1755</v>
      </c>
      <c r="I1708" t="s">
        <v>4728</v>
      </c>
      <c r="M1708" t="s">
        <v>1757</v>
      </c>
    </row>
    <row r="1709" spans="1:13" x14ac:dyDescent="0.45">
      <c r="A1709" t="s">
        <v>4729</v>
      </c>
      <c r="B1709">
        <v>2</v>
      </c>
      <c r="C1709" t="s">
        <v>1774</v>
      </c>
      <c r="G1709" s="3">
        <v>1104.7960213674789</v>
      </c>
      <c r="H1709" t="s">
        <v>1755</v>
      </c>
      <c r="I1709" t="s">
        <v>4729</v>
      </c>
      <c r="M1709" t="s">
        <v>1757</v>
      </c>
    </row>
    <row r="1710" spans="1:13" x14ac:dyDescent="0.45">
      <c r="A1710" t="s">
        <v>4730</v>
      </c>
      <c r="B1710">
        <v>1</v>
      </c>
      <c r="C1710" t="s">
        <v>1774</v>
      </c>
      <c r="G1710" s="3">
        <v>4510.1556223426696</v>
      </c>
      <c r="H1710" t="s">
        <v>1755</v>
      </c>
      <c r="I1710" t="s">
        <v>4730</v>
      </c>
      <c r="M1710" t="s">
        <v>1757</v>
      </c>
    </row>
    <row r="1711" spans="1:13" x14ac:dyDescent="0.45">
      <c r="A1711" t="s">
        <v>4731</v>
      </c>
      <c r="B1711">
        <v>1</v>
      </c>
      <c r="C1711" t="s">
        <v>1774</v>
      </c>
      <c r="G1711" s="3">
        <v>1370.5580226224131</v>
      </c>
      <c r="H1711" t="s">
        <v>1755</v>
      </c>
      <c r="I1711" t="s">
        <v>4731</v>
      </c>
      <c r="M1711" t="s">
        <v>1757</v>
      </c>
    </row>
    <row r="1712" spans="1:13" x14ac:dyDescent="0.45">
      <c r="A1712" t="s">
        <v>4732</v>
      </c>
      <c r="B1712">
        <v>1</v>
      </c>
      <c r="C1712" t="s">
        <v>1774</v>
      </c>
      <c r="G1712" s="3">
        <v>2412.1123223506161</v>
      </c>
      <c r="H1712" t="s">
        <v>1755</v>
      </c>
      <c r="I1712" t="s">
        <v>4732</v>
      </c>
      <c r="M1712" t="s">
        <v>1757</v>
      </c>
    </row>
    <row r="1713" spans="1:13" x14ac:dyDescent="0.45">
      <c r="A1713" t="s">
        <v>4733</v>
      </c>
      <c r="B1713">
        <v>1</v>
      </c>
      <c r="C1713" t="s">
        <v>1774</v>
      </c>
      <c r="G1713" s="3">
        <v>2943.9950968759722</v>
      </c>
      <c r="H1713" t="s">
        <v>1755</v>
      </c>
      <c r="I1713" t="s">
        <v>4733</v>
      </c>
      <c r="M1713" t="s">
        <v>1757</v>
      </c>
    </row>
    <row r="1714" spans="1:13" x14ac:dyDescent="0.45">
      <c r="A1714" t="s">
        <v>4734</v>
      </c>
      <c r="B1714">
        <v>1</v>
      </c>
      <c r="C1714" t="s">
        <v>1774</v>
      </c>
      <c r="G1714" s="3">
        <v>1322.6717432460409</v>
      </c>
      <c r="H1714" t="s">
        <v>1755</v>
      </c>
      <c r="I1714" t="s">
        <v>4734</v>
      </c>
      <c r="M1714" t="s">
        <v>1757</v>
      </c>
    </row>
    <row r="1715" spans="1:13" x14ac:dyDescent="0.45">
      <c r="A1715" t="s">
        <v>4735</v>
      </c>
      <c r="B1715">
        <v>2</v>
      </c>
      <c r="C1715" t="s">
        <v>1774</v>
      </c>
      <c r="G1715" s="3">
        <v>4450.5016208582774</v>
      </c>
      <c r="H1715" t="s">
        <v>1755</v>
      </c>
      <c r="I1715" t="s">
        <v>4735</v>
      </c>
      <c r="M1715" t="s">
        <v>1757</v>
      </c>
    </row>
    <row r="1716" spans="1:13" x14ac:dyDescent="0.45">
      <c r="A1716" t="s">
        <v>4736</v>
      </c>
      <c r="B1716">
        <v>2</v>
      </c>
      <c r="C1716" t="s">
        <v>1774</v>
      </c>
      <c r="G1716" s="3">
        <v>1520.162691517306</v>
      </c>
      <c r="H1716" t="s">
        <v>1755</v>
      </c>
      <c r="I1716" t="s">
        <v>4736</v>
      </c>
      <c r="M1716" t="s">
        <v>1757</v>
      </c>
    </row>
    <row r="1717" spans="1:13" x14ac:dyDescent="0.45">
      <c r="A1717" t="s">
        <v>4737</v>
      </c>
      <c r="B1717">
        <v>1</v>
      </c>
      <c r="C1717" t="s">
        <v>1774</v>
      </c>
      <c r="G1717" s="3">
        <v>1182.718041567786</v>
      </c>
      <c r="H1717" t="s">
        <v>1755</v>
      </c>
      <c r="I1717" t="s">
        <v>4737</v>
      </c>
      <c r="M1717" t="s">
        <v>1757</v>
      </c>
    </row>
    <row r="1718" spans="1:13" x14ac:dyDescent="0.45">
      <c r="A1718" t="s">
        <v>4738</v>
      </c>
      <c r="B1718">
        <v>1</v>
      </c>
      <c r="C1718" t="s">
        <v>1774</v>
      </c>
      <c r="G1718" s="3">
        <v>915.28938122271973</v>
      </c>
      <c r="H1718" t="s">
        <v>1755</v>
      </c>
      <c r="I1718" t="s">
        <v>4738</v>
      </c>
      <c r="M1718" t="s">
        <v>1757</v>
      </c>
    </row>
    <row r="1719" spans="1:13" x14ac:dyDescent="0.45">
      <c r="A1719" t="s">
        <v>4739</v>
      </c>
      <c r="B1719">
        <v>1</v>
      </c>
      <c r="C1719" t="s">
        <v>1774</v>
      </c>
      <c r="G1719" s="3">
        <v>845.8148112052761</v>
      </c>
      <c r="H1719" t="s">
        <v>1755</v>
      </c>
      <c r="I1719" t="s">
        <v>4739</v>
      </c>
      <c r="M1719" t="s">
        <v>1757</v>
      </c>
    </row>
    <row r="1720" spans="1:13" x14ac:dyDescent="0.45">
      <c r="A1720" t="s">
        <v>4740</v>
      </c>
      <c r="B1720">
        <v>2</v>
      </c>
      <c r="C1720" t="s">
        <v>1774</v>
      </c>
      <c r="G1720" s="3">
        <v>1548.789436789504</v>
      </c>
      <c r="H1720" t="s">
        <v>1755</v>
      </c>
      <c r="I1720" t="s">
        <v>4740</v>
      </c>
      <c r="M1720" t="s">
        <v>1757</v>
      </c>
    </row>
    <row r="1721" spans="1:13" x14ac:dyDescent="0.45">
      <c r="A1721" t="s">
        <v>4741</v>
      </c>
      <c r="B1721">
        <v>2</v>
      </c>
      <c r="C1721" t="s">
        <v>1774</v>
      </c>
      <c r="G1721" s="3">
        <v>2800.9331249180768</v>
      </c>
      <c r="H1721" t="s">
        <v>1755</v>
      </c>
      <c r="I1721" t="s">
        <v>4741</v>
      </c>
      <c r="M1721" t="s">
        <v>1757</v>
      </c>
    </row>
    <row r="1722" spans="1:13" x14ac:dyDescent="0.45">
      <c r="A1722" t="s">
        <v>4742</v>
      </c>
      <c r="B1722">
        <v>1</v>
      </c>
      <c r="C1722" t="s">
        <v>1774</v>
      </c>
      <c r="G1722" s="3">
        <v>2982.0444999004071</v>
      </c>
      <c r="H1722" t="s">
        <v>1755</v>
      </c>
      <c r="I1722" t="s">
        <v>4742</v>
      </c>
      <c r="M1722" t="s">
        <v>1757</v>
      </c>
    </row>
    <row r="1723" spans="1:13" x14ac:dyDescent="0.45">
      <c r="A1723" t="s">
        <v>4743</v>
      </c>
      <c r="B1723">
        <v>1</v>
      </c>
      <c r="C1723" t="s">
        <v>1774</v>
      </c>
      <c r="G1723" s="3">
        <v>3200.3540097613318</v>
      </c>
      <c r="H1723" t="s">
        <v>1755</v>
      </c>
      <c r="I1723" t="s">
        <v>4743</v>
      </c>
      <c r="M1723" t="s">
        <v>1757</v>
      </c>
    </row>
    <row r="1724" spans="1:13" x14ac:dyDescent="0.45">
      <c r="A1724" t="s">
        <v>4744</v>
      </c>
      <c r="B1724">
        <v>2</v>
      </c>
      <c r="C1724" t="s">
        <v>1774</v>
      </c>
      <c r="G1724" s="3">
        <v>3499.2665452473962</v>
      </c>
      <c r="H1724" t="s">
        <v>1755</v>
      </c>
      <c r="I1724" t="s">
        <v>4744</v>
      </c>
      <c r="M1724" t="s">
        <v>1757</v>
      </c>
    </row>
    <row r="1725" spans="1:13" x14ac:dyDescent="0.45">
      <c r="A1725" t="s">
        <v>4745</v>
      </c>
      <c r="B1725">
        <v>1</v>
      </c>
      <c r="C1725" t="s">
        <v>1774</v>
      </c>
      <c r="G1725" s="3">
        <v>4210.7114519609277</v>
      </c>
      <c r="H1725" t="s">
        <v>1755</v>
      </c>
      <c r="I1725" t="s">
        <v>4745</v>
      </c>
      <c r="M1725" t="s">
        <v>1757</v>
      </c>
    </row>
    <row r="1726" spans="1:13" x14ac:dyDescent="0.45">
      <c r="A1726" t="s">
        <v>4746</v>
      </c>
      <c r="B1726">
        <v>1</v>
      </c>
      <c r="C1726" t="s">
        <v>1774</v>
      </c>
      <c r="G1726" s="3">
        <v>2584.8610478082892</v>
      </c>
      <c r="H1726" t="s">
        <v>1755</v>
      </c>
      <c r="I1726" t="s">
        <v>4746</v>
      </c>
      <c r="M1726" t="s">
        <v>1757</v>
      </c>
    </row>
    <row r="1727" spans="1:13" x14ac:dyDescent="0.45">
      <c r="A1727" t="s">
        <v>4747</v>
      </c>
      <c r="B1727">
        <v>1</v>
      </c>
      <c r="C1727" t="s">
        <v>1774</v>
      </c>
      <c r="G1727" s="3">
        <v>1232.7928302386381</v>
      </c>
      <c r="H1727" t="s">
        <v>1755</v>
      </c>
      <c r="I1727" t="s">
        <v>4747</v>
      </c>
      <c r="M1727" t="s">
        <v>1757</v>
      </c>
    </row>
    <row r="1728" spans="1:13" x14ac:dyDescent="0.45">
      <c r="A1728" t="s">
        <v>4748</v>
      </c>
      <c r="B1728">
        <v>1</v>
      </c>
      <c r="C1728" t="s">
        <v>1774</v>
      </c>
      <c r="G1728" s="3">
        <v>2347.680129932673</v>
      </c>
      <c r="H1728" t="s">
        <v>1755</v>
      </c>
      <c r="I1728" t="s">
        <v>4748</v>
      </c>
      <c r="M1728" t="s">
        <v>1757</v>
      </c>
    </row>
    <row r="1729" spans="1:13" x14ac:dyDescent="0.45">
      <c r="A1729" t="s">
        <v>4749</v>
      </c>
      <c r="B1729">
        <v>1</v>
      </c>
      <c r="C1729" t="s">
        <v>1774</v>
      </c>
      <c r="G1729" s="3">
        <v>3422.0000993662989</v>
      </c>
      <c r="H1729" t="s">
        <v>1755</v>
      </c>
      <c r="I1729" t="s">
        <v>4749</v>
      </c>
      <c r="M1729" t="s">
        <v>1757</v>
      </c>
    </row>
    <row r="1730" spans="1:13" x14ac:dyDescent="0.45">
      <c r="A1730" t="s">
        <v>4750</v>
      </c>
      <c r="B1730">
        <v>1</v>
      </c>
      <c r="C1730" t="s">
        <v>1774</v>
      </c>
      <c r="G1730" s="3">
        <v>3335.9274312868511</v>
      </c>
      <c r="H1730" t="s">
        <v>1755</v>
      </c>
      <c r="I1730" t="s">
        <v>4750</v>
      </c>
      <c r="M1730" t="s">
        <v>1757</v>
      </c>
    </row>
    <row r="1731" spans="1:13" x14ac:dyDescent="0.45">
      <c r="A1731" t="s">
        <v>4751</v>
      </c>
      <c r="B1731">
        <v>6</v>
      </c>
      <c r="C1731" t="s">
        <v>1774</v>
      </c>
      <c r="G1731" s="3">
        <v>2108.0987011170619</v>
      </c>
      <c r="H1731" t="s">
        <v>1755</v>
      </c>
      <c r="I1731" t="s">
        <v>4751</v>
      </c>
      <c r="M1731" t="s">
        <v>1757</v>
      </c>
    </row>
    <row r="1732" spans="1:13" x14ac:dyDescent="0.45">
      <c r="A1732" t="s">
        <v>4752</v>
      </c>
      <c r="B1732">
        <v>2</v>
      </c>
      <c r="C1732" t="s">
        <v>1774</v>
      </c>
      <c r="G1732" s="3">
        <v>1913.008263785792</v>
      </c>
      <c r="H1732" t="s">
        <v>1755</v>
      </c>
      <c r="I1732" t="s">
        <v>4752</v>
      </c>
      <c r="M1732" t="s">
        <v>1757</v>
      </c>
    </row>
    <row r="1733" spans="1:13" x14ac:dyDescent="0.45">
      <c r="A1733" t="s">
        <v>4753</v>
      </c>
      <c r="B1733">
        <v>1</v>
      </c>
      <c r="C1733" t="s">
        <v>1774</v>
      </c>
      <c r="G1733" s="3">
        <v>2262.2793439913212</v>
      </c>
      <c r="H1733" t="s">
        <v>1755</v>
      </c>
      <c r="I1733" t="s">
        <v>4753</v>
      </c>
      <c r="M1733" t="s">
        <v>1757</v>
      </c>
    </row>
    <row r="1734" spans="1:13" x14ac:dyDescent="0.45">
      <c r="A1734" t="s">
        <v>4754</v>
      </c>
      <c r="B1734">
        <v>1</v>
      </c>
      <c r="C1734" t="s">
        <v>1774</v>
      </c>
      <c r="G1734" s="3">
        <v>2421.6230423248362</v>
      </c>
      <c r="H1734" t="s">
        <v>1755</v>
      </c>
      <c r="I1734" t="s">
        <v>4754</v>
      </c>
      <c r="M1734" t="s">
        <v>1757</v>
      </c>
    </row>
    <row r="1735" spans="1:13" x14ac:dyDescent="0.45">
      <c r="A1735" t="s">
        <v>4755</v>
      </c>
      <c r="B1735">
        <v>1</v>
      </c>
      <c r="C1735" t="s">
        <v>1774</v>
      </c>
      <c r="G1735" s="3">
        <v>4064.0715445394799</v>
      </c>
      <c r="H1735" t="s">
        <v>1755</v>
      </c>
      <c r="I1735" t="s">
        <v>4755</v>
      </c>
      <c r="M1735" t="s">
        <v>1757</v>
      </c>
    </row>
    <row r="1736" spans="1:13" x14ac:dyDescent="0.45">
      <c r="A1736" t="s">
        <v>4756</v>
      </c>
      <c r="B1736">
        <v>1</v>
      </c>
      <c r="C1736" t="s">
        <v>1774</v>
      </c>
      <c r="G1736" s="3">
        <v>4344.1420260848481</v>
      </c>
      <c r="H1736" t="s">
        <v>1755</v>
      </c>
      <c r="I1736" t="s">
        <v>4756</v>
      </c>
      <c r="M1736" t="s">
        <v>1757</v>
      </c>
    </row>
    <row r="1737" spans="1:13" x14ac:dyDescent="0.45">
      <c r="A1737" t="s">
        <v>4757</v>
      </c>
      <c r="B1737">
        <v>1</v>
      </c>
      <c r="C1737" t="s">
        <v>1774</v>
      </c>
      <c r="G1737" s="3">
        <v>1730.774910864116</v>
      </c>
      <c r="H1737" t="s">
        <v>1755</v>
      </c>
      <c r="I1737" t="s">
        <v>4757</v>
      </c>
      <c r="M1737" t="s">
        <v>1757</v>
      </c>
    </row>
    <row r="1738" spans="1:13" x14ac:dyDescent="0.45">
      <c r="A1738" t="s">
        <v>4758</v>
      </c>
      <c r="B1738">
        <v>1</v>
      </c>
      <c r="C1738" t="s">
        <v>1774</v>
      </c>
      <c r="G1738" s="3">
        <v>1037.1903273943531</v>
      </c>
      <c r="H1738" t="s">
        <v>1755</v>
      </c>
      <c r="I1738" t="s">
        <v>4758</v>
      </c>
      <c r="M1738" t="s">
        <v>1757</v>
      </c>
    </row>
    <row r="1739" spans="1:13" x14ac:dyDescent="0.45">
      <c r="A1739" t="s">
        <v>4759</v>
      </c>
      <c r="B1739">
        <v>1</v>
      </c>
      <c r="C1739" t="s">
        <v>1774</v>
      </c>
      <c r="G1739" s="3">
        <v>3557.3876117565201</v>
      </c>
      <c r="H1739" t="s">
        <v>1755</v>
      </c>
      <c r="I1739" t="s">
        <v>4759</v>
      </c>
      <c r="M1739" t="s">
        <v>1757</v>
      </c>
    </row>
    <row r="1740" spans="1:13" x14ac:dyDescent="0.45">
      <c r="A1740" t="s">
        <v>4760</v>
      </c>
      <c r="B1740">
        <v>1</v>
      </c>
      <c r="C1740" t="s">
        <v>1774</v>
      </c>
      <c r="G1740" s="3">
        <v>1398.5520245218411</v>
      </c>
      <c r="H1740" t="s">
        <v>1755</v>
      </c>
      <c r="I1740" t="s">
        <v>4760</v>
      </c>
      <c r="M1740" t="s">
        <v>1757</v>
      </c>
    </row>
    <row r="1741" spans="1:13" x14ac:dyDescent="0.45">
      <c r="A1741" t="s">
        <v>4761</v>
      </c>
      <c r="B1741">
        <v>1</v>
      </c>
      <c r="C1741" t="s">
        <v>1774</v>
      </c>
      <c r="G1741" s="3">
        <v>2503.905773295216</v>
      </c>
      <c r="H1741" t="s">
        <v>1755</v>
      </c>
      <c r="I1741" t="s">
        <v>4761</v>
      </c>
      <c r="M1741" t="s">
        <v>1757</v>
      </c>
    </row>
    <row r="1742" spans="1:13" x14ac:dyDescent="0.45">
      <c r="A1742" t="s">
        <v>4762</v>
      </c>
      <c r="B1742">
        <v>1</v>
      </c>
      <c r="C1742" t="s">
        <v>1774</v>
      </c>
      <c r="G1742" s="3">
        <v>2234.454943408306</v>
      </c>
      <c r="H1742" t="s">
        <v>1755</v>
      </c>
      <c r="I1742" t="s">
        <v>4762</v>
      </c>
      <c r="M1742" t="s">
        <v>1757</v>
      </c>
    </row>
    <row r="1743" spans="1:13" x14ac:dyDescent="0.45">
      <c r="A1743" t="s">
        <v>4763</v>
      </c>
      <c r="B1743">
        <v>2</v>
      </c>
      <c r="C1743" t="s">
        <v>1774</v>
      </c>
      <c r="G1743" s="3">
        <v>2143.574730321312</v>
      </c>
      <c r="H1743" t="s">
        <v>1755</v>
      </c>
      <c r="I1743" t="s">
        <v>4763</v>
      </c>
      <c r="M1743" t="s">
        <v>1757</v>
      </c>
    </row>
    <row r="1744" spans="1:13" x14ac:dyDescent="0.45">
      <c r="A1744" t="s">
        <v>4764</v>
      </c>
      <c r="B1744">
        <v>1</v>
      </c>
      <c r="C1744" t="s">
        <v>1774</v>
      </c>
      <c r="G1744" s="3">
        <v>2370.5958770310508</v>
      </c>
      <c r="H1744" t="s">
        <v>1755</v>
      </c>
      <c r="I1744" t="s">
        <v>4764</v>
      </c>
      <c r="M1744" t="s">
        <v>1757</v>
      </c>
    </row>
    <row r="1745" spans="1:13" x14ac:dyDescent="0.45">
      <c r="A1745" t="s">
        <v>4765</v>
      </c>
      <c r="B1745">
        <v>1</v>
      </c>
      <c r="C1745" t="s">
        <v>1774</v>
      </c>
      <c r="G1745" s="3">
        <v>2744.7233347823731</v>
      </c>
      <c r="H1745" t="s">
        <v>1755</v>
      </c>
      <c r="I1745" t="s">
        <v>4765</v>
      </c>
      <c r="M1745" t="s">
        <v>1757</v>
      </c>
    </row>
    <row r="1746" spans="1:13" x14ac:dyDescent="0.45">
      <c r="A1746" t="s">
        <v>4766</v>
      </c>
      <c r="B1746">
        <v>1</v>
      </c>
      <c r="C1746" t="s">
        <v>1774</v>
      </c>
      <c r="G1746" s="3">
        <v>5450.9863095043866</v>
      </c>
      <c r="H1746" t="s">
        <v>1755</v>
      </c>
      <c r="I1746" t="s">
        <v>4766</v>
      </c>
      <c r="M1746" t="s">
        <v>1757</v>
      </c>
    </row>
    <row r="1747" spans="1:13" x14ac:dyDescent="0.45">
      <c r="A1747" t="s">
        <v>4767</v>
      </c>
      <c r="B1747">
        <v>1</v>
      </c>
      <c r="C1747" t="s">
        <v>1774</v>
      </c>
      <c r="G1747" s="3">
        <v>3502.528109024563</v>
      </c>
      <c r="H1747" t="s">
        <v>1755</v>
      </c>
      <c r="I1747" t="s">
        <v>4767</v>
      </c>
      <c r="M1747" t="s">
        <v>1757</v>
      </c>
    </row>
    <row r="1748" spans="1:13" x14ac:dyDescent="0.45">
      <c r="A1748" t="s">
        <v>4768</v>
      </c>
      <c r="B1748">
        <v>1</v>
      </c>
      <c r="C1748" t="s">
        <v>1774</v>
      </c>
      <c r="G1748" s="3">
        <v>1364.6937309510661</v>
      </c>
      <c r="H1748" t="s">
        <v>1755</v>
      </c>
      <c r="I1748" t="s">
        <v>4768</v>
      </c>
      <c r="M1748" t="s">
        <v>1757</v>
      </c>
    </row>
    <row r="1749" spans="1:13" x14ac:dyDescent="0.45">
      <c r="A1749" t="s">
        <v>4769</v>
      </c>
      <c r="B1749">
        <v>1</v>
      </c>
      <c r="C1749" t="s">
        <v>1774</v>
      </c>
      <c r="G1749" s="3">
        <v>3206.9162760809932</v>
      </c>
      <c r="H1749" t="s">
        <v>1755</v>
      </c>
      <c r="I1749" t="s">
        <v>4769</v>
      </c>
      <c r="M1749" t="s">
        <v>1757</v>
      </c>
    </row>
    <row r="1750" spans="1:13" x14ac:dyDescent="0.45">
      <c r="A1750" t="s">
        <v>4770</v>
      </c>
      <c r="B1750">
        <v>1</v>
      </c>
      <c r="C1750" t="s">
        <v>1774</v>
      </c>
      <c r="G1750" s="3">
        <v>3289.515378737759</v>
      </c>
      <c r="H1750" t="s">
        <v>1755</v>
      </c>
      <c r="I1750" t="s">
        <v>4770</v>
      </c>
      <c r="M1750" t="s">
        <v>1757</v>
      </c>
    </row>
    <row r="1751" spans="1:13" x14ac:dyDescent="0.45">
      <c r="A1751" t="s">
        <v>4771</v>
      </c>
      <c r="B1751">
        <v>1</v>
      </c>
      <c r="C1751" t="s">
        <v>1774</v>
      </c>
      <c r="G1751" s="3">
        <v>1854.156606990583</v>
      </c>
      <c r="H1751" t="s">
        <v>1755</v>
      </c>
      <c r="I1751" t="s">
        <v>4771</v>
      </c>
      <c r="M1751" t="s">
        <v>1757</v>
      </c>
    </row>
    <row r="1752" spans="1:13" x14ac:dyDescent="0.45">
      <c r="A1752" t="s">
        <v>4772</v>
      </c>
      <c r="B1752">
        <v>1</v>
      </c>
      <c r="C1752" t="s">
        <v>1774</v>
      </c>
      <c r="G1752" s="3">
        <v>2897.32864235226</v>
      </c>
      <c r="H1752" t="s">
        <v>1755</v>
      </c>
      <c r="I1752" t="s">
        <v>4772</v>
      </c>
      <c r="M1752" t="s">
        <v>1757</v>
      </c>
    </row>
    <row r="1753" spans="1:13" x14ac:dyDescent="0.45">
      <c r="A1753" t="s">
        <v>4773</v>
      </c>
      <c r="B1753">
        <v>1</v>
      </c>
      <c r="C1753" t="s">
        <v>1774</v>
      </c>
      <c r="G1753" s="3">
        <v>5731.3177161519288</v>
      </c>
      <c r="H1753" t="s">
        <v>1755</v>
      </c>
      <c r="I1753" t="s">
        <v>4773</v>
      </c>
      <c r="M1753" t="s">
        <v>1757</v>
      </c>
    </row>
    <row r="1754" spans="1:13" x14ac:dyDescent="0.45">
      <c r="A1754" t="s">
        <v>4774</v>
      </c>
      <c r="B1754">
        <v>2</v>
      </c>
      <c r="C1754" t="s">
        <v>1774</v>
      </c>
      <c r="G1754" s="3">
        <v>1673.85409982499</v>
      </c>
      <c r="H1754" t="s">
        <v>1755</v>
      </c>
      <c r="I1754" t="s">
        <v>4774</v>
      </c>
      <c r="M1754" t="s">
        <v>1757</v>
      </c>
    </row>
    <row r="1755" spans="1:13" x14ac:dyDescent="0.45">
      <c r="A1755" t="s">
        <v>4775</v>
      </c>
      <c r="B1755">
        <v>1</v>
      </c>
      <c r="C1755" t="s">
        <v>1774</v>
      </c>
      <c r="G1755" s="3">
        <v>2006.6151441904969</v>
      </c>
      <c r="H1755" t="s">
        <v>1755</v>
      </c>
      <c r="I1755" t="s">
        <v>4775</v>
      </c>
      <c r="M1755" t="s">
        <v>1757</v>
      </c>
    </row>
    <row r="1756" spans="1:13" x14ac:dyDescent="0.45">
      <c r="A1756" t="s">
        <v>4776</v>
      </c>
      <c r="B1756">
        <v>1</v>
      </c>
      <c r="C1756" t="s">
        <v>1774</v>
      </c>
      <c r="G1756" s="3">
        <v>1572.22703409223</v>
      </c>
      <c r="H1756" t="s">
        <v>1755</v>
      </c>
      <c r="I1756" t="s">
        <v>4776</v>
      </c>
      <c r="M1756" t="s">
        <v>1757</v>
      </c>
    </row>
    <row r="1757" spans="1:13" x14ac:dyDescent="0.45">
      <c r="A1757" t="s">
        <v>4777</v>
      </c>
      <c r="B1757">
        <v>1</v>
      </c>
      <c r="C1757" t="s">
        <v>1774</v>
      </c>
      <c r="G1757" s="3">
        <v>4013.093302702353</v>
      </c>
      <c r="H1757" t="s">
        <v>1755</v>
      </c>
      <c r="I1757" t="s">
        <v>4777</v>
      </c>
      <c r="M1757" t="s">
        <v>1757</v>
      </c>
    </row>
    <row r="1758" spans="1:13" x14ac:dyDescent="0.45">
      <c r="A1758" t="s">
        <v>4778</v>
      </c>
      <c r="B1758">
        <v>1</v>
      </c>
      <c r="C1758" t="s">
        <v>1774</v>
      </c>
      <c r="G1758" s="3">
        <v>2297.1943842258979</v>
      </c>
      <c r="H1758" t="s">
        <v>1755</v>
      </c>
      <c r="I1758" t="s">
        <v>4778</v>
      </c>
      <c r="M1758" t="s">
        <v>1757</v>
      </c>
    </row>
    <row r="1759" spans="1:13" x14ac:dyDescent="0.45">
      <c r="A1759" t="s">
        <v>4779</v>
      </c>
      <c r="B1759">
        <v>1</v>
      </c>
      <c r="C1759" t="s">
        <v>1774</v>
      </c>
      <c r="G1759" s="3">
        <v>945.52407743706169</v>
      </c>
      <c r="H1759" t="s">
        <v>1755</v>
      </c>
      <c r="I1759" t="s">
        <v>4779</v>
      </c>
      <c r="M1759" t="s">
        <v>1757</v>
      </c>
    </row>
    <row r="1760" spans="1:13" x14ac:dyDescent="0.45">
      <c r="A1760" t="s">
        <v>4780</v>
      </c>
      <c r="B1760">
        <v>1</v>
      </c>
      <c r="C1760" t="s">
        <v>1774</v>
      </c>
      <c r="G1760" s="3">
        <v>6560.3419970323484</v>
      </c>
      <c r="H1760" t="s">
        <v>1755</v>
      </c>
      <c r="I1760" t="s">
        <v>4780</v>
      </c>
      <c r="M1760" t="s">
        <v>1757</v>
      </c>
    </row>
    <row r="1761" spans="1:13" x14ac:dyDescent="0.45">
      <c r="A1761" t="s">
        <v>4781</v>
      </c>
      <c r="B1761">
        <v>2</v>
      </c>
      <c r="C1761" t="s">
        <v>1774</v>
      </c>
      <c r="G1761" s="3">
        <v>2073.4935094413149</v>
      </c>
      <c r="H1761" t="s">
        <v>1755</v>
      </c>
      <c r="I1761" t="s">
        <v>4781</v>
      </c>
      <c r="M1761" t="s">
        <v>1757</v>
      </c>
    </row>
    <row r="1762" spans="1:13" x14ac:dyDescent="0.45">
      <c r="A1762" t="s">
        <v>4782</v>
      </c>
      <c r="B1762">
        <v>1</v>
      </c>
      <c r="C1762" t="s">
        <v>1774</v>
      </c>
      <c r="G1762" s="3">
        <v>2747.7337581486991</v>
      </c>
      <c r="H1762" t="s">
        <v>1755</v>
      </c>
      <c r="I1762" t="s">
        <v>4782</v>
      </c>
      <c r="M1762" t="s">
        <v>1757</v>
      </c>
    </row>
    <row r="1763" spans="1:13" x14ac:dyDescent="0.45">
      <c r="A1763" t="s">
        <v>4783</v>
      </c>
      <c r="B1763">
        <v>1</v>
      </c>
      <c r="C1763" t="s">
        <v>1774</v>
      </c>
      <c r="G1763" s="3">
        <v>3533.610811820969</v>
      </c>
      <c r="H1763" t="s">
        <v>1755</v>
      </c>
      <c r="I1763" t="s">
        <v>4783</v>
      </c>
      <c r="M1763" t="s">
        <v>1757</v>
      </c>
    </row>
    <row r="1764" spans="1:13" x14ac:dyDescent="0.45">
      <c r="A1764" t="s">
        <v>4784</v>
      </c>
      <c r="B1764">
        <v>2</v>
      </c>
      <c r="C1764" t="s">
        <v>1774</v>
      </c>
      <c r="G1764" s="3">
        <v>3861.3001245129808</v>
      </c>
      <c r="H1764" t="s">
        <v>1755</v>
      </c>
      <c r="I1764" t="s">
        <v>4784</v>
      </c>
      <c r="M1764" t="s">
        <v>1757</v>
      </c>
    </row>
    <row r="1765" spans="1:13" x14ac:dyDescent="0.45">
      <c r="A1765" t="s">
        <v>4785</v>
      </c>
      <c r="B1765">
        <v>2</v>
      </c>
      <c r="C1765" t="s">
        <v>1774</v>
      </c>
      <c r="G1765" s="3">
        <v>855.6745185036533</v>
      </c>
      <c r="H1765" t="s">
        <v>1755</v>
      </c>
      <c r="I1765" t="s">
        <v>4785</v>
      </c>
      <c r="M1765" t="s">
        <v>1757</v>
      </c>
    </row>
    <row r="1766" spans="1:13" x14ac:dyDescent="0.45">
      <c r="A1766" t="s">
        <v>4786</v>
      </c>
      <c r="B1766">
        <v>3</v>
      </c>
      <c r="C1766" t="s">
        <v>1774</v>
      </c>
      <c r="G1766" s="3">
        <v>813.24809689025926</v>
      </c>
      <c r="H1766" t="s">
        <v>1755</v>
      </c>
      <c r="I1766" t="s">
        <v>4786</v>
      </c>
      <c r="M1766" t="s">
        <v>1757</v>
      </c>
    </row>
    <row r="1767" spans="1:13" x14ac:dyDescent="0.45">
      <c r="A1767" t="s">
        <v>4787</v>
      </c>
      <c r="B1767">
        <v>1</v>
      </c>
      <c r="C1767" t="s">
        <v>1774</v>
      </c>
      <c r="G1767" s="3">
        <v>3361.6937851264738</v>
      </c>
      <c r="H1767" t="s">
        <v>1755</v>
      </c>
      <c r="I1767" t="s">
        <v>4787</v>
      </c>
      <c r="M1767" t="s">
        <v>1757</v>
      </c>
    </row>
    <row r="1768" spans="1:13" x14ac:dyDescent="0.45">
      <c r="A1768" t="s">
        <v>4788</v>
      </c>
      <c r="B1768">
        <v>1</v>
      </c>
      <c r="C1768" t="s">
        <v>1774</v>
      </c>
      <c r="G1768" s="3">
        <v>2830.812310680707</v>
      </c>
      <c r="H1768" t="s">
        <v>1755</v>
      </c>
      <c r="I1768" t="s">
        <v>4788</v>
      </c>
      <c r="M1768" t="s">
        <v>1757</v>
      </c>
    </row>
    <row r="1769" spans="1:13" x14ac:dyDescent="0.45">
      <c r="A1769" t="s">
        <v>4789</v>
      </c>
      <c r="B1769">
        <v>1</v>
      </c>
      <c r="C1769" t="s">
        <v>1774</v>
      </c>
      <c r="G1769" s="3">
        <v>2456.397835316995</v>
      </c>
      <c r="H1769" t="s">
        <v>1755</v>
      </c>
      <c r="I1769" t="s">
        <v>4789</v>
      </c>
      <c r="M1769" t="s">
        <v>1757</v>
      </c>
    </row>
    <row r="1770" spans="1:13" x14ac:dyDescent="0.45">
      <c r="A1770" t="s">
        <v>4790</v>
      </c>
      <c r="B1770">
        <v>1</v>
      </c>
      <c r="C1770" t="s">
        <v>1774</v>
      </c>
      <c r="G1770" s="3">
        <v>3080.367601526897</v>
      </c>
      <c r="H1770" t="s">
        <v>1755</v>
      </c>
      <c r="I1770" t="s">
        <v>4790</v>
      </c>
      <c r="M1770" t="s">
        <v>1757</v>
      </c>
    </row>
    <row r="1771" spans="1:13" x14ac:dyDescent="0.45">
      <c r="A1771" t="s">
        <v>4791</v>
      </c>
      <c r="B1771">
        <v>1</v>
      </c>
      <c r="C1771" t="s">
        <v>1774</v>
      </c>
      <c r="G1771" s="3">
        <v>4287.7822040153951</v>
      </c>
      <c r="H1771" t="s">
        <v>1755</v>
      </c>
      <c r="I1771" t="s">
        <v>4791</v>
      </c>
      <c r="M1771" t="s">
        <v>1757</v>
      </c>
    </row>
    <row r="1772" spans="1:13" x14ac:dyDescent="0.45">
      <c r="A1772" t="s">
        <v>4792</v>
      </c>
      <c r="B1772">
        <v>1</v>
      </c>
      <c r="C1772" t="s">
        <v>1774</v>
      </c>
      <c r="G1772" s="3">
        <v>1602.75200948274</v>
      </c>
      <c r="H1772" t="s">
        <v>1755</v>
      </c>
      <c r="I1772" t="s">
        <v>4792</v>
      </c>
      <c r="M1772" t="s">
        <v>1757</v>
      </c>
    </row>
    <row r="1773" spans="1:13" x14ac:dyDescent="0.45">
      <c r="A1773" t="s">
        <v>4793</v>
      </c>
      <c r="B1773">
        <v>1</v>
      </c>
      <c r="C1773" t="s">
        <v>1774</v>
      </c>
      <c r="G1773" s="3">
        <v>3006.4377353898431</v>
      </c>
      <c r="H1773" t="s">
        <v>1755</v>
      </c>
      <c r="I1773" t="s">
        <v>4793</v>
      </c>
      <c r="M1773" t="s">
        <v>1757</v>
      </c>
    </row>
    <row r="1774" spans="1:13" x14ac:dyDescent="0.45">
      <c r="A1774" t="s">
        <v>4794</v>
      </c>
      <c r="B1774">
        <v>1</v>
      </c>
      <c r="C1774" t="s">
        <v>1774</v>
      </c>
      <c r="G1774" s="3">
        <v>2845.153406608913</v>
      </c>
      <c r="H1774" t="s">
        <v>1755</v>
      </c>
      <c r="I1774" t="s">
        <v>4794</v>
      </c>
      <c r="M1774" t="s">
        <v>1757</v>
      </c>
    </row>
    <row r="1775" spans="1:13" x14ac:dyDescent="0.45">
      <c r="A1775" t="s">
        <v>4795</v>
      </c>
      <c r="B1775">
        <v>1</v>
      </c>
      <c r="C1775" t="s">
        <v>1774</v>
      </c>
      <c r="G1775" s="3">
        <v>1614.9828736471179</v>
      </c>
      <c r="H1775" t="s">
        <v>1755</v>
      </c>
      <c r="I1775" t="s">
        <v>4795</v>
      </c>
      <c r="M1775" t="s">
        <v>1757</v>
      </c>
    </row>
    <row r="1776" spans="1:13" x14ac:dyDescent="0.45">
      <c r="A1776" t="s">
        <v>4796</v>
      </c>
      <c r="B1776">
        <v>3</v>
      </c>
      <c r="C1776" t="s">
        <v>1774</v>
      </c>
      <c r="G1776" s="3">
        <v>846.48343177959555</v>
      </c>
      <c r="H1776" t="s">
        <v>1755</v>
      </c>
      <c r="I1776" t="s">
        <v>4796</v>
      </c>
      <c r="M1776" t="s">
        <v>1757</v>
      </c>
    </row>
    <row r="1777" spans="1:13" x14ac:dyDescent="0.45">
      <c r="A1777" t="s">
        <v>4797</v>
      </c>
      <c r="B1777">
        <v>1</v>
      </c>
      <c r="C1777" t="s">
        <v>1774</v>
      </c>
      <c r="G1777" s="3">
        <v>2141.151388434876</v>
      </c>
      <c r="H1777" t="s">
        <v>1755</v>
      </c>
      <c r="I1777" t="s">
        <v>4797</v>
      </c>
      <c r="M1777" t="s">
        <v>1757</v>
      </c>
    </row>
    <row r="1778" spans="1:13" x14ac:dyDescent="0.45">
      <c r="A1778" t="s">
        <v>4798</v>
      </c>
      <c r="B1778">
        <v>1</v>
      </c>
      <c r="C1778" t="s">
        <v>1774</v>
      </c>
      <c r="G1778" s="3">
        <v>1283.8884883717431</v>
      </c>
      <c r="H1778" t="s">
        <v>1755</v>
      </c>
      <c r="I1778" t="s">
        <v>4798</v>
      </c>
      <c r="M1778" t="s">
        <v>1757</v>
      </c>
    </row>
    <row r="1779" spans="1:13" x14ac:dyDescent="0.45">
      <c r="A1779" t="s">
        <v>4799</v>
      </c>
      <c r="B1779">
        <v>1</v>
      </c>
      <c r="C1779" t="s">
        <v>1774</v>
      </c>
      <c r="G1779" s="3">
        <v>4153.6340858604981</v>
      </c>
      <c r="H1779" t="s">
        <v>1755</v>
      </c>
      <c r="I1779" t="s">
        <v>4799</v>
      </c>
      <c r="M1779" t="s">
        <v>1757</v>
      </c>
    </row>
    <row r="1780" spans="1:13" x14ac:dyDescent="0.45">
      <c r="A1780" t="s">
        <v>4800</v>
      </c>
      <c r="B1780">
        <v>2</v>
      </c>
      <c r="C1780" t="s">
        <v>1774</v>
      </c>
      <c r="G1780" s="3">
        <v>1810.78433188181</v>
      </c>
      <c r="H1780" t="s">
        <v>1755</v>
      </c>
      <c r="I1780" t="s">
        <v>4800</v>
      </c>
      <c r="M1780" t="s">
        <v>1757</v>
      </c>
    </row>
    <row r="1781" spans="1:13" x14ac:dyDescent="0.45">
      <c r="A1781" t="s">
        <v>4801</v>
      </c>
      <c r="B1781">
        <v>1</v>
      </c>
      <c r="C1781" t="s">
        <v>1774</v>
      </c>
      <c r="G1781" s="3">
        <v>3720.0417973238591</v>
      </c>
      <c r="H1781" t="s">
        <v>1755</v>
      </c>
      <c r="I1781" t="s">
        <v>4801</v>
      </c>
      <c r="M1781" t="s">
        <v>1757</v>
      </c>
    </row>
    <row r="1782" spans="1:13" x14ac:dyDescent="0.45">
      <c r="A1782" t="s">
        <v>4802</v>
      </c>
      <c r="B1782">
        <v>1</v>
      </c>
      <c r="C1782" t="s">
        <v>1774</v>
      </c>
      <c r="G1782" s="3">
        <v>2256.874932812555</v>
      </c>
      <c r="H1782" t="s">
        <v>1755</v>
      </c>
      <c r="I1782" t="s">
        <v>4802</v>
      </c>
      <c r="M1782" t="s">
        <v>1757</v>
      </c>
    </row>
    <row r="1783" spans="1:13" x14ac:dyDescent="0.45">
      <c r="A1783" t="s">
        <v>4803</v>
      </c>
      <c r="B1783">
        <v>1</v>
      </c>
      <c r="C1783" t="s">
        <v>1774</v>
      </c>
      <c r="G1783" s="3">
        <v>2293.003274772238</v>
      </c>
      <c r="H1783" t="s">
        <v>1755</v>
      </c>
      <c r="I1783" t="s">
        <v>4803</v>
      </c>
      <c r="M1783" t="s">
        <v>1757</v>
      </c>
    </row>
    <row r="1784" spans="1:13" x14ac:dyDescent="0.45">
      <c r="A1784" t="s">
        <v>4804</v>
      </c>
      <c r="B1784">
        <v>1</v>
      </c>
      <c r="C1784" t="s">
        <v>1774</v>
      </c>
      <c r="G1784" s="3">
        <v>5405.5853417262169</v>
      </c>
      <c r="H1784" t="s">
        <v>1755</v>
      </c>
      <c r="I1784" t="s">
        <v>4804</v>
      </c>
      <c r="M1784" t="s">
        <v>1757</v>
      </c>
    </row>
    <row r="1785" spans="1:13" x14ac:dyDescent="0.45">
      <c r="A1785" t="s">
        <v>4805</v>
      </c>
      <c r="B1785">
        <v>1</v>
      </c>
      <c r="C1785" t="s">
        <v>1774</v>
      </c>
      <c r="G1785" s="3">
        <v>2040.734362863446</v>
      </c>
      <c r="H1785" t="s">
        <v>1755</v>
      </c>
      <c r="I1785" t="s">
        <v>4805</v>
      </c>
      <c r="M1785" t="s">
        <v>1757</v>
      </c>
    </row>
    <row r="1786" spans="1:13" x14ac:dyDescent="0.45">
      <c r="A1786" t="s">
        <v>4806</v>
      </c>
      <c r="B1786">
        <v>1</v>
      </c>
      <c r="C1786" t="s">
        <v>1774</v>
      </c>
      <c r="G1786" s="3">
        <v>3971.7040583700991</v>
      </c>
      <c r="H1786" t="s">
        <v>1755</v>
      </c>
      <c r="I1786" t="s">
        <v>4806</v>
      </c>
      <c r="M1786" t="s">
        <v>1757</v>
      </c>
    </row>
    <row r="1787" spans="1:13" x14ac:dyDescent="0.45">
      <c r="A1787" t="s">
        <v>4807</v>
      </c>
      <c r="B1787">
        <v>2</v>
      </c>
      <c r="C1787" t="s">
        <v>1774</v>
      </c>
      <c r="G1787" s="3">
        <v>2033.9405255156059</v>
      </c>
      <c r="H1787" t="s">
        <v>1755</v>
      </c>
      <c r="I1787" t="s">
        <v>4807</v>
      </c>
      <c r="M1787" t="s">
        <v>1757</v>
      </c>
    </row>
    <row r="1788" spans="1:13" x14ac:dyDescent="0.45">
      <c r="A1788" t="s">
        <v>4808</v>
      </c>
      <c r="B1788">
        <v>1</v>
      </c>
      <c r="C1788" t="s">
        <v>1774</v>
      </c>
      <c r="G1788" s="3">
        <v>1169.3293222625141</v>
      </c>
      <c r="H1788" t="s">
        <v>1755</v>
      </c>
      <c r="I1788" t="s">
        <v>4808</v>
      </c>
      <c r="M1788" t="s">
        <v>1757</v>
      </c>
    </row>
    <row r="1789" spans="1:13" x14ac:dyDescent="0.45">
      <c r="A1789" t="s">
        <v>4809</v>
      </c>
      <c r="B1789">
        <v>1</v>
      </c>
      <c r="C1789" t="s">
        <v>1774</v>
      </c>
      <c r="G1789" s="3">
        <v>2225.8085378350352</v>
      </c>
      <c r="H1789" t="s">
        <v>1755</v>
      </c>
      <c r="I1789" t="s">
        <v>4809</v>
      </c>
      <c r="M1789" t="s">
        <v>1757</v>
      </c>
    </row>
    <row r="1790" spans="1:13" x14ac:dyDescent="0.45">
      <c r="A1790" t="s">
        <v>4810</v>
      </c>
      <c r="B1790">
        <v>1</v>
      </c>
      <c r="C1790" t="s">
        <v>1774</v>
      </c>
      <c r="G1790" s="3">
        <v>701.99615645107815</v>
      </c>
      <c r="H1790" t="s">
        <v>1755</v>
      </c>
      <c r="I1790" t="s">
        <v>4810</v>
      </c>
      <c r="M1790" t="s">
        <v>1757</v>
      </c>
    </row>
    <row r="1791" spans="1:13" x14ac:dyDescent="0.45">
      <c r="A1791" t="s">
        <v>4811</v>
      </c>
      <c r="B1791">
        <v>1</v>
      </c>
      <c r="C1791" t="s">
        <v>1774</v>
      </c>
      <c r="G1791" s="3">
        <v>3651.28803290117</v>
      </c>
      <c r="H1791" t="s">
        <v>1755</v>
      </c>
      <c r="I1791" t="s">
        <v>4811</v>
      </c>
      <c r="M1791" t="s">
        <v>1757</v>
      </c>
    </row>
    <row r="1792" spans="1:13" x14ac:dyDescent="0.45">
      <c r="A1792" t="s">
        <v>4812</v>
      </c>
      <c r="B1792">
        <v>2</v>
      </c>
      <c r="C1792" t="s">
        <v>1774</v>
      </c>
      <c r="G1792" s="3">
        <v>4762.2092710421693</v>
      </c>
      <c r="H1792" t="s">
        <v>1755</v>
      </c>
      <c r="I1792" t="s">
        <v>4812</v>
      </c>
      <c r="M1792" t="s">
        <v>1757</v>
      </c>
    </row>
    <row r="1793" spans="1:13" x14ac:dyDescent="0.45">
      <c r="A1793" t="s">
        <v>4813</v>
      </c>
      <c r="B1793">
        <v>1</v>
      </c>
      <c r="C1793" t="s">
        <v>1774</v>
      </c>
      <c r="G1793" s="3">
        <v>3681.392266564425</v>
      </c>
      <c r="H1793" t="s">
        <v>1755</v>
      </c>
      <c r="I1793" t="s">
        <v>4813</v>
      </c>
      <c r="M1793" t="s">
        <v>1757</v>
      </c>
    </row>
    <row r="1794" spans="1:13" x14ac:dyDescent="0.45">
      <c r="A1794" t="s">
        <v>4814</v>
      </c>
      <c r="B1794">
        <v>1</v>
      </c>
      <c r="C1794" t="s">
        <v>1774</v>
      </c>
      <c r="G1794" s="3">
        <v>2254.8201476329391</v>
      </c>
      <c r="H1794" t="s">
        <v>1755</v>
      </c>
      <c r="I1794" t="s">
        <v>4814</v>
      </c>
      <c r="M1794" t="s">
        <v>1757</v>
      </c>
    </row>
    <row r="1795" spans="1:13" x14ac:dyDescent="0.45">
      <c r="A1795" t="s">
        <v>4815</v>
      </c>
      <c r="B1795">
        <v>1</v>
      </c>
      <c r="C1795" t="s">
        <v>1774</v>
      </c>
      <c r="G1795" s="3">
        <v>1115.924476975174</v>
      </c>
      <c r="H1795" t="s">
        <v>1755</v>
      </c>
      <c r="I1795" t="s">
        <v>4815</v>
      </c>
      <c r="M1795" t="s">
        <v>1757</v>
      </c>
    </row>
    <row r="1796" spans="1:13" x14ac:dyDescent="0.45">
      <c r="A1796" t="s">
        <v>4816</v>
      </c>
      <c r="B1796">
        <v>1</v>
      </c>
      <c r="C1796" t="s">
        <v>1774</v>
      </c>
      <c r="G1796" s="3">
        <v>4840.9760362607631</v>
      </c>
      <c r="H1796" t="s">
        <v>1755</v>
      </c>
      <c r="I1796" t="s">
        <v>4816</v>
      </c>
      <c r="M1796" t="s">
        <v>1757</v>
      </c>
    </row>
    <row r="1797" spans="1:13" x14ac:dyDescent="0.45">
      <c r="A1797" t="s">
        <v>4817</v>
      </c>
      <c r="B1797">
        <v>1</v>
      </c>
      <c r="C1797" t="s">
        <v>1774</v>
      </c>
      <c r="G1797" s="3">
        <v>3958.592571985886</v>
      </c>
      <c r="H1797" t="s">
        <v>1755</v>
      </c>
      <c r="I1797" t="s">
        <v>4817</v>
      </c>
      <c r="M1797" t="s">
        <v>1757</v>
      </c>
    </row>
    <row r="1798" spans="1:13" x14ac:dyDescent="0.45">
      <c r="A1798" t="s">
        <v>4818</v>
      </c>
      <c r="B1798">
        <v>2</v>
      </c>
      <c r="C1798" t="s">
        <v>1774</v>
      </c>
      <c r="G1798" s="3">
        <v>3115.3413499094631</v>
      </c>
      <c r="H1798" t="s">
        <v>1755</v>
      </c>
      <c r="I1798" t="s">
        <v>4818</v>
      </c>
      <c r="M1798" t="s">
        <v>1757</v>
      </c>
    </row>
    <row r="1799" spans="1:13" x14ac:dyDescent="0.45">
      <c r="A1799" t="s">
        <v>4819</v>
      </c>
      <c r="B1799">
        <v>1</v>
      </c>
      <c r="C1799" t="s">
        <v>1774</v>
      </c>
      <c r="G1799" s="3">
        <v>3514.758973188942</v>
      </c>
      <c r="H1799" t="s">
        <v>1755</v>
      </c>
      <c r="I1799" t="s">
        <v>4819</v>
      </c>
      <c r="M1799" t="s">
        <v>1757</v>
      </c>
    </row>
    <row r="1800" spans="1:13" x14ac:dyDescent="0.45">
      <c r="A1800" t="s">
        <v>4820</v>
      </c>
      <c r="B1800">
        <v>1</v>
      </c>
      <c r="C1800" t="s">
        <v>1774</v>
      </c>
      <c r="G1800" s="3">
        <v>1786.443281412809</v>
      </c>
      <c r="H1800" t="s">
        <v>1755</v>
      </c>
      <c r="I1800" t="s">
        <v>4820</v>
      </c>
      <c r="M1800" t="s">
        <v>1757</v>
      </c>
    </row>
    <row r="1801" spans="1:13" x14ac:dyDescent="0.45">
      <c r="A1801" t="s">
        <v>4821</v>
      </c>
      <c r="B1801">
        <v>2</v>
      </c>
      <c r="C1801" t="s">
        <v>1774</v>
      </c>
      <c r="G1801" s="3">
        <v>3066.55814049437</v>
      </c>
      <c r="H1801" t="s">
        <v>1755</v>
      </c>
      <c r="I1801" t="s">
        <v>4821</v>
      </c>
      <c r="M1801" t="s">
        <v>1757</v>
      </c>
    </row>
    <row r="1802" spans="1:13" x14ac:dyDescent="0.45">
      <c r="A1802" t="s">
        <v>4822</v>
      </c>
      <c r="B1802">
        <v>1</v>
      </c>
      <c r="C1802" t="s">
        <v>1774</v>
      </c>
      <c r="G1802" s="3">
        <v>1561.1377172498601</v>
      </c>
      <c r="H1802" t="s">
        <v>1755</v>
      </c>
      <c r="I1802" t="s">
        <v>4822</v>
      </c>
      <c r="M1802" t="s">
        <v>1757</v>
      </c>
    </row>
    <row r="1803" spans="1:13" x14ac:dyDescent="0.45">
      <c r="A1803" t="s">
        <v>4823</v>
      </c>
      <c r="B1803">
        <v>1</v>
      </c>
      <c r="C1803" t="s">
        <v>1774</v>
      </c>
      <c r="G1803" s="3">
        <v>1407.7626806285621</v>
      </c>
      <c r="H1803" t="s">
        <v>1755</v>
      </c>
      <c r="I1803" t="s">
        <v>4823</v>
      </c>
      <c r="M1803" t="s">
        <v>1757</v>
      </c>
    </row>
    <row r="1804" spans="1:13" x14ac:dyDescent="0.45">
      <c r="A1804" t="s">
        <v>4824</v>
      </c>
      <c r="B1804">
        <v>2</v>
      </c>
      <c r="C1804" t="s">
        <v>1774</v>
      </c>
      <c r="G1804" s="3">
        <v>5137.6152617941407</v>
      </c>
      <c r="H1804" t="s">
        <v>1755</v>
      </c>
      <c r="I1804" t="s">
        <v>4824</v>
      </c>
      <c r="M1804" t="s">
        <v>1757</v>
      </c>
    </row>
    <row r="1805" spans="1:13" x14ac:dyDescent="0.45">
      <c r="A1805" t="s">
        <v>4825</v>
      </c>
      <c r="B1805">
        <v>1</v>
      </c>
      <c r="C1805" t="s">
        <v>1774</v>
      </c>
      <c r="G1805" s="3">
        <v>2070.7864115062662</v>
      </c>
      <c r="H1805" t="s">
        <v>1755</v>
      </c>
      <c r="I1805" t="s">
        <v>4825</v>
      </c>
      <c r="M1805" t="s">
        <v>1757</v>
      </c>
    </row>
    <row r="1806" spans="1:13" x14ac:dyDescent="0.45">
      <c r="A1806" t="s">
        <v>4826</v>
      </c>
      <c r="B1806">
        <v>1</v>
      </c>
      <c r="C1806" t="s">
        <v>1774</v>
      </c>
      <c r="G1806" s="3">
        <v>2677.434012495632</v>
      </c>
      <c r="H1806" t="s">
        <v>1755</v>
      </c>
      <c r="I1806" t="s">
        <v>4826</v>
      </c>
      <c r="M1806" t="s">
        <v>1757</v>
      </c>
    </row>
    <row r="1807" spans="1:13" x14ac:dyDescent="0.45">
      <c r="A1807" t="s">
        <v>4827</v>
      </c>
      <c r="B1807">
        <v>1</v>
      </c>
      <c r="C1807" t="s">
        <v>1774</v>
      </c>
      <c r="G1807" s="3">
        <v>2454.8681619055042</v>
      </c>
      <c r="H1807" t="s">
        <v>1755</v>
      </c>
      <c r="I1807" t="s">
        <v>4827</v>
      </c>
      <c r="M1807" t="s">
        <v>1757</v>
      </c>
    </row>
    <row r="1808" spans="1:13" x14ac:dyDescent="0.45">
      <c r="A1808" t="s">
        <v>4828</v>
      </c>
      <c r="B1808">
        <v>1</v>
      </c>
      <c r="C1808" t="s">
        <v>1774</v>
      </c>
      <c r="G1808" s="3">
        <v>1705.220558670009</v>
      </c>
      <c r="H1808" t="s">
        <v>1755</v>
      </c>
      <c r="I1808" t="s">
        <v>4828</v>
      </c>
      <c r="M1808" t="s">
        <v>1757</v>
      </c>
    </row>
    <row r="1809" spans="1:13" x14ac:dyDescent="0.45">
      <c r="A1809" t="s">
        <v>4829</v>
      </c>
      <c r="B1809">
        <v>2</v>
      </c>
      <c r="C1809" t="s">
        <v>1774</v>
      </c>
      <c r="G1809" s="3">
        <v>4747.4343871315996</v>
      </c>
      <c r="H1809" t="s">
        <v>1755</v>
      </c>
      <c r="I1809" t="s">
        <v>4829</v>
      </c>
      <c r="M1809" t="s">
        <v>1757</v>
      </c>
    </row>
    <row r="1810" spans="1:13" x14ac:dyDescent="0.45">
      <c r="A1810" t="s">
        <v>4830</v>
      </c>
      <c r="B1810">
        <v>1</v>
      </c>
      <c r="C1810" t="s">
        <v>1774</v>
      </c>
      <c r="G1810" s="3">
        <v>3426.1096697255298</v>
      </c>
      <c r="H1810" t="s">
        <v>1755</v>
      </c>
      <c r="I1810" t="s">
        <v>4830</v>
      </c>
      <c r="M1810" t="s">
        <v>1757</v>
      </c>
    </row>
    <row r="1811" spans="1:13" x14ac:dyDescent="0.45">
      <c r="A1811" t="s">
        <v>4831</v>
      </c>
      <c r="B1811">
        <v>1</v>
      </c>
      <c r="C1811" t="s">
        <v>1774</v>
      </c>
      <c r="G1811" s="3">
        <v>1868.876044316939</v>
      </c>
      <c r="H1811" t="s">
        <v>1755</v>
      </c>
      <c r="I1811" t="s">
        <v>4831</v>
      </c>
      <c r="M1811" t="s">
        <v>1757</v>
      </c>
    </row>
    <row r="1812" spans="1:13" x14ac:dyDescent="0.45">
      <c r="A1812" t="s">
        <v>4832</v>
      </c>
      <c r="B1812">
        <v>1</v>
      </c>
      <c r="C1812" t="s">
        <v>1774</v>
      </c>
      <c r="G1812" s="3">
        <v>4261.3309217825663</v>
      </c>
      <c r="H1812" t="s">
        <v>1755</v>
      </c>
      <c r="I1812" t="s">
        <v>4832</v>
      </c>
      <c r="M1812" t="s">
        <v>1757</v>
      </c>
    </row>
    <row r="1813" spans="1:13" x14ac:dyDescent="0.45">
      <c r="A1813" t="s">
        <v>4833</v>
      </c>
      <c r="B1813">
        <v>1</v>
      </c>
      <c r="C1813" t="s">
        <v>1774</v>
      </c>
      <c r="G1813" s="3">
        <v>1229.8052378187519</v>
      </c>
      <c r="H1813" t="s">
        <v>1755</v>
      </c>
      <c r="I1813" t="s">
        <v>4833</v>
      </c>
      <c r="M1813" t="s">
        <v>1757</v>
      </c>
    </row>
    <row r="1814" spans="1:13" x14ac:dyDescent="0.45">
      <c r="A1814" t="s">
        <v>4834</v>
      </c>
      <c r="B1814">
        <v>1</v>
      </c>
      <c r="C1814" t="s">
        <v>1774</v>
      </c>
      <c r="G1814" s="3">
        <v>4594.7279710846205</v>
      </c>
      <c r="H1814" t="s">
        <v>1755</v>
      </c>
      <c r="I1814" t="s">
        <v>4834</v>
      </c>
      <c r="M1814" t="s">
        <v>1757</v>
      </c>
    </row>
    <row r="1815" spans="1:13" x14ac:dyDescent="0.45">
      <c r="A1815" t="s">
        <v>4835</v>
      </c>
      <c r="B1815">
        <v>1</v>
      </c>
      <c r="C1815" t="s">
        <v>1774</v>
      </c>
      <c r="G1815" s="3">
        <v>3659.1157859663722</v>
      </c>
      <c r="H1815" t="s">
        <v>1755</v>
      </c>
      <c r="I1815" t="s">
        <v>4835</v>
      </c>
      <c r="M1815" t="s">
        <v>1757</v>
      </c>
    </row>
    <row r="1816" spans="1:13" x14ac:dyDescent="0.45">
      <c r="A1816" t="s">
        <v>4836</v>
      </c>
      <c r="B1816">
        <v>1</v>
      </c>
      <c r="C1816" t="s">
        <v>1774</v>
      </c>
      <c r="G1816" s="3">
        <v>2820.2709365529022</v>
      </c>
      <c r="H1816" t="s">
        <v>1755</v>
      </c>
      <c r="I1816" t="s">
        <v>4836</v>
      </c>
      <c r="M1816" t="s">
        <v>1757</v>
      </c>
    </row>
    <row r="1817" spans="1:13" x14ac:dyDescent="0.45">
      <c r="A1817" t="s">
        <v>4837</v>
      </c>
      <c r="B1817">
        <v>1</v>
      </c>
      <c r="C1817" t="s">
        <v>1774</v>
      </c>
      <c r="G1817" s="3">
        <v>4239.9350634043494</v>
      </c>
      <c r="H1817" t="s">
        <v>1755</v>
      </c>
      <c r="I1817" t="s">
        <v>4837</v>
      </c>
      <c r="M1817" t="s">
        <v>1757</v>
      </c>
    </row>
    <row r="1818" spans="1:13" x14ac:dyDescent="0.45">
      <c r="A1818" t="s">
        <v>4838</v>
      </c>
      <c r="B1818">
        <v>1</v>
      </c>
      <c r="C1818" t="s">
        <v>1774</v>
      </c>
      <c r="G1818" s="3">
        <v>1573.0098093987499</v>
      </c>
      <c r="H1818" t="s">
        <v>1755</v>
      </c>
      <c r="I1818" t="s">
        <v>4838</v>
      </c>
      <c r="M1818" t="s">
        <v>1757</v>
      </c>
    </row>
    <row r="1819" spans="1:13" x14ac:dyDescent="0.45">
      <c r="A1819" t="s">
        <v>4839</v>
      </c>
      <c r="B1819">
        <v>1</v>
      </c>
      <c r="C1819" t="s">
        <v>1774</v>
      </c>
      <c r="G1819" s="3">
        <v>1354.2175880988041</v>
      </c>
      <c r="H1819" t="s">
        <v>1755</v>
      </c>
      <c r="I1819" t="s">
        <v>4839</v>
      </c>
      <c r="M1819" t="s">
        <v>1757</v>
      </c>
    </row>
    <row r="1820" spans="1:13" x14ac:dyDescent="0.45">
      <c r="A1820" t="s">
        <v>4840</v>
      </c>
      <c r="B1820">
        <v>2</v>
      </c>
      <c r="C1820" t="s">
        <v>1774</v>
      </c>
      <c r="G1820" s="3">
        <v>1872.8812446353011</v>
      </c>
      <c r="H1820" t="s">
        <v>1755</v>
      </c>
      <c r="I1820" t="s">
        <v>4840</v>
      </c>
      <c r="M1820" t="s">
        <v>1757</v>
      </c>
    </row>
    <row r="1821" spans="1:13" x14ac:dyDescent="0.45">
      <c r="A1821" t="s">
        <v>4841</v>
      </c>
      <c r="B1821">
        <v>1</v>
      </c>
      <c r="C1821" t="s">
        <v>1774</v>
      </c>
      <c r="G1821" s="3">
        <v>5208.0650393809574</v>
      </c>
      <c r="H1821" t="s">
        <v>1755</v>
      </c>
      <c r="I1821" t="s">
        <v>4841</v>
      </c>
      <c r="M1821" t="s">
        <v>1757</v>
      </c>
    </row>
    <row r="1822" spans="1:13" x14ac:dyDescent="0.45">
      <c r="A1822" t="s">
        <v>4842</v>
      </c>
      <c r="B1822">
        <v>2</v>
      </c>
      <c r="C1822" t="s">
        <v>1774</v>
      </c>
      <c r="G1822" s="3">
        <v>3060.7068950781309</v>
      </c>
      <c r="H1822" t="s">
        <v>1755</v>
      </c>
      <c r="I1822" t="s">
        <v>4842</v>
      </c>
      <c r="M1822" t="s">
        <v>1757</v>
      </c>
    </row>
    <row r="1823" spans="1:13" x14ac:dyDescent="0.45">
      <c r="A1823" t="s">
        <v>4843</v>
      </c>
      <c r="B1823">
        <v>1</v>
      </c>
      <c r="C1823" t="s">
        <v>1774</v>
      </c>
      <c r="G1823" s="3">
        <v>5040.3880455967801</v>
      </c>
      <c r="H1823" t="s">
        <v>1755</v>
      </c>
      <c r="I1823" t="s">
        <v>4843</v>
      </c>
      <c r="M1823" t="s">
        <v>1757</v>
      </c>
    </row>
    <row r="1824" spans="1:13" x14ac:dyDescent="0.45">
      <c r="A1824" t="s">
        <v>4844</v>
      </c>
      <c r="B1824">
        <v>1</v>
      </c>
      <c r="C1824" t="s">
        <v>1774</v>
      </c>
      <c r="G1824" s="3">
        <v>6259.5605855019667</v>
      </c>
      <c r="H1824" t="s">
        <v>1755</v>
      </c>
      <c r="I1824" t="s">
        <v>4844</v>
      </c>
      <c r="M1824" t="s">
        <v>1757</v>
      </c>
    </row>
    <row r="1825" spans="1:13" x14ac:dyDescent="0.45">
      <c r="A1825" t="s">
        <v>4845</v>
      </c>
      <c r="B1825">
        <v>1</v>
      </c>
      <c r="C1825" t="s">
        <v>1774</v>
      </c>
      <c r="G1825" s="3">
        <v>3776.3690037555411</v>
      </c>
      <c r="H1825" t="s">
        <v>1755</v>
      </c>
      <c r="I1825" t="s">
        <v>4845</v>
      </c>
      <c r="M1825" t="s">
        <v>1757</v>
      </c>
    </row>
    <row r="1826" spans="1:13" x14ac:dyDescent="0.45">
      <c r="A1826" t="s">
        <v>4846</v>
      </c>
      <c r="B1826">
        <v>1</v>
      </c>
      <c r="C1826" t="s">
        <v>1774</v>
      </c>
      <c r="G1826" s="3">
        <v>1497.9481806310191</v>
      </c>
      <c r="H1826" t="s">
        <v>1755</v>
      </c>
      <c r="I1826" t="s">
        <v>4846</v>
      </c>
      <c r="M1826" t="s">
        <v>1757</v>
      </c>
    </row>
    <row r="1827" spans="1:13" x14ac:dyDescent="0.45">
      <c r="A1827" t="s">
        <v>4847</v>
      </c>
      <c r="B1827">
        <v>1</v>
      </c>
      <c r="C1827" t="s">
        <v>1774</v>
      </c>
      <c r="G1827" s="3">
        <v>4361.5261610171501</v>
      </c>
      <c r="H1827" t="s">
        <v>1755</v>
      </c>
      <c r="I1827" t="s">
        <v>4847</v>
      </c>
      <c r="M1827" t="s">
        <v>1757</v>
      </c>
    </row>
    <row r="1828" spans="1:13" x14ac:dyDescent="0.45">
      <c r="A1828" t="s">
        <v>4848</v>
      </c>
      <c r="B1828">
        <v>1</v>
      </c>
      <c r="C1828" t="s">
        <v>1774</v>
      </c>
      <c r="G1828" s="3">
        <v>3328.52368151268</v>
      </c>
      <c r="H1828" t="s">
        <v>1755</v>
      </c>
      <c r="I1828" t="s">
        <v>4848</v>
      </c>
      <c r="M1828" t="s">
        <v>1757</v>
      </c>
    </row>
    <row r="1829" spans="1:13" x14ac:dyDescent="0.45">
      <c r="A1829" t="s">
        <v>4849</v>
      </c>
      <c r="B1829">
        <v>1</v>
      </c>
      <c r="C1829" t="s">
        <v>1774</v>
      </c>
      <c r="G1829" s="3">
        <v>5601.6705560095234</v>
      </c>
      <c r="H1829" t="s">
        <v>1755</v>
      </c>
      <c r="I1829" t="s">
        <v>4849</v>
      </c>
      <c r="M1829" t="s">
        <v>1757</v>
      </c>
    </row>
    <row r="1830" spans="1:13" x14ac:dyDescent="0.45">
      <c r="A1830" t="s">
        <v>4850</v>
      </c>
      <c r="B1830">
        <v>1</v>
      </c>
      <c r="C1830" t="s">
        <v>1774</v>
      </c>
      <c r="G1830" s="3">
        <v>2553.3217260830788</v>
      </c>
      <c r="H1830" t="s">
        <v>1755</v>
      </c>
      <c r="I1830" t="s">
        <v>4850</v>
      </c>
      <c r="M1830" t="s">
        <v>1757</v>
      </c>
    </row>
    <row r="1831" spans="1:13" x14ac:dyDescent="0.45">
      <c r="A1831" t="s">
        <v>4851</v>
      </c>
      <c r="B1831">
        <v>2</v>
      </c>
      <c r="C1831" t="s">
        <v>1774</v>
      </c>
      <c r="G1831" s="3">
        <v>2289.6047253164288</v>
      </c>
      <c r="H1831" t="s">
        <v>1755</v>
      </c>
      <c r="I1831" t="s">
        <v>4851</v>
      </c>
      <c r="M1831" t="s">
        <v>1757</v>
      </c>
    </row>
    <row r="1832" spans="1:13" x14ac:dyDescent="0.45">
      <c r="A1832" t="s">
        <v>4852</v>
      </c>
      <c r="B1832">
        <v>1</v>
      </c>
      <c r="C1832" t="s">
        <v>1774</v>
      </c>
      <c r="G1832" s="3">
        <v>1117.1149477538399</v>
      </c>
      <c r="H1832" t="s">
        <v>1755</v>
      </c>
      <c r="I1832" t="s">
        <v>4852</v>
      </c>
      <c r="M1832" t="s">
        <v>1757</v>
      </c>
    </row>
    <row r="1833" spans="1:13" x14ac:dyDescent="0.45">
      <c r="A1833" t="s">
        <v>4853</v>
      </c>
      <c r="B1833">
        <v>1</v>
      </c>
      <c r="C1833" t="s">
        <v>1774</v>
      </c>
      <c r="G1833" s="3">
        <v>3116.5416053794602</v>
      </c>
      <c r="H1833" t="s">
        <v>1755</v>
      </c>
      <c r="I1833" t="s">
        <v>4853</v>
      </c>
      <c r="M1833" t="s">
        <v>1757</v>
      </c>
    </row>
    <row r="1834" spans="1:13" x14ac:dyDescent="0.45">
      <c r="A1834" t="s">
        <v>4854</v>
      </c>
      <c r="B1834">
        <v>1</v>
      </c>
      <c r="C1834" t="s">
        <v>1774</v>
      </c>
      <c r="G1834" s="3">
        <v>4253.6988625439953</v>
      </c>
      <c r="H1834" t="s">
        <v>1755</v>
      </c>
      <c r="I1834" t="s">
        <v>4854</v>
      </c>
      <c r="M1834" t="s">
        <v>1757</v>
      </c>
    </row>
    <row r="1835" spans="1:13" x14ac:dyDescent="0.45">
      <c r="A1835" t="s">
        <v>4855</v>
      </c>
      <c r="B1835">
        <v>1</v>
      </c>
      <c r="C1835" t="s">
        <v>1774</v>
      </c>
      <c r="G1835" s="3">
        <v>2616.1524906864329</v>
      </c>
      <c r="H1835" t="s">
        <v>1755</v>
      </c>
      <c r="I1835" t="s">
        <v>4855</v>
      </c>
      <c r="M1835" t="s">
        <v>1757</v>
      </c>
    </row>
    <row r="1836" spans="1:13" x14ac:dyDescent="0.45">
      <c r="A1836" t="s">
        <v>4856</v>
      </c>
      <c r="B1836">
        <v>1</v>
      </c>
      <c r="C1836" t="s">
        <v>1774</v>
      </c>
      <c r="G1836" s="3">
        <v>2470.2496966786248</v>
      </c>
      <c r="H1836" t="s">
        <v>1755</v>
      </c>
      <c r="I1836" t="s">
        <v>4856</v>
      </c>
      <c r="M1836" t="s">
        <v>1757</v>
      </c>
    </row>
    <row r="1837" spans="1:13" x14ac:dyDescent="0.45">
      <c r="A1837" t="s">
        <v>4857</v>
      </c>
      <c r="B1837">
        <v>1</v>
      </c>
      <c r="C1837" t="s">
        <v>1774</v>
      </c>
      <c r="G1837" s="3">
        <v>2995.9615925375811</v>
      </c>
      <c r="H1837" t="s">
        <v>1755</v>
      </c>
      <c r="I1837" t="s">
        <v>4857</v>
      </c>
      <c r="M1837" t="s">
        <v>1757</v>
      </c>
    </row>
    <row r="1838" spans="1:13" x14ac:dyDescent="0.45">
      <c r="A1838" t="s">
        <v>4858</v>
      </c>
      <c r="B1838">
        <v>1</v>
      </c>
      <c r="C1838" t="s">
        <v>1774</v>
      </c>
      <c r="G1838" s="3">
        <v>3008.2479032861702</v>
      </c>
      <c r="H1838" t="s">
        <v>1755</v>
      </c>
      <c r="I1838" t="s">
        <v>4858</v>
      </c>
      <c r="M1838" t="s">
        <v>1757</v>
      </c>
    </row>
    <row r="1839" spans="1:13" x14ac:dyDescent="0.45">
      <c r="A1839" t="s">
        <v>4859</v>
      </c>
      <c r="B1839">
        <v>1</v>
      </c>
      <c r="C1839" t="s">
        <v>1774</v>
      </c>
      <c r="G1839" s="3">
        <v>1588.18586565391</v>
      </c>
      <c r="H1839" t="s">
        <v>1755</v>
      </c>
      <c r="I1839" t="s">
        <v>4859</v>
      </c>
      <c r="M1839" t="s">
        <v>1757</v>
      </c>
    </row>
    <row r="1840" spans="1:13" x14ac:dyDescent="0.45">
      <c r="A1840" t="s">
        <v>4860</v>
      </c>
      <c r="B1840">
        <v>1</v>
      </c>
      <c r="C1840" t="s">
        <v>1774</v>
      </c>
      <c r="G1840" s="3">
        <v>2423.4397333487182</v>
      </c>
      <c r="H1840" t="s">
        <v>1755</v>
      </c>
      <c r="I1840" t="s">
        <v>4860</v>
      </c>
      <c r="M1840" t="s">
        <v>1757</v>
      </c>
    </row>
    <row r="1841" spans="1:13" x14ac:dyDescent="0.45">
      <c r="A1841" t="s">
        <v>4861</v>
      </c>
      <c r="B1841">
        <v>1</v>
      </c>
      <c r="C1841" t="s">
        <v>1774</v>
      </c>
      <c r="G1841" s="3">
        <v>1837.868357487409</v>
      </c>
      <c r="H1841" t="s">
        <v>1755</v>
      </c>
      <c r="I1841" t="s">
        <v>4861</v>
      </c>
      <c r="M1841" t="s">
        <v>1757</v>
      </c>
    </row>
    <row r="1842" spans="1:13" x14ac:dyDescent="0.45">
      <c r="A1842" t="s">
        <v>4862</v>
      </c>
      <c r="B1842">
        <v>1</v>
      </c>
      <c r="C1842" t="s">
        <v>1774</v>
      </c>
      <c r="G1842" s="3">
        <v>2874.696651302495</v>
      </c>
      <c r="H1842" t="s">
        <v>1755</v>
      </c>
      <c r="I1842" t="s">
        <v>4862</v>
      </c>
      <c r="M1842" t="s">
        <v>1757</v>
      </c>
    </row>
    <row r="1843" spans="1:13" x14ac:dyDescent="0.45">
      <c r="A1843" t="s">
        <v>4863</v>
      </c>
      <c r="B1843">
        <v>2</v>
      </c>
      <c r="C1843" t="s">
        <v>1774</v>
      </c>
      <c r="G1843" s="3">
        <v>1267.5415307205801</v>
      </c>
      <c r="H1843" t="s">
        <v>1755</v>
      </c>
      <c r="I1843" t="s">
        <v>4863</v>
      </c>
      <c r="M1843" t="s">
        <v>1757</v>
      </c>
    </row>
    <row r="1844" spans="1:13" x14ac:dyDescent="0.45">
      <c r="A1844" t="s">
        <v>4864</v>
      </c>
      <c r="B1844">
        <v>1</v>
      </c>
      <c r="C1844" t="s">
        <v>1774</v>
      </c>
      <c r="G1844" s="3">
        <v>1920.1315190751261</v>
      </c>
      <c r="H1844" t="s">
        <v>1755</v>
      </c>
      <c r="I1844" t="s">
        <v>4864</v>
      </c>
      <c r="M1844" t="s">
        <v>1757</v>
      </c>
    </row>
    <row r="1845" spans="1:13" x14ac:dyDescent="0.45">
      <c r="A1845" t="s">
        <v>4865</v>
      </c>
      <c r="B1845">
        <v>1</v>
      </c>
      <c r="C1845" t="s">
        <v>1774</v>
      </c>
      <c r="G1845" s="3">
        <v>3079.702242516355</v>
      </c>
      <c r="H1845" t="s">
        <v>1755</v>
      </c>
      <c r="I1845" t="s">
        <v>4865</v>
      </c>
      <c r="M1845" t="s">
        <v>1757</v>
      </c>
    </row>
    <row r="1846" spans="1:13" x14ac:dyDescent="0.45">
      <c r="A1846" t="s">
        <v>4866</v>
      </c>
      <c r="B1846">
        <v>1</v>
      </c>
      <c r="C1846" t="s">
        <v>1774</v>
      </c>
      <c r="G1846" s="3">
        <v>3833.5768324070582</v>
      </c>
      <c r="H1846" t="s">
        <v>1755</v>
      </c>
      <c r="I1846" t="s">
        <v>4866</v>
      </c>
      <c r="M1846" t="s">
        <v>1757</v>
      </c>
    </row>
    <row r="1847" spans="1:13" x14ac:dyDescent="0.45">
      <c r="A1847" t="s">
        <v>4867</v>
      </c>
      <c r="B1847">
        <v>1</v>
      </c>
      <c r="C1847" t="s">
        <v>1774</v>
      </c>
      <c r="G1847" s="3">
        <v>1033.987471765174</v>
      </c>
      <c r="H1847" t="s">
        <v>1755</v>
      </c>
      <c r="I1847" t="s">
        <v>4867</v>
      </c>
      <c r="M1847" t="s">
        <v>1757</v>
      </c>
    </row>
    <row r="1848" spans="1:13" x14ac:dyDescent="0.45">
      <c r="A1848" t="s">
        <v>4868</v>
      </c>
      <c r="B1848">
        <v>1</v>
      </c>
      <c r="C1848" t="s">
        <v>1774</v>
      </c>
      <c r="G1848" s="3">
        <v>3833.054982202711</v>
      </c>
      <c r="H1848" t="s">
        <v>1755</v>
      </c>
      <c r="I1848" t="s">
        <v>4868</v>
      </c>
      <c r="M1848" t="s">
        <v>1757</v>
      </c>
    </row>
    <row r="1849" spans="1:13" x14ac:dyDescent="0.45">
      <c r="A1849" t="s">
        <v>4869</v>
      </c>
      <c r="B1849">
        <v>1</v>
      </c>
      <c r="C1849" t="s">
        <v>1774</v>
      </c>
      <c r="G1849" s="3">
        <v>2278.153374894795</v>
      </c>
      <c r="H1849" t="s">
        <v>1755</v>
      </c>
      <c r="I1849" t="s">
        <v>4869</v>
      </c>
      <c r="M1849" t="s">
        <v>1757</v>
      </c>
    </row>
    <row r="1850" spans="1:13" x14ac:dyDescent="0.45">
      <c r="A1850" t="s">
        <v>4870</v>
      </c>
      <c r="B1850">
        <v>1</v>
      </c>
      <c r="C1850" t="s">
        <v>1774</v>
      </c>
      <c r="G1850" s="3">
        <v>2485.3735679133501</v>
      </c>
      <c r="H1850" t="s">
        <v>1755</v>
      </c>
      <c r="I1850" t="s">
        <v>4870</v>
      </c>
      <c r="M1850" t="s">
        <v>1757</v>
      </c>
    </row>
    <row r="1851" spans="1:13" x14ac:dyDescent="0.45">
      <c r="A1851" t="s">
        <v>4871</v>
      </c>
      <c r="B1851">
        <v>1</v>
      </c>
      <c r="C1851" t="s">
        <v>1774</v>
      </c>
      <c r="G1851" s="3">
        <v>5721.4025622693398</v>
      </c>
      <c r="H1851" t="s">
        <v>1755</v>
      </c>
      <c r="I1851" t="s">
        <v>4871</v>
      </c>
      <c r="M1851" t="s">
        <v>1757</v>
      </c>
    </row>
    <row r="1852" spans="1:13" x14ac:dyDescent="0.45">
      <c r="A1852" t="s">
        <v>4872</v>
      </c>
      <c r="B1852">
        <v>1</v>
      </c>
      <c r="C1852" t="s">
        <v>1774</v>
      </c>
      <c r="G1852" s="3">
        <v>2691.3641513879138</v>
      </c>
      <c r="H1852" t="s">
        <v>1755</v>
      </c>
      <c r="I1852" t="s">
        <v>4872</v>
      </c>
      <c r="M1852" t="s">
        <v>1757</v>
      </c>
    </row>
    <row r="1853" spans="1:13" x14ac:dyDescent="0.45">
      <c r="A1853" t="s">
        <v>4873</v>
      </c>
      <c r="B1853">
        <v>1</v>
      </c>
      <c r="C1853" t="s">
        <v>1774</v>
      </c>
      <c r="G1853" s="3">
        <v>1648.82159783523</v>
      </c>
      <c r="H1853" t="s">
        <v>1755</v>
      </c>
      <c r="I1853" t="s">
        <v>4873</v>
      </c>
      <c r="M1853" t="s">
        <v>1757</v>
      </c>
    </row>
    <row r="1854" spans="1:13" x14ac:dyDescent="0.45">
      <c r="A1854" t="s">
        <v>4874</v>
      </c>
      <c r="B1854">
        <v>2</v>
      </c>
      <c r="C1854" t="s">
        <v>1774</v>
      </c>
      <c r="G1854" s="3">
        <v>1665.1033242108499</v>
      </c>
      <c r="H1854" t="s">
        <v>1755</v>
      </c>
      <c r="I1854" t="s">
        <v>4874</v>
      </c>
      <c r="M1854" t="s">
        <v>1757</v>
      </c>
    </row>
    <row r="1855" spans="1:13" x14ac:dyDescent="0.45">
      <c r="A1855" t="s">
        <v>4875</v>
      </c>
      <c r="B1855">
        <v>1</v>
      </c>
      <c r="C1855" t="s">
        <v>1774</v>
      </c>
      <c r="G1855" s="3">
        <v>3837.3276307507999</v>
      </c>
      <c r="H1855" t="s">
        <v>1755</v>
      </c>
      <c r="I1855" t="s">
        <v>4875</v>
      </c>
      <c r="M1855" t="s">
        <v>1757</v>
      </c>
    </row>
    <row r="1856" spans="1:13" x14ac:dyDescent="0.45">
      <c r="A1856" t="s">
        <v>4876</v>
      </c>
      <c r="B1856">
        <v>1</v>
      </c>
      <c r="C1856" t="s">
        <v>1774</v>
      </c>
      <c r="G1856" s="3">
        <v>5957.3440859096318</v>
      </c>
      <c r="H1856" t="s">
        <v>1755</v>
      </c>
      <c r="I1856" t="s">
        <v>4876</v>
      </c>
      <c r="M1856" t="s">
        <v>1757</v>
      </c>
    </row>
    <row r="1857" spans="1:13" x14ac:dyDescent="0.45">
      <c r="A1857" t="s">
        <v>4877</v>
      </c>
      <c r="B1857">
        <v>1</v>
      </c>
      <c r="C1857" t="s">
        <v>1774</v>
      </c>
      <c r="G1857" s="3">
        <v>4294.0770221053272</v>
      </c>
      <c r="H1857" t="s">
        <v>1755</v>
      </c>
      <c r="I1857" t="s">
        <v>4877</v>
      </c>
      <c r="M1857" t="s">
        <v>1757</v>
      </c>
    </row>
    <row r="1858" spans="1:13" x14ac:dyDescent="0.45">
      <c r="A1858" t="s">
        <v>4878</v>
      </c>
      <c r="B1858">
        <v>1</v>
      </c>
      <c r="C1858" t="s">
        <v>1774</v>
      </c>
      <c r="G1858" s="3">
        <v>2634.730357961178</v>
      </c>
      <c r="H1858" t="s">
        <v>1755</v>
      </c>
      <c r="I1858" t="s">
        <v>4878</v>
      </c>
      <c r="M1858" t="s">
        <v>1757</v>
      </c>
    </row>
    <row r="1859" spans="1:13" x14ac:dyDescent="0.45">
      <c r="A1859" t="s">
        <v>4879</v>
      </c>
      <c r="B1859">
        <v>1</v>
      </c>
      <c r="C1859" t="s">
        <v>1774</v>
      </c>
      <c r="G1859" s="3">
        <v>2378.420368532476</v>
      </c>
      <c r="H1859" t="s">
        <v>1755</v>
      </c>
      <c r="I1859" t="s">
        <v>4879</v>
      </c>
      <c r="M1859" t="s">
        <v>1757</v>
      </c>
    </row>
    <row r="1860" spans="1:13" x14ac:dyDescent="0.45">
      <c r="A1860" t="s">
        <v>4880</v>
      </c>
      <c r="B1860">
        <v>1</v>
      </c>
      <c r="C1860" t="s">
        <v>1774</v>
      </c>
      <c r="G1860" s="3">
        <v>2155.9654111107711</v>
      </c>
      <c r="H1860" t="s">
        <v>1755</v>
      </c>
      <c r="I1860" t="s">
        <v>4880</v>
      </c>
      <c r="M1860" t="s">
        <v>1757</v>
      </c>
    </row>
    <row r="1861" spans="1:13" x14ac:dyDescent="0.45">
      <c r="A1861" t="s">
        <v>4881</v>
      </c>
      <c r="B1861">
        <v>1</v>
      </c>
      <c r="C1861" t="s">
        <v>1774</v>
      </c>
      <c r="G1861" s="3">
        <v>4104.2213946364109</v>
      </c>
      <c r="H1861" t="s">
        <v>1755</v>
      </c>
      <c r="I1861" t="s">
        <v>4881</v>
      </c>
      <c r="M1861" t="s">
        <v>1757</v>
      </c>
    </row>
    <row r="1862" spans="1:13" x14ac:dyDescent="0.45">
      <c r="A1862" t="s">
        <v>4882</v>
      </c>
      <c r="B1862">
        <v>1</v>
      </c>
      <c r="C1862" t="s">
        <v>1774</v>
      </c>
      <c r="G1862" s="3">
        <v>4395.6421181263213</v>
      </c>
      <c r="H1862" t="s">
        <v>1755</v>
      </c>
      <c r="I1862" t="s">
        <v>4882</v>
      </c>
      <c r="M1862" t="s">
        <v>1757</v>
      </c>
    </row>
    <row r="1863" spans="1:13" x14ac:dyDescent="0.45">
      <c r="A1863" t="s">
        <v>4883</v>
      </c>
      <c r="B1863">
        <v>1</v>
      </c>
      <c r="C1863" t="s">
        <v>1774</v>
      </c>
      <c r="G1863" s="3">
        <v>2741.3541394005588</v>
      </c>
      <c r="H1863" t="s">
        <v>1755</v>
      </c>
      <c r="I1863" t="s">
        <v>4883</v>
      </c>
      <c r="M1863" t="s">
        <v>1757</v>
      </c>
    </row>
    <row r="1864" spans="1:13" x14ac:dyDescent="0.45">
      <c r="A1864" t="s">
        <v>4884</v>
      </c>
      <c r="B1864">
        <v>1</v>
      </c>
      <c r="C1864" t="s">
        <v>1774</v>
      </c>
      <c r="G1864" s="3">
        <v>2873.095223487906</v>
      </c>
      <c r="H1864" t="s">
        <v>1755</v>
      </c>
      <c r="I1864" t="s">
        <v>4884</v>
      </c>
      <c r="M1864" t="s">
        <v>1757</v>
      </c>
    </row>
    <row r="1865" spans="1:13" x14ac:dyDescent="0.45">
      <c r="A1865" t="s">
        <v>4885</v>
      </c>
      <c r="B1865">
        <v>5</v>
      </c>
      <c r="C1865" t="s">
        <v>1774</v>
      </c>
      <c r="G1865" s="3">
        <v>3351.0937028506801</v>
      </c>
      <c r="H1865" t="s">
        <v>1755</v>
      </c>
      <c r="I1865" t="s">
        <v>4885</v>
      </c>
      <c r="M1865" t="s">
        <v>1757</v>
      </c>
    </row>
    <row r="1866" spans="1:13" x14ac:dyDescent="0.45">
      <c r="A1866" t="s">
        <v>4886</v>
      </c>
      <c r="B1866">
        <v>1</v>
      </c>
      <c r="C1866" t="s">
        <v>1774</v>
      </c>
      <c r="G1866" s="3">
        <v>3137.321028203794</v>
      </c>
      <c r="H1866" t="s">
        <v>1755</v>
      </c>
      <c r="I1866" t="s">
        <v>4886</v>
      </c>
      <c r="M1866" t="s">
        <v>1757</v>
      </c>
    </row>
    <row r="1867" spans="1:13" x14ac:dyDescent="0.45">
      <c r="A1867" t="s">
        <v>4887</v>
      </c>
      <c r="B1867">
        <v>1</v>
      </c>
      <c r="C1867" t="s">
        <v>1774</v>
      </c>
      <c r="G1867" s="3">
        <v>2979.9277450090249</v>
      </c>
      <c r="H1867" t="s">
        <v>1755</v>
      </c>
      <c r="I1867" t="s">
        <v>4887</v>
      </c>
      <c r="M1867" t="s">
        <v>1757</v>
      </c>
    </row>
    <row r="1868" spans="1:13" x14ac:dyDescent="0.45">
      <c r="A1868" t="s">
        <v>4888</v>
      </c>
      <c r="B1868">
        <v>1</v>
      </c>
      <c r="C1868" t="s">
        <v>1774</v>
      </c>
      <c r="G1868" s="3">
        <v>1354.259988427907</v>
      </c>
      <c r="H1868" t="s">
        <v>1755</v>
      </c>
      <c r="I1868" t="s">
        <v>4888</v>
      </c>
      <c r="M1868" t="s">
        <v>1757</v>
      </c>
    </row>
    <row r="1869" spans="1:13" x14ac:dyDescent="0.45">
      <c r="A1869" t="s">
        <v>4889</v>
      </c>
      <c r="B1869">
        <v>1</v>
      </c>
      <c r="C1869" t="s">
        <v>1774</v>
      </c>
      <c r="G1869" s="3">
        <v>1500.1790902546011</v>
      </c>
      <c r="H1869" t="s">
        <v>1755</v>
      </c>
      <c r="I1869" t="s">
        <v>4889</v>
      </c>
      <c r="M1869" t="s">
        <v>1757</v>
      </c>
    </row>
    <row r="1870" spans="1:13" x14ac:dyDescent="0.45">
      <c r="A1870" t="s">
        <v>4890</v>
      </c>
      <c r="B1870">
        <v>1</v>
      </c>
      <c r="C1870" t="s">
        <v>1774</v>
      </c>
      <c r="G1870" s="3">
        <v>1825.164566575341</v>
      </c>
      <c r="H1870" t="s">
        <v>1755</v>
      </c>
      <c r="I1870" t="s">
        <v>4890</v>
      </c>
      <c r="M1870" t="s">
        <v>1757</v>
      </c>
    </row>
    <row r="1871" spans="1:13" x14ac:dyDescent="0.45">
      <c r="A1871" t="s">
        <v>4891</v>
      </c>
      <c r="B1871">
        <v>1</v>
      </c>
      <c r="C1871" t="s">
        <v>1774</v>
      </c>
      <c r="G1871" s="3">
        <v>4395.0224210086599</v>
      </c>
      <c r="H1871" t="s">
        <v>1755</v>
      </c>
      <c r="I1871" t="s">
        <v>4891</v>
      </c>
      <c r="M1871" t="s">
        <v>1757</v>
      </c>
    </row>
    <row r="1872" spans="1:13" x14ac:dyDescent="0.45">
      <c r="A1872" t="s">
        <v>4892</v>
      </c>
      <c r="B1872">
        <v>1</v>
      </c>
      <c r="C1872" t="s">
        <v>1774</v>
      </c>
      <c r="G1872" s="3">
        <v>3671.607575232923</v>
      </c>
      <c r="H1872" t="s">
        <v>1755</v>
      </c>
      <c r="I1872" t="s">
        <v>4892</v>
      </c>
      <c r="M1872" t="s">
        <v>1757</v>
      </c>
    </row>
    <row r="1873" spans="1:13" x14ac:dyDescent="0.45">
      <c r="A1873" t="s">
        <v>4893</v>
      </c>
      <c r="B1873">
        <v>1</v>
      </c>
      <c r="C1873" t="s">
        <v>1774</v>
      </c>
      <c r="G1873" s="3">
        <v>2034.256897201991</v>
      </c>
      <c r="H1873" t="s">
        <v>1755</v>
      </c>
      <c r="I1873" t="s">
        <v>4893</v>
      </c>
      <c r="M1873" t="s">
        <v>1757</v>
      </c>
    </row>
    <row r="1874" spans="1:13" x14ac:dyDescent="0.45">
      <c r="A1874" t="s">
        <v>4894</v>
      </c>
      <c r="B1874">
        <v>1</v>
      </c>
      <c r="C1874" t="s">
        <v>1774</v>
      </c>
      <c r="G1874" s="3">
        <v>1681.1828336322851</v>
      </c>
      <c r="H1874" t="s">
        <v>1755</v>
      </c>
      <c r="I1874" t="s">
        <v>4894</v>
      </c>
      <c r="M1874" t="s">
        <v>1757</v>
      </c>
    </row>
    <row r="1875" spans="1:13" x14ac:dyDescent="0.45">
      <c r="A1875" t="s">
        <v>4895</v>
      </c>
      <c r="B1875">
        <v>1</v>
      </c>
      <c r="C1875" t="s">
        <v>1774</v>
      </c>
      <c r="G1875" s="3">
        <v>865.88647468996464</v>
      </c>
      <c r="H1875" t="s">
        <v>1755</v>
      </c>
      <c r="I1875" t="s">
        <v>4895</v>
      </c>
      <c r="M1875" t="s">
        <v>1757</v>
      </c>
    </row>
    <row r="1876" spans="1:13" x14ac:dyDescent="0.45">
      <c r="A1876" t="s">
        <v>4896</v>
      </c>
      <c r="B1876">
        <v>2</v>
      </c>
      <c r="C1876" t="s">
        <v>1774</v>
      </c>
      <c r="G1876" s="3">
        <v>3332.2092485808798</v>
      </c>
      <c r="H1876" t="s">
        <v>1755</v>
      </c>
      <c r="I1876" t="s">
        <v>4896</v>
      </c>
      <c r="M1876" t="s">
        <v>1757</v>
      </c>
    </row>
    <row r="1877" spans="1:13" x14ac:dyDescent="0.45">
      <c r="A1877" t="s">
        <v>4897</v>
      </c>
      <c r="B1877">
        <v>1</v>
      </c>
      <c r="C1877" t="s">
        <v>1774</v>
      </c>
      <c r="G1877" s="3">
        <v>4449.4905360873563</v>
      </c>
      <c r="H1877" t="s">
        <v>1755</v>
      </c>
      <c r="I1877" t="s">
        <v>4897</v>
      </c>
      <c r="M1877" t="s">
        <v>1757</v>
      </c>
    </row>
    <row r="1878" spans="1:13" x14ac:dyDescent="0.45">
      <c r="A1878" t="s">
        <v>4898</v>
      </c>
      <c r="B1878">
        <v>1</v>
      </c>
      <c r="C1878" t="s">
        <v>1774</v>
      </c>
      <c r="G1878" s="3">
        <v>3219.936438679445</v>
      </c>
      <c r="H1878" t="s">
        <v>1755</v>
      </c>
      <c r="I1878" t="s">
        <v>4898</v>
      </c>
      <c r="M1878" t="s">
        <v>1757</v>
      </c>
    </row>
    <row r="1879" spans="1:13" x14ac:dyDescent="0.45">
      <c r="A1879" t="s">
        <v>4899</v>
      </c>
      <c r="B1879">
        <v>1</v>
      </c>
      <c r="C1879" t="s">
        <v>1774</v>
      </c>
      <c r="G1879" s="3">
        <v>2064.129559837068</v>
      </c>
      <c r="H1879" t="s">
        <v>1755</v>
      </c>
      <c r="I1879" t="s">
        <v>4899</v>
      </c>
      <c r="M1879" t="s">
        <v>1757</v>
      </c>
    </row>
    <row r="1880" spans="1:13" x14ac:dyDescent="0.45">
      <c r="A1880" t="s">
        <v>4900</v>
      </c>
      <c r="B1880">
        <v>1</v>
      </c>
      <c r="C1880" t="s">
        <v>1774</v>
      </c>
      <c r="G1880" s="3">
        <v>3844.4052241472541</v>
      </c>
      <c r="H1880" t="s">
        <v>1755</v>
      </c>
      <c r="I1880" t="s">
        <v>4900</v>
      </c>
      <c r="M1880" t="s">
        <v>1757</v>
      </c>
    </row>
    <row r="1881" spans="1:13" x14ac:dyDescent="0.45">
      <c r="A1881" t="s">
        <v>4901</v>
      </c>
      <c r="B1881">
        <v>1</v>
      </c>
      <c r="C1881" t="s">
        <v>1774</v>
      </c>
      <c r="G1881" s="3">
        <v>2990.0353311544668</v>
      </c>
      <c r="H1881" t="s">
        <v>1755</v>
      </c>
      <c r="I1881" t="s">
        <v>4901</v>
      </c>
      <c r="M1881" t="s">
        <v>1757</v>
      </c>
    </row>
    <row r="1882" spans="1:13" x14ac:dyDescent="0.45">
      <c r="A1882" t="s">
        <v>4902</v>
      </c>
      <c r="B1882">
        <v>1</v>
      </c>
      <c r="C1882" t="s">
        <v>1774</v>
      </c>
      <c r="G1882" s="3">
        <v>1763.2144241918229</v>
      </c>
      <c r="H1882" t="s">
        <v>1755</v>
      </c>
      <c r="I1882" t="s">
        <v>4902</v>
      </c>
      <c r="M1882" t="s">
        <v>1757</v>
      </c>
    </row>
    <row r="1883" spans="1:13" x14ac:dyDescent="0.45">
      <c r="A1883" t="s">
        <v>4903</v>
      </c>
      <c r="B1883">
        <v>1</v>
      </c>
      <c r="C1883" t="s">
        <v>1774</v>
      </c>
      <c r="G1883" s="3">
        <v>3260.3896142076528</v>
      </c>
      <c r="H1883" t="s">
        <v>1755</v>
      </c>
      <c r="I1883" t="s">
        <v>4903</v>
      </c>
      <c r="M1883" t="s">
        <v>1757</v>
      </c>
    </row>
    <row r="1884" spans="1:13" x14ac:dyDescent="0.45">
      <c r="A1884" t="s">
        <v>4904</v>
      </c>
      <c r="B1884">
        <v>1</v>
      </c>
      <c r="C1884" t="s">
        <v>1774</v>
      </c>
      <c r="G1884" s="3">
        <v>3471.3149436770709</v>
      </c>
      <c r="H1884" t="s">
        <v>1755</v>
      </c>
      <c r="I1884" t="s">
        <v>4904</v>
      </c>
      <c r="M1884" t="s">
        <v>1757</v>
      </c>
    </row>
    <row r="1885" spans="1:13" x14ac:dyDescent="0.45">
      <c r="A1885" t="s">
        <v>4905</v>
      </c>
      <c r="B1885">
        <v>1</v>
      </c>
      <c r="C1885" t="s">
        <v>1774</v>
      </c>
      <c r="G1885" s="3">
        <v>5323.2960876282832</v>
      </c>
      <c r="H1885" t="s">
        <v>1755</v>
      </c>
      <c r="I1885" t="s">
        <v>4905</v>
      </c>
      <c r="M1885" t="s">
        <v>1757</v>
      </c>
    </row>
    <row r="1886" spans="1:13" x14ac:dyDescent="0.45">
      <c r="A1886" t="s">
        <v>4906</v>
      </c>
      <c r="B1886">
        <v>1</v>
      </c>
      <c r="C1886" t="s">
        <v>1774</v>
      </c>
      <c r="G1886" s="3">
        <v>6981.7034214046071</v>
      </c>
      <c r="H1886" t="s">
        <v>1755</v>
      </c>
      <c r="I1886" t="s">
        <v>4906</v>
      </c>
      <c r="M1886" t="s">
        <v>1757</v>
      </c>
    </row>
    <row r="1887" spans="1:13" x14ac:dyDescent="0.45">
      <c r="A1887" t="s">
        <v>4907</v>
      </c>
      <c r="B1887">
        <v>3</v>
      </c>
      <c r="C1887" t="s">
        <v>1774</v>
      </c>
      <c r="G1887" s="3">
        <v>1370.0068183440719</v>
      </c>
      <c r="H1887" t="s">
        <v>1755</v>
      </c>
      <c r="I1887" t="s">
        <v>4907</v>
      </c>
      <c r="M1887" t="s">
        <v>1757</v>
      </c>
    </row>
    <row r="1888" spans="1:13" x14ac:dyDescent="0.45">
      <c r="A1888" t="s">
        <v>4908</v>
      </c>
      <c r="B1888">
        <v>1</v>
      </c>
      <c r="C1888" t="s">
        <v>1774</v>
      </c>
      <c r="G1888" s="3">
        <v>2812.0746267808809</v>
      </c>
      <c r="H1888" t="s">
        <v>1755</v>
      </c>
      <c r="I1888" t="s">
        <v>4908</v>
      </c>
      <c r="M1888" t="s">
        <v>1757</v>
      </c>
    </row>
    <row r="1889" spans="1:13" x14ac:dyDescent="0.45">
      <c r="A1889" t="s">
        <v>4909</v>
      </c>
      <c r="B1889">
        <v>1</v>
      </c>
      <c r="C1889" t="s">
        <v>1774</v>
      </c>
      <c r="G1889" s="3">
        <v>3159.5485853451901</v>
      </c>
      <c r="H1889" t="s">
        <v>1755</v>
      </c>
      <c r="I1889" t="s">
        <v>4909</v>
      </c>
      <c r="M1889" t="s">
        <v>1757</v>
      </c>
    </row>
    <row r="1890" spans="1:13" x14ac:dyDescent="0.45">
      <c r="A1890" t="s">
        <v>4910</v>
      </c>
      <c r="B1890">
        <v>1</v>
      </c>
      <c r="C1890" t="s">
        <v>1774</v>
      </c>
      <c r="G1890" s="3">
        <v>2242.700176636984</v>
      </c>
      <c r="H1890" t="s">
        <v>1755</v>
      </c>
      <c r="I1890" t="s">
        <v>4910</v>
      </c>
      <c r="M1890" t="s">
        <v>1757</v>
      </c>
    </row>
    <row r="1891" spans="1:13" x14ac:dyDescent="0.45">
      <c r="A1891" t="s">
        <v>4911</v>
      </c>
      <c r="B1891">
        <v>1</v>
      </c>
      <c r="C1891" t="s">
        <v>1774</v>
      </c>
      <c r="G1891" s="3">
        <v>2472.8198089350331</v>
      </c>
      <c r="H1891" t="s">
        <v>1755</v>
      </c>
      <c r="I1891" t="s">
        <v>4911</v>
      </c>
      <c r="M1891" t="s">
        <v>1757</v>
      </c>
    </row>
    <row r="1892" spans="1:13" x14ac:dyDescent="0.45">
      <c r="A1892" t="s">
        <v>4912</v>
      </c>
      <c r="B1892">
        <v>1</v>
      </c>
      <c r="C1892" t="s">
        <v>1774</v>
      </c>
      <c r="G1892" s="3">
        <v>3508.822927114496</v>
      </c>
      <c r="H1892" t="s">
        <v>1755</v>
      </c>
      <c r="I1892" t="s">
        <v>4912</v>
      </c>
      <c r="M1892" t="s">
        <v>1757</v>
      </c>
    </row>
    <row r="1893" spans="1:13" x14ac:dyDescent="0.45">
      <c r="A1893" t="s">
        <v>4913</v>
      </c>
      <c r="B1893">
        <v>2</v>
      </c>
      <c r="C1893" t="s">
        <v>1774</v>
      </c>
      <c r="G1893" s="3">
        <v>2628.6116643152131</v>
      </c>
      <c r="H1893" t="s">
        <v>1755</v>
      </c>
      <c r="I1893" t="s">
        <v>4913</v>
      </c>
      <c r="M1893" t="s">
        <v>1757</v>
      </c>
    </row>
    <row r="1894" spans="1:13" x14ac:dyDescent="0.45">
      <c r="A1894" t="s">
        <v>4914</v>
      </c>
      <c r="B1894">
        <v>1</v>
      </c>
      <c r="C1894" t="s">
        <v>1774</v>
      </c>
      <c r="G1894" s="3">
        <v>1423.6888965524699</v>
      </c>
      <c r="H1894" t="s">
        <v>1755</v>
      </c>
      <c r="I1894" t="s">
        <v>4914</v>
      </c>
      <c r="M1894" t="s">
        <v>1757</v>
      </c>
    </row>
    <row r="1895" spans="1:13" x14ac:dyDescent="0.45">
      <c r="A1895" t="s">
        <v>4915</v>
      </c>
      <c r="B1895">
        <v>1</v>
      </c>
      <c r="C1895" t="s">
        <v>1774</v>
      </c>
      <c r="G1895" s="3">
        <v>3411.3347858149618</v>
      </c>
      <c r="H1895" t="s">
        <v>1755</v>
      </c>
      <c r="I1895" t="s">
        <v>4915</v>
      </c>
      <c r="M1895" t="s">
        <v>1757</v>
      </c>
    </row>
    <row r="1896" spans="1:13" x14ac:dyDescent="0.45">
      <c r="A1896" t="s">
        <v>4916</v>
      </c>
      <c r="B1896">
        <v>1</v>
      </c>
      <c r="C1896" t="s">
        <v>1774</v>
      </c>
      <c r="G1896" s="3">
        <v>1934.192120518494</v>
      </c>
      <c r="H1896" t="s">
        <v>1755</v>
      </c>
      <c r="I1896" t="s">
        <v>4916</v>
      </c>
      <c r="M1896" t="s">
        <v>1757</v>
      </c>
    </row>
    <row r="1897" spans="1:13" x14ac:dyDescent="0.45">
      <c r="A1897" t="s">
        <v>4917</v>
      </c>
      <c r="B1897">
        <v>1</v>
      </c>
      <c r="C1897" t="s">
        <v>1774</v>
      </c>
      <c r="G1897" s="3">
        <v>6211.7786761664629</v>
      </c>
      <c r="H1897" t="s">
        <v>1755</v>
      </c>
      <c r="I1897" t="s">
        <v>4917</v>
      </c>
      <c r="M1897" t="s">
        <v>1757</v>
      </c>
    </row>
    <row r="1898" spans="1:13" x14ac:dyDescent="0.45">
      <c r="A1898" t="s">
        <v>4918</v>
      </c>
      <c r="B1898">
        <v>2</v>
      </c>
      <c r="C1898" t="s">
        <v>1774</v>
      </c>
      <c r="G1898" s="3">
        <v>598.0566420003064</v>
      </c>
      <c r="H1898" t="s">
        <v>1755</v>
      </c>
      <c r="I1898" t="s">
        <v>4918</v>
      </c>
      <c r="M1898" t="s">
        <v>1757</v>
      </c>
    </row>
    <row r="1899" spans="1:13" x14ac:dyDescent="0.45">
      <c r="A1899" t="s">
        <v>4919</v>
      </c>
      <c r="B1899">
        <v>1</v>
      </c>
      <c r="C1899" t="s">
        <v>1774</v>
      </c>
      <c r="G1899" s="3">
        <v>6936.8569194685551</v>
      </c>
      <c r="H1899" t="s">
        <v>1755</v>
      </c>
      <c r="I1899" t="s">
        <v>4919</v>
      </c>
      <c r="M1899" t="s">
        <v>1757</v>
      </c>
    </row>
    <row r="1900" spans="1:13" x14ac:dyDescent="0.45">
      <c r="A1900" t="s">
        <v>4920</v>
      </c>
      <c r="B1900">
        <v>1</v>
      </c>
      <c r="C1900" t="s">
        <v>1774</v>
      </c>
      <c r="G1900" s="3">
        <v>2942.595886015567</v>
      </c>
      <c r="H1900" t="s">
        <v>1755</v>
      </c>
      <c r="I1900" t="s">
        <v>4920</v>
      </c>
      <c r="M1900" t="s">
        <v>1757</v>
      </c>
    </row>
    <row r="1901" spans="1:13" x14ac:dyDescent="0.45">
      <c r="A1901" t="s">
        <v>4921</v>
      </c>
      <c r="B1901">
        <v>1</v>
      </c>
      <c r="C1901" t="s">
        <v>1774</v>
      </c>
      <c r="G1901" s="3">
        <v>2116.6863985423438</v>
      </c>
      <c r="H1901" t="s">
        <v>1755</v>
      </c>
      <c r="I1901" t="s">
        <v>4921</v>
      </c>
      <c r="M1901" t="s">
        <v>1757</v>
      </c>
    </row>
    <row r="1902" spans="1:13" x14ac:dyDescent="0.45">
      <c r="A1902" t="s">
        <v>4922</v>
      </c>
      <c r="B1902">
        <v>1</v>
      </c>
      <c r="C1902" t="s">
        <v>1774</v>
      </c>
      <c r="G1902" s="3">
        <v>1678.152840883296</v>
      </c>
      <c r="H1902" t="s">
        <v>1755</v>
      </c>
      <c r="I1902" t="s">
        <v>4922</v>
      </c>
      <c r="M1902" t="s">
        <v>1757</v>
      </c>
    </row>
    <row r="1903" spans="1:13" x14ac:dyDescent="0.45">
      <c r="A1903" t="s">
        <v>4923</v>
      </c>
      <c r="B1903">
        <v>3</v>
      </c>
      <c r="C1903" t="s">
        <v>1774</v>
      </c>
      <c r="G1903" s="3">
        <v>2031.3606285678659</v>
      </c>
      <c r="H1903" t="s">
        <v>1755</v>
      </c>
      <c r="I1903" t="s">
        <v>4923</v>
      </c>
      <c r="M1903" t="s">
        <v>1757</v>
      </c>
    </row>
    <row r="1904" spans="1:13" x14ac:dyDescent="0.45">
      <c r="A1904" t="s">
        <v>4924</v>
      </c>
      <c r="B1904">
        <v>1</v>
      </c>
      <c r="C1904" t="s">
        <v>1774</v>
      </c>
      <c r="G1904" s="3">
        <v>5274.1769371441414</v>
      </c>
      <c r="H1904" t="s">
        <v>1755</v>
      </c>
      <c r="I1904" t="s">
        <v>4924</v>
      </c>
      <c r="M1904" t="s">
        <v>1757</v>
      </c>
    </row>
    <row r="1905" spans="1:13" x14ac:dyDescent="0.45">
      <c r="A1905" t="s">
        <v>4925</v>
      </c>
      <c r="B1905">
        <v>1</v>
      </c>
      <c r="C1905" t="s">
        <v>1774</v>
      </c>
      <c r="G1905" s="3">
        <v>2906.6795457013991</v>
      </c>
      <c r="H1905" t="s">
        <v>1755</v>
      </c>
      <c r="I1905" t="s">
        <v>4925</v>
      </c>
      <c r="M1905" t="s">
        <v>1757</v>
      </c>
    </row>
    <row r="1906" spans="1:13" x14ac:dyDescent="0.45">
      <c r="A1906" t="s">
        <v>4926</v>
      </c>
      <c r="B1906">
        <v>1</v>
      </c>
      <c r="C1906" t="s">
        <v>1774</v>
      </c>
      <c r="G1906" s="3">
        <v>3607.1264593583228</v>
      </c>
      <c r="H1906" t="s">
        <v>1755</v>
      </c>
      <c r="I1906" t="s">
        <v>4926</v>
      </c>
      <c r="M1906" t="s">
        <v>1757</v>
      </c>
    </row>
    <row r="1907" spans="1:13" x14ac:dyDescent="0.45">
      <c r="A1907" t="s">
        <v>4927</v>
      </c>
      <c r="B1907">
        <v>1</v>
      </c>
      <c r="C1907" t="s">
        <v>1774</v>
      </c>
      <c r="G1907" s="3">
        <v>2340.351396125378</v>
      </c>
      <c r="H1907" t="s">
        <v>1755</v>
      </c>
      <c r="I1907" t="s">
        <v>4927</v>
      </c>
      <c r="M1907" t="s">
        <v>1757</v>
      </c>
    </row>
    <row r="1908" spans="1:13" x14ac:dyDescent="0.45">
      <c r="A1908" t="s">
        <v>4928</v>
      </c>
      <c r="B1908">
        <v>1</v>
      </c>
      <c r="C1908" t="s">
        <v>1774</v>
      </c>
      <c r="G1908" s="3">
        <v>2627.3918394625521</v>
      </c>
      <c r="H1908" t="s">
        <v>1755</v>
      </c>
      <c r="I1908" t="s">
        <v>4928</v>
      </c>
      <c r="M1908" t="s">
        <v>1757</v>
      </c>
    </row>
    <row r="1909" spans="1:13" x14ac:dyDescent="0.45">
      <c r="A1909" t="s">
        <v>4929</v>
      </c>
      <c r="B1909">
        <v>3</v>
      </c>
      <c r="C1909" t="s">
        <v>1774</v>
      </c>
      <c r="G1909" s="3">
        <v>774.29850226332587</v>
      </c>
      <c r="H1909" t="s">
        <v>1755</v>
      </c>
      <c r="I1909" t="s">
        <v>4929</v>
      </c>
      <c r="M1909" t="s">
        <v>1757</v>
      </c>
    </row>
    <row r="1910" spans="1:13" x14ac:dyDescent="0.45">
      <c r="A1910" t="s">
        <v>4930</v>
      </c>
      <c r="B1910">
        <v>1</v>
      </c>
      <c r="C1910" t="s">
        <v>1774</v>
      </c>
      <c r="G1910" s="3">
        <v>5656.9540620325124</v>
      </c>
      <c r="H1910" t="s">
        <v>1755</v>
      </c>
      <c r="I1910" t="s">
        <v>4930</v>
      </c>
      <c r="M1910" t="s">
        <v>1757</v>
      </c>
    </row>
    <row r="1911" spans="1:13" x14ac:dyDescent="0.45">
      <c r="A1911" t="s">
        <v>4931</v>
      </c>
      <c r="B1911">
        <v>1</v>
      </c>
      <c r="C1911" t="s">
        <v>1774</v>
      </c>
      <c r="G1911" s="3">
        <v>2427.5623499630569</v>
      </c>
      <c r="H1911" t="s">
        <v>1755</v>
      </c>
      <c r="I1911" t="s">
        <v>4931</v>
      </c>
      <c r="M1911" t="s">
        <v>1757</v>
      </c>
    </row>
    <row r="1912" spans="1:13" x14ac:dyDescent="0.45">
      <c r="A1912" t="s">
        <v>4932</v>
      </c>
      <c r="B1912">
        <v>1</v>
      </c>
      <c r="C1912" t="s">
        <v>1774</v>
      </c>
      <c r="G1912" s="3">
        <v>3440.5257816206099</v>
      </c>
      <c r="H1912" t="s">
        <v>1755</v>
      </c>
      <c r="I1912" t="s">
        <v>4932</v>
      </c>
      <c r="M1912" t="s">
        <v>1757</v>
      </c>
    </row>
    <row r="1913" spans="1:13" x14ac:dyDescent="0.45">
      <c r="A1913" t="s">
        <v>4933</v>
      </c>
      <c r="B1913">
        <v>1</v>
      </c>
      <c r="C1913" t="s">
        <v>1774</v>
      </c>
      <c r="G1913" s="3">
        <v>2168.3854459742251</v>
      </c>
      <c r="H1913" t="s">
        <v>1755</v>
      </c>
      <c r="I1913" t="s">
        <v>4933</v>
      </c>
      <c r="M1913" t="s">
        <v>1757</v>
      </c>
    </row>
    <row r="1914" spans="1:13" x14ac:dyDescent="0.45">
      <c r="A1914" t="s">
        <v>4934</v>
      </c>
      <c r="B1914">
        <v>1</v>
      </c>
      <c r="C1914" t="s">
        <v>1774</v>
      </c>
      <c r="G1914" s="3">
        <v>2615.7513183418409</v>
      </c>
      <c r="H1914" t="s">
        <v>1755</v>
      </c>
      <c r="I1914" t="s">
        <v>4934</v>
      </c>
      <c r="M1914" t="s">
        <v>1757</v>
      </c>
    </row>
    <row r="1915" spans="1:13" x14ac:dyDescent="0.45">
      <c r="A1915" t="s">
        <v>4935</v>
      </c>
      <c r="B1915">
        <v>1</v>
      </c>
      <c r="C1915" t="s">
        <v>1774</v>
      </c>
      <c r="G1915" s="3">
        <v>1903.582344469778</v>
      </c>
      <c r="H1915" t="s">
        <v>1755</v>
      </c>
      <c r="I1915" t="s">
        <v>4935</v>
      </c>
      <c r="M1915" t="s">
        <v>1757</v>
      </c>
    </row>
    <row r="1916" spans="1:13" x14ac:dyDescent="0.45">
      <c r="A1916" t="s">
        <v>4936</v>
      </c>
      <c r="B1916">
        <v>2</v>
      </c>
      <c r="C1916" t="s">
        <v>1774</v>
      </c>
      <c r="G1916" s="3">
        <v>2770.0852547136269</v>
      </c>
      <c r="H1916" t="s">
        <v>1755</v>
      </c>
      <c r="I1916" t="s">
        <v>4936</v>
      </c>
      <c r="M1916" t="s">
        <v>1757</v>
      </c>
    </row>
    <row r="1917" spans="1:13" x14ac:dyDescent="0.45">
      <c r="A1917" t="s">
        <v>4937</v>
      </c>
      <c r="B1917">
        <v>1</v>
      </c>
      <c r="C1917" t="s">
        <v>1774</v>
      </c>
      <c r="G1917" s="3">
        <v>4499.0989211380729</v>
      </c>
      <c r="H1917" t="s">
        <v>1755</v>
      </c>
      <c r="I1917" t="s">
        <v>4937</v>
      </c>
      <c r="M1917" t="s">
        <v>1757</v>
      </c>
    </row>
    <row r="1918" spans="1:13" x14ac:dyDescent="0.45">
      <c r="A1918" t="s">
        <v>4938</v>
      </c>
      <c r="B1918">
        <v>1</v>
      </c>
      <c r="C1918" t="s">
        <v>1774</v>
      </c>
      <c r="G1918" s="3">
        <v>6003.7887540964957</v>
      </c>
      <c r="H1918" t="s">
        <v>1755</v>
      </c>
      <c r="I1918" t="s">
        <v>4938</v>
      </c>
      <c r="M1918" t="s">
        <v>1757</v>
      </c>
    </row>
    <row r="1919" spans="1:13" x14ac:dyDescent="0.45">
      <c r="A1919" t="s">
        <v>4939</v>
      </c>
      <c r="B1919">
        <v>1</v>
      </c>
      <c r="C1919" t="s">
        <v>1774</v>
      </c>
      <c r="G1919" s="3">
        <v>3578.6856232214232</v>
      </c>
      <c r="H1919" t="s">
        <v>1755</v>
      </c>
      <c r="I1919" t="s">
        <v>4939</v>
      </c>
      <c r="M1919" t="s">
        <v>1757</v>
      </c>
    </row>
    <row r="1920" spans="1:13" x14ac:dyDescent="0.45">
      <c r="A1920" t="s">
        <v>4940</v>
      </c>
      <c r="B1920">
        <v>3</v>
      </c>
      <c r="C1920" t="s">
        <v>1774</v>
      </c>
      <c r="G1920" s="3">
        <v>1150.660131202008</v>
      </c>
      <c r="H1920" t="s">
        <v>1755</v>
      </c>
      <c r="I1920" t="s">
        <v>4940</v>
      </c>
      <c r="M1920" t="s">
        <v>1757</v>
      </c>
    </row>
    <row r="1921" spans="1:13" x14ac:dyDescent="0.45">
      <c r="A1921" t="s">
        <v>4941</v>
      </c>
      <c r="B1921">
        <v>1</v>
      </c>
      <c r="C1921" t="s">
        <v>1774</v>
      </c>
      <c r="G1921" s="3">
        <v>3571.575414187198</v>
      </c>
      <c r="H1921" t="s">
        <v>1755</v>
      </c>
      <c r="I1921" t="s">
        <v>4941</v>
      </c>
      <c r="M1921" t="s">
        <v>1757</v>
      </c>
    </row>
    <row r="1922" spans="1:13" x14ac:dyDescent="0.45">
      <c r="A1922" t="s">
        <v>4942</v>
      </c>
      <c r="B1922">
        <v>1</v>
      </c>
      <c r="C1922" t="s">
        <v>1774</v>
      </c>
      <c r="G1922" s="3">
        <v>2713.5917085293099</v>
      </c>
      <c r="H1922" t="s">
        <v>1755</v>
      </c>
      <c r="I1922" t="s">
        <v>4942</v>
      </c>
      <c r="M1922" t="s">
        <v>1757</v>
      </c>
    </row>
    <row r="1923" spans="1:13" x14ac:dyDescent="0.45">
      <c r="A1923" t="s">
        <v>4943</v>
      </c>
      <c r="B1923">
        <v>1</v>
      </c>
      <c r="C1923" t="s">
        <v>1774</v>
      </c>
      <c r="G1923" s="3">
        <v>3934.6526938614761</v>
      </c>
      <c r="H1923" t="s">
        <v>1755</v>
      </c>
      <c r="I1923" t="s">
        <v>4943</v>
      </c>
      <c r="M1923" t="s">
        <v>1757</v>
      </c>
    </row>
    <row r="1924" spans="1:13" x14ac:dyDescent="0.45">
      <c r="A1924" t="s">
        <v>4944</v>
      </c>
      <c r="B1924">
        <v>1</v>
      </c>
      <c r="C1924" t="s">
        <v>1774</v>
      </c>
      <c r="G1924" s="3">
        <v>3634.1648230710412</v>
      </c>
      <c r="H1924" t="s">
        <v>1755</v>
      </c>
      <c r="I1924" t="s">
        <v>4944</v>
      </c>
      <c r="M1924" t="s">
        <v>1757</v>
      </c>
    </row>
    <row r="1925" spans="1:13" x14ac:dyDescent="0.45">
      <c r="A1925" t="s">
        <v>4945</v>
      </c>
      <c r="B1925">
        <v>1</v>
      </c>
      <c r="C1925" t="s">
        <v>1774</v>
      </c>
      <c r="G1925" s="3">
        <v>2004.713652508409</v>
      </c>
      <c r="H1925" t="s">
        <v>1755</v>
      </c>
      <c r="I1925" t="s">
        <v>4945</v>
      </c>
      <c r="M1925" t="s">
        <v>1757</v>
      </c>
    </row>
    <row r="1926" spans="1:13" x14ac:dyDescent="0.45">
      <c r="A1926" t="s">
        <v>4946</v>
      </c>
      <c r="B1926">
        <v>1</v>
      </c>
      <c r="C1926" t="s">
        <v>1774</v>
      </c>
      <c r="G1926" s="3">
        <v>3763.7793675756752</v>
      </c>
      <c r="H1926" t="s">
        <v>1755</v>
      </c>
      <c r="I1926" t="s">
        <v>4946</v>
      </c>
      <c r="M1926" t="s">
        <v>1757</v>
      </c>
    </row>
    <row r="1927" spans="1:13" x14ac:dyDescent="0.45">
      <c r="A1927" t="s">
        <v>4947</v>
      </c>
      <c r="B1927">
        <v>1</v>
      </c>
      <c r="C1927" t="s">
        <v>1774</v>
      </c>
      <c r="G1927" s="3">
        <v>1756.290124292897</v>
      </c>
      <c r="H1927" t="s">
        <v>1755</v>
      </c>
      <c r="I1927" t="s">
        <v>4947</v>
      </c>
      <c r="M1927" t="s">
        <v>1757</v>
      </c>
    </row>
    <row r="1928" spans="1:13" x14ac:dyDescent="0.45">
      <c r="A1928" t="s">
        <v>4948</v>
      </c>
      <c r="B1928">
        <v>1</v>
      </c>
      <c r="C1928" t="s">
        <v>1774</v>
      </c>
      <c r="G1928" s="3">
        <v>1817.3205056912541</v>
      </c>
      <c r="H1928" t="s">
        <v>1755</v>
      </c>
      <c r="I1928" t="s">
        <v>4948</v>
      </c>
      <c r="M1928" t="s">
        <v>1757</v>
      </c>
    </row>
    <row r="1929" spans="1:13" x14ac:dyDescent="0.45">
      <c r="A1929" t="s">
        <v>4949</v>
      </c>
      <c r="B1929">
        <v>1</v>
      </c>
      <c r="C1929" t="s">
        <v>1774</v>
      </c>
      <c r="G1929" s="3">
        <v>2900.9196240709221</v>
      </c>
      <c r="H1929" t="s">
        <v>1755</v>
      </c>
      <c r="I1929" t="s">
        <v>4949</v>
      </c>
      <c r="M1929" t="s">
        <v>1757</v>
      </c>
    </row>
    <row r="1930" spans="1:13" x14ac:dyDescent="0.45">
      <c r="A1930" t="s">
        <v>4950</v>
      </c>
      <c r="B1930">
        <v>1</v>
      </c>
      <c r="C1930" t="s">
        <v>1774</v>
      </c>
      <c r="G1930" s="3">
        <v>4873.4938271191222</v>
      </c>
      <c r="H1930" t="s">
        <v>1755</v>
      </c>
      <c r="I1930" t="s">
        <v>4950</v>
      </c>
      <c r="M1930" t="s">
        <v>1757</v>
      </c>
    </row>
    <row r="1931" spans="1:13" x14ac:dyDescent="0.45">
      <c r="A1931" t="s">
        <v>4951</v>
      </c>
      <c r="B1931">
        <v>2</v>
      </c>
      <c r="C1931" t="s">
        <v>1774</v>
      </c>
      <c r="G1931" s="3">
        <v>1292.8153884298499</v>
      </c>
      <c r="H1931" t="s">
        <v>1755</v>
      </c>
      <c r="I1931" t="s">
        <v>4951</v>
      </c>
      <c r="M1931" t="s">
        <v>1757</v>
      </c>
    </row>
    <row r="1932" spans="1:13" x14ac:dyDescent="0.45">
      <c r="A1932" t="s">
        <v>4952</v>
      </c>
      <c r="B1932">
        <v>1</v>
      </c>
      <c r="C1932" t="s">
        <v>1774</v>
      </c>
      <c r="G1932" s="3">
        <v>4848.9668675148232</v>
      </c>
      <c r="H1932" t="s">
        <v>1755</v>
      </c>
      <c r="I1932" t="s">
        <v>4952</v>
      </c>
      <c r="M1932" t="s">
        <v>1757</v>
      </c>
    </row>
    <row r="1933" spans="1:13" x14ac:dyDescent="0.45">
      <c r="A1933" t="s">
        <v>4953</v>
      </c>
      <c r="B1933">
        <v>1</v>
      </c>
      <c r="C1933" t="s">
        <v>1774</v>
      </c>
      <c r="H1933" t="s">
        <v>1755</v>
      </c>
      <c r="I1933" t="s">
        <v>4953</v>
      </c>
      <c r="M1933" t="s">
        <v>1757</v>
      </c>
    </row>
    <row r="1934" spans="1:13" x14ac:dyDescent="0.45">
      <c r="A1934" t="s">
        <v>4954</v>
      </c>
      <c r="B1934">
        <v>1</v>
      </c>
      <c r="C1934" t="s">
        <v>1774</v>
      </c>
      <c r="G1934" s="3">
        <v>3598.450699711057</v>
      </c>
      <c r="H1934" t="s">
        <v>1755</v>
      </c>
      <c r="I1934" t="s">
        <v>4954</v>
      </c>
      <c r="M1934" t="s">
        <v>1757</v>
      </c>
    </row>
    <row r="1935" spans="1:13" x14ac:dyDescent="0.45">
      <c r="A1935" t="s">
        <v>4955</v>
      </c>
      <c r="B1935">
        <v>1</v>
      </c>
      <c r="C1935" t="s">
        <v>1774</v>
      </c>
      <c r="G1935" s="3">
        <v>9530.2567412454682</v>
      </c>
      <c r="H1935" t="s">
        <v>1755</v>
      </c>
      <c r="I1935" t="s">
        <v>4955</v>
      </c>
      <c r="M1935" t="s">
        <v>1757</v>
      </c>
    </row>
    <row r="1936" spans="1:13" x14ac:dyDescent="0.45">
      <c r="A1936" t="s">
        <v>4956</v>
      </c>
      <c r="B1936">
        <v>1</v>
      </c>
      <c r="C1936" t="s">
        <v>1774</v>
      </c>
      <c r="G1936" s="3">
        <v>2877.7559981254781</v>
      </c>
      <c r="H1936" t="s">
        <v>1755</v>
      </c>
      <c r="I1936" t="s">
        <v>4956</v>
      </c>
      <c r="M1936" t="s">
        <v>1757</v>
      </c>
    </row>
    <row r="1937" spans="1:13" x14ac:dyDescent="0.45">
      <c r="A1937" t="s">
        <v>4957</v>
      </c>
      <c r="B1937">
        <v>1</v>
      </c>
      <c r="C1937" t="s">
        <v>1774</v>
      </c>
      <c r="G1937" s="3">
        <v>1377.257274620715</v>
      </c>
      <c r="H1937" t="s">
        <v>1755</v>
      </c>
      <c r="I1937" t="s">
        <v>4957</v>
      </c>
      <c r="M1937" t="s">
        <v>1757</v>
      </c>
    </row>
    <row r="1938" spans="1:13" x14ac:dyDescent="0.45">
      <c r="A1938" t="s">
        <v>4958</v>
      </c>
      <c r="B1938">
        <v>1</v>
      </c>
      <c r="C1938" t="s">
        <v>1774</v>
      </c>
      <c r="G1938" s="3">
        <v>4417.6576736222014</v>
      </c>
      <c r="H1938" t="s">
        <v>1755</v>
      </c>
      <c r="I1938" t="s">
        <v>4958</v>
      </c>
      <c r="M1938" t="s">
        <v>1757</v>
      </c>
    </row>
    <row r="1939" spans="1:13" x14ac:dyDescent="0.45">
      <c r="A1939" t="s">
        <v>4959</v>
      </c>
      <c r="B1939">
        <v>1</v>
      </c>
      <c r="C1939" t="s">
        <v>1774</v>
      </c>
      <c r="G1939" s="3">
        <v>3272.1964750809989</v>
      </c>
      <c r="H1939" t="s">
        <v>1755</v>
      </c>
      <c r="I1939" t="s">
        <v>4959</v>
      </c>
      <c r="M1939" t="s">
        <v>1757</v>
      </c>
    </row>
    <row r="1940" spans="1:13" x14ac:dyDescent="0.45">
      <c r="A1940" t="s">
        <v>4960</v>
      </c>
      <c r="B1940">
        <v>1</v>
      </c>
      <c r="C1940" t="s">
        <v>1774</v>
      </c>
      <c r="G1940" s="3">
        <v>2655.1673165889101</v>
      </c>
      <c r="H1940" t="s">
        <v>1755</v>
      </c>
      <c r="I1940" t="s">
        <v>4960</v>
      </c>
      <c r="M1940" t="s">
        <v>1757</v>
      </c>
    </row>
    <row r="1941" spans="1:13" x14ac:dyDescent="0.45">
      <c r="A1941" t="s">
        <v>4961</v>
      </c>
      <c r="B1941">
        <v>1</v>
      </c>
      <c r="C1941" t="s">
        <v>1774</v>
      </c>
      <c r="G1941" s="3">
        <v>3436.285748710292</v>
      </c>
      <c r="H1941" t="s">
        <v>1755</v>
      </c>
      <c r="I1941" t="s">
        <v>4961</v>
      </c>
      <c r="M1941" t="s">
        <v>1757</v>
      </c>
    </row>
    <row r="1942" spans="1:13" x14ac:dyDescent="0.45">
      <c r="A1942" t="s">
        <v>4962</v>
      </c>
      <c r="B1942">
        <v>3</v>
      </c>
      <c r="C1942" t="s">
        <v>1774</v>
      </c>
      <c r="G1942" s="3">
        <v>1333.4740424760189</v>
      </c>
      <c r="H1942" t="s">
        <v>1755</v>
      </c>
      <c r="I1942" t="s">
        <v>4962</v>
      </c>
      <c r="M1942" t="s">
        <v>1757</v>
      </c>
    </row>
    <row r="1943" spans="1:13" x14ac:dyDescent="0.45">
      <c r="A1943" t="s">
        <v>4963</v>
      </c>
      <c r="B1943">
        <v>1</v>
      </c>
      <c r="C1943" t="s">
        <v>1774</v>
      </c>
      <c r="G1943" s="3">
        <v>5197.954191671739</v>
      </c>
      <c r="H1943" t="s">
        <v>1755</v>
      </c>
      <c r="I1943" t="s">
        <v>4963</v>
      </c>
      <c r="M1943" t="s">
        <v>1757</v>
      </c>
    </row>
    <row r="1944" spans="1:13" x14ac:dyDescent="0.45">
      <c r="A1944" t="s">
        <v>4964</v>
      </c>
      <c r="B1944">
        <v>1</v>
      </c>
      <c r="C1944" t="s">
        <v>1774</v>
      </c>
      <c r="G1944" s="3">
        <v>2926.7707785687498</v>
      </c>
      <c r="H1944" t="s">
        <v>1755</v>
      </c>
      <c r="I1944" t="s">
        <v>4964</v>
      </c>
      <c r="M1944" t="s">
        <v>1757</v>
      </c>
    </row>
    <row r="1945" spans="1:13" x14ac:dyDescent="0.45">
      <c r="A1945" t="s">
        <v>4965</v>
      </c>
      <c r="B1945">
        <v>1</v>
      </c>
      <c r="C1945" t="s">
        <v>1774</v>
      </c>
      <c r="G1945" s="3">
        <v>4870.9171917351596</v>
      </c>
      <c r="H1945" t="s">
        <v>1755</v>
      </c>
      <c r="I1945" t="s">
        <v>4965</v>
      </c>
      <c r="M1945" t="s">
        <v>1757</v>
      </c>
    </row>
    <row r="1946" spans="1:13" x14ac:dyDescent="0.45">
      <c r="A1946" t="s">
        <v>4966</v>
      </c>
      <c r="B1946">
        <v>1</v>
      </c>
      <c r="C1946" t="s">
        <v>1774</v>
      </c>
      <c r="G1946" s="3">
        <v>3353.4094131324691</v>
      </c>
      <c r="H1946" t="s">
        <v>1755</v>
      </c>
      <c r="I1946" t="s">
        <v>4966</v>
      </c>
      <c r="M1946" t="s">
        <v>1757</v>
      </c>
    </row>
    <row r="1947" spans="1:13" x14ac:dyDescent="0.45">
      <c r="A1947" t="s">
        <v>4967</v>
      </c>
      <c r="B1947">
        <v>1</v>
      </c>
      <c r="C1947" t="s">
        <v>1774</v>
      </c>
      <c r="G1947" s="3">
        <v>6052.4839012896064</v>
      </c>
      <c r="H1947" t="s">
        <v>1755</v>
      </c>
      <c r="I1947" t="s">
        <v>4967</v>
      </c>
      <c r="M1947" t="s">
        <v>1757</v>
      </c>
    </row>
    <row r="1948" spans="1:13" x14ac:dyDescent="0.45">
      <c r="A1948" t="s">
        <v>4968</v>
      </c>
      <c r="B1948">
        <v>1</v>
      </c>
      <c r="C1948" t="s">
        <v>1774</v>
      </c>
      <c r="G1948" s="3">
        <v>3830.576193732064</v>
      </c>
      <c r="H1948" t="s">
        <v>1755</v>
      </c>
      <c r="I1948" t="s">
        <v>4968</v>
      </c>
      <c r="M1948" t="s">
        <v>1757</v>
      </c>
    </row>
    <row r="1949" spans="1:13" x14ac:dyDescent="0.45">
      <c r="A1949" t="s">
        <v>4969</v>
      </c>
      <c r="B1949">
        <v>1</v>
      </c>
      <c r="C1949" t="s">
        <v>1774</v>
      </c>
      <c r="G1949" s="3">
        <v>5060.446662826359</v>
      </c>
      <c r="H1949" t="s">
        <v>1755</v>
      </c>
      <c r="I1949" t="s">
        <v>4969</v>
      </c>
      <c r="M1949" t="s">
        <v>1757</v>
      </c>
    </row>
    <row r="1950" spans="1:13" x14ac:dyDescent="0.45">
      <c r="A1950" t="s">
        <v>4970</v>
      </c>
      <c r="B1950">
        <v>1</v>
      </c>
      <c r="C1950" t="s">
        <v>1774</v>
      </c>
      <c r="G1950" s="3">
        <v>4694.9232103192053</v>
      </c>
      <c r="H1950" t="s">
        <v>1755</v>
      </c>
      <c r="I1950" t="s">
        <v>4970</v>
      </c>
      <c r="M1950" t="s">
        <v>1757</v>
      </c>
    </row>
    <row r="1951" spans="1:13" x14ac:dyDescent="0.45">
      <c r="A1951" t="s">
        <v>4971</v>
      </c>
      <c r="B1951">
        <v>1</v>
      </c>
      <c r="C1951" t="s">
        <v>1774</v>
      </c>
      <c r="G1951" s="3">
        <v>1774.8223296747619</v>
      </c>
      <c r="H1951" t="s">
        <v>1755</v>
      </c>
      <c r="I1951" t="s">
        <v>4971</v>
      </c>
      <c r="M1951" t="s">
        <v>1757</v>
      </c>
    </row>
    <row r="1952" spans="1:13" x14ac:dyDescent="0.45">
      <c r="A1952" t="s">
        <v>4972</v>
      </c>
      <c r="B1952">
        <v>1</v>
      </c>
      <c r="C1952" t="s">
        <v>1774</v>
      </c>
      <c r="G1952" s="3">
        <v>4582.3014130936144</v>
      </c>
      <c r="H1952" t="s">
        <v>1755</v>
      </c>
      <c r="I1952" t="s">
        <v>4972</v>
      </c>
      <c r="M1952" t="s">
        <v>1757</v>
      </c>
    </row>
    <row r="1953" spans="1:13" x14ac:dyDescent="0.45">
      <c r="A1953" t="s">
        <v>4973</v>
      </c>
      <c r="B1953">
        <v>3</v>
      </c>
      <c r="C1953" t="s">
        <v>1774</v>
      </c>
      <c r="G1953" s="3">
        <v>1032.8165703691709</v>
      </c>
      <c r="H1953" t="s">
        <v>1755</v>
      </c>
      <c r="I1953" t="s">
        <v>4973</v>
      </c>
      <c r="M1953" t="s">
        <v>1757</v>
      </c>
    </row>
    <row r="1954" spans="1:13" x14ac:dyDescent="0.45">
      <c r="A1954" t="s">
        <v>4974</v>
      </c>
      <c r="B1954">
        <v>1</v>
      </c>
      <c r="C1954" t="s">
        <v>1774</v>
      </c>
      <c r="G1954" s="3">
        <v>2534.3165939535252</v>
      </c>
      <c r="H1954" t="s">
        <v>1755</v>
      </c>
      <c r="I1954" t="s">
        <v>4974</v>
      </c>
      <c r="M1954" t="s">
        <v>1757</v>
      </c>
    </row>
    <row r="1955" spans="1:13" x14ac:dyDescent="0.45">
      <c r="A1955" t="s">
        <v>4975</v>
      </c>
      <c r="B1955">
        <v>1</v>
      </c>
      <c r="C1955" t="s">
        <v>1774</v>
      </c>
      <c r="G1955" s="3">
        <v>2786.288703558595</v>
      </c>
      <c r="H1955" t="s">
        <v>1755</v>
      </c>
      <c r="I1955" t="s">
        <v>4975</v>
      </c>
      <c r="M1955" t="s">
        <v>1757</v>
      </c>
    </row>
    <row r="1956" spans="1:13" x14ac:dyDescent="0.45">
      <c r="A1956" t="s">
        <v>4976</v>
      </c>
      <c r="B1956">
        <v>1</v>
      </c>
      <c r="C1956" t="s">
        <v>1774</v>
      </c>
      <c r="G1956" s="3">
        <v>2069.7231417149101</v>
      </c>
      <c r="H1956" t="s">
        <v>1755</v>
      </c>
      <c r="I1956" t="s">
        <v>4976</v>
      </c>
      <c r="M1956" t="s">
        <v>1757</v>
      </c>
    </row>
    <row r="1957" spans="1:13" x14ac:dyDescent="0.45">
      <c r="A1957" t="s">
        <v>4977</v>
      </c>
      <c r="B1957">
        <v>1</v>
      </c>
      <c r="C1957" t="s">
        <v>1774</v>
      </c>
      <c r="G1957" s="3">
        <v>2928.1765125567099</v>
      </c>
      <c r="H1957" t="s">
        <v>1755</v>
      </c>
      <c r="I1957" t="s">
        <v>4977</v>
      </c>
      <c r="M1957" t="s">
        <v>1757</v>
      </c>
    </row>
    <row r="1958" spans="1:13" x14ac:dyDescent="0.45">
      <c r="A1958" t="s">
        <v>4978</v>
      </c>
      <c r="B1958">
        <v>1</v>
      </c>
      <c r="C1958" t="s">
        <v>1774</v>
      </c>
      <c r="G1958" s="3">
        <v>7097.4237042185077</v>
      </c>
      <c r="H1958" t="s">
        <v>1755</v>
      </c>
      <c r="I1958" t="s">
        <v>4978</v>
      </c>
      <c r="M1958" t="s">
        <v>1757</v>
      </c>
    </row>
    <row r="1959" spans="1:13" x14ac:dyDescent="0.45">
      <c r="A1959" t="s">
        <v>4979</v>
      </c>
      <c r="B1959">
        <v>1</v>
      </c>
      <c r="C1959" t="s">
        <v>1774</v>
      </c>
      <c r="G1959" s="3">
        <v>5137.7131087074558</v>
      </c>
      <c r="H1959" t="s">
        <v>1755</v>
      </c>
      <c r="I1959" t="s">
        <v>4979</v>
      </c>
      <c r="M1959" t="s">
        <v>1757</v>
      </c>
    </row>
    <row r="1960" spans="1:13" x14ac:dyDescent="0.45">
      <c r="A1960" t="s">
        <v>4980</v>
      </c>
      <c r="B1960">
        <v>1</v>
      </c>
      <c r="C1960" t="s">
        <v>1774</v>
      </c>
      <c r="G1960" s="3">
        <v>3612.181883212932</v>
      </c>
      <c r="H1960" t="s">
        <v>1755</v>
      </c>
      <c r="I1960" t="s">
        <v>4980</v>
      </c>
      <c r="M1960" t="s">
        <v>1757</v>
      </c>
    </row>
    <row r="1961" spans="1:13" x14ac:dyDescent="0.45">
      <c r="A1961" t="s">
        <v>4981</v>
      </c>
      <c r="B1961">
        <v>1</v>
      </c>
      <c r="C1961" t="s">
        <v>1774</v>
      </c>
      <c r="G1961" s="3">
        <v>3309.247839589621</v>
      </c>
      <c r="H1961" t="s">
        <v>1755</v>
      </c>
      <c r="I1961" t="s">
        <v>4981</v>
      </c>
      <c r="M1961" t="s">
        <v>1757</v>
      </c>
    </row>
    <row r="1962" spans="1:13" x14ac:dyDescent="0.45">
      <c r="A1962" t="s">
        <v>4982</v>
      </c>
      <c r="B1962">
        <v>1</v>
      </c>
      <c r="C1962" t="s">
        <v>1774</v>
      </c>
      <c r="G1962" s="3">
        <v>367.59454550565562</v>
      </c>
      <c r="H1962" t="s">
        <v>1755</v>
      </c>
      <c r="I1962" t="s">
        <v>4982</v>
      </c>
      <c r="M1962" t="s">
        <v>1757</v>
      </c>
    </row>
    <row r="1963" spans="1:13" x14ac:dyDescent="0.45">
      <c r="A1963" t="s">
        <v>4983</v>
      </c>
      <c r="B1963">
        <v>1</v>
      </c>
      <c r="C1963" t="s">
        <v>1774</v>
      </c>
      <c r="H1963" t="s">
        <v>1755</v>
      </c>
      <c r="I1963" t="s">
        <v>4983</v>
      </c>
      <c r="M1963" t="s">
        <v>1757</v>
      </c>
    </row>
    <row r="1964" spans="1:13" x14ac:dyDescent="0.45">
      <c r="A1964" t="s">
        <v>4984</v>
      </c>
      <c r="B1964">
        <v>2</v>
      </c>
      <c r="C1964" t="s">
        <v>1774</v>
      </c>
      <c r="G1964" s="3">
        <v>745.84788143509434</v>
      </c>
      <c r="H1964" t="s">
        <v>1755</v>
      </c>
      <c r="I1964" t="s">
        <v>4984</v>
      </c>
      <c r="M1964" t="s">
        <v>1757</v>
      </c>
    </row>
    <row r="1965" spans="1:13" x14ac:dyDescent="0.45">
      <c r="A1965" t="s">
        <v>4985</v>
      </c>
      <c r="B1965">
        <v>1</v>
      </c>
      <c r="C1965" t="s">
        <v>1774</v>
      </c>
      <c r="G1965" s="3">
        <v>1856.4331785070451</v>
      </c>
      <c r="H1965" t="s">
        <v>1755</v>
      </c>
      <c r="I1965" t="s">
        <v>4985</v>
      </c>
      <c r="M1965" t="s">
        <v>1757</v>
      </c>
    </row>
    <row r="1966" spans="1:13" x14ac:dyDescent="0.45">
      <c r="A1966" t="s">
        <v>4986</v>
      </c>
      <c r="B1966">
        <v>3</v>
      </c>
      <c r="C1966" t="s">
        <v>1774</v>
      </c>
      <c r="G1966" s="3">
        <v>2825.5938086372398</v>
      </c>
      <c r="H1966" t="s">
        <v>1755</v>
      </c>
      <c r="I1966" t="s">
        <v>4986</v>
      </c>
      <c r="M1966" t="s">
        <v>1757</v>
      </c>
    </row>
    <row r="1967" spans="1:13" x14ac:dyDescent="0.45">
      <c r="A1967" t="s">
        <v>4987</v>
      </c>
      <c r="B1967">
        <v>2</v>
      </c>
      <c r="C1967" t="s">
        <v>1774</v>
      </c>
      <c r="G1967" s="3">
        <v>975.54677200588787</v>
      </c>
      <c r="H1967" t="s">
        <v>1755</v>
      </c>
      <c r="I1967" t="s">
        <v>4987</v>
      </c>
      <c r="M1967" t="s">
        <v>1757</v>
      </c>
    </row>
    <row r="1968" spans="1:13" x14ac:dyDescent="0.45">
      <c r="A1968" t="s">
        <v>4988</v>
      </c>
      <c r="B1968">
        <v>1</v>
      </c>
      <c r="C1968" t="s">
        <v>1774</v>
      </c>
      <c r="G1968" s="3">
        <v>568.27530315099057</v>
      </c>
      <c r="H1968" t="s">
        <v>1755</v>
      </c>
      <c r="I1968" t="s">
        <v>4988</v>
      </c>
      <c r="M1968" t="s">
        <v>1757</v>
      </c>
    </row>
    <row r="1969" spans="1:13" x14ac:dyDescent="0.45">
      <c r="A1969" t="s">
        <v>4989</v>
      </c>
      <c r="B1969">
        <v>1</v>
      </c>
      <c r="C1969" t="s">
        <v>1774</v>
      </c>
      <c r="H1969" t="s">
        <v>1755</v>
      </c>
      <c r="I1969" t="s">
        <v>4989</v>
      </c>
      <c r="M1969" t="s">
        <v>1757</v>
      </c>
    </row>
    <row r="1970" spans="1:13" x14ac:dyDescent="0.45">
      <c r="A1970" t="s">
        <v>4990</v>
      </c>
      <c r="B1970">
        <v>2</v>
      </c>
      <c r="C1970" t="s">
        <v>1774</v>
      </c>
      <c r="G1970" s="3">
        <v>1568.3849119627271</v>
      </c>
      <c r="H1970" t="s">
        <v>1755</v>
      </c>
      <c r="I1970" t="s">
        <v>4990</v>
      </c>
      <c r="M1970" t="s">
        <v>1757</v>
      </c>
    </row>
    <row r="1971" spans="1:13" x14ac:dyDescent="0.45">
      <c r="A1971" t="s">
        <v>4991</v>
      </c>
      <c r="B1971">
        <v>1</v>
      </c>
      <c r="C1971" t="s">
        <v>1774</v>
      </c>
      <c r="G1971" s="3">
        <v>2612.09184378386</v>
      </c>
      <c r="H1971" t="s">
        <v>1755</v>
      </c>
      <c r="I1971" t="s">
        <v>4991</v>
      </c>
      <c r="M1971" t="s">
        <v>1757</v>
      </c>
    </row>
    <row r="1972" spans="1:13" x14ac:dyDescent="0.45">
      <c r="A1972" t="s">
        <v>4992</v>
      </c>
      <c r="B1972">
        <v>1</v>
      </c>
      <c r="C1972" t="s">
        <v>1774</v>
      </c>
      <c r="G1972" s="3">
        <v>2375.4066836023731</v>
      </c>
      <c r="H1972" t="s">
        <v>1755</v>
      </c>
      <c r="I1972" t="s">
        <v>4992</v>
      </c>
      <c r="M1972" t="s">
        <v>1757</v>
      </c>
    </row>
    <row r="1973" spans="1:13" x14ac:dyDescent="0.45">
      <c r="A1973" t="s">
        <v>4993</v>
      </c>
      <c r="B1973">
        <v>1</v>
      </c>
      <c r="C1973" t="s">
        <v>1774</v>
      </c>
      <c r="G1973" s="3">
        <v>1550.051661971268</v>
      </c>
      <c r="H1973" t="s">
        <v>1755</v>
      </c>
      <c r="I1973" t="s">
        <v>4993</v>
      </c>
      <c r="M1973" t="s">
        <v>1757</v>
      </c>
    </row>
    <row r="1974" spans="1:13" x14ac:dyDescent="0.45">
      <c r="A1974" t="s">
        <v>4994</v>
      </c>
      <c r="B1974">
        <v>1</v>
      </c>
      <c r="C1974" t="s">
        <v>1774</v>
      </c>
      <c r="G1974" s="3">
        <v>338.93192303190818</v>
      </c>
      <c r="H1974" t="s">
        <v>1755</v>
      </c>
      <c r="I1974" t="s">
        <v>4994</v>
      </c>
      <c r="M1974" t="s">
        <v>1757</v>
      </c>
    </row>
    <row r="1975" spans="1:13" x14ac:dyDescent="0.45">
      <c r="A1975" t="s">
        <v>4995</v>
      </c>
      <c r="B1975">
        <v>4</v>
      </c>
      <c r="C1975" t="s">
        <v>1774</v>
      </c>
      <c r="G1975" s="3">
        <v>1140.076356745099</v>
      </c>
      <c r="H1975" t="s">
        <v>1755</v>
      </c>
      <c r="I1975" t="s">
        <v>4995</v>
      </c>
      <c r="M1975" t="s">
        <v>1757</v>
      </c>
    </row>
    <row r="1976" spans="1:13" x14ac:dyDescent="0.45">
      <c r="A1976" t="s">
        <v>4996</v>
      </c>
      <c r="B1976">
        <v>1</v>
      </c>
      <c r="C1976" t="s">
        <v>1774</v>
      </c>
      <c r="G1976" s="3">
        <v>2111.614666868848</v>
      </c>
      <c r="H1976" t="s">
        <v>1755</v>
      </c>
      <c r="I1976" t="s">
        <v>4996</v>
      </c>
      <c r="M1976" t="s">
        <v>1757</v>
      </c>
    </row>
    <row r="1977" spans="1:13" x14ac:dyDescent="0.45">
      <c r="A1977" t="s">
        <v>4997</v>
      </c>
      <c r="B1977">
        <v>3</v>
      </c>
      <c r="C1977" t="s">
        <v>1774</v>
      </c>
      <c r="G1977" s="3">
        <v>2508.6187329532231</v>
      </c>
      <c r="H1977" t="s">
        <v>1755</v>
      </c>
      <c r="I1977" t="s">
        <v>4997</v>
      </c>
      <c r="M1977" t="s">
        <v>1757</v>
      </c>
    </row>
    <row r="1978" spans="1:13" x14ac:dyDescent="0.45">
      <c r="A1978" t="s">
        <v>4998</v>
      </c>
      <c r="B1978">
        <v>2</v>
      </c>
      <c r="C1978" t="s">
        <v>1774</v>
      </c>
      <c r="G1978" s="3">
        <v>4404.1547995847286</v>
      </c>
      <c r="H1978" t="s">
        <v>1755</v>
      </c>
      <c r="I1978" t="s">
        <v>4998</v>
      </c>
      <c r="M1978" t="s">
        <v>1757</v>
      </c>
    </row>
    <row r="1979" spans="1:13" x14ac:dyDescent="0.45">
      <c r="A1979" t="s">
        <v>4999</v>
      </c>
      <c r="B1979">
        <v>1</v>
      </c>
      <c r="C1979" t="s">
        <v>1774</v>
      </c>
      <c r="G1979" s="3">
        <v>1517.9872284779351</v>
      </c>
      <c r="H1979" t="s">
        <v>1755</v>
      </c>
      <c r="I1979" t="s">
        <v>4999</v>
      </c>
      <c r="M1979" t="s">
        <v>1757</v>
      </c>
    </row>
    <row r="1980" spans="1:13" x14ac:dyDescent="0.45">
      <c r="A1980" t="s">
        <v>5000</v>
      </c>
      <c r="B1980">
        <v>1</v>
      </c>
      <c r="C1980" t="s">
        <v>1774</v>
      </c>
      <c r="G1980" s="3">
        <v>1570.9876398569061</v>
      </c>
      <c r="H1980" t="s">
        <v>1755</v>
      </c>
      <c r="I1980" t="s">
        <v>5000</v>
      </c>
      <c r="M1980" t="s">
        <v>1757</v>
      </c>
    </row>
    <row r="1981" spans="1:13" x14ac:dyDescent="0.45">
      <c r="A1981" t="s">
        <v>5001</v>
      </c>
      <c r="B1981">
        <v>1</v>
      </c>
      <c r="C1981" t="s">
        <v>1774</v>
      </c>
      <c r="G1981" s="3">
        <v>3174.7018106539099</v>
      </c>
      <c r="H1981" t="s">
        <v>1755</v>
      </c>
      <c r="I1981" t="s">
        <v>5001</v>
      </c>
      <c r="M1981" t="s">
        <v>1757</v>
      </c>
    </row>
    <row r="1982" spans="1:13" x14ac:dyDescent="0.45">
      <c r="A1982" t="s">
        <v>5002</v>
      </c>
      <c r="B1982">
        <v>1</v>
      </c>
      <c r="C1982" t="s">
        <v>1774</v>
      </c>
      <c r="G1982" s="3">
        <v>2277.6347862542252</v>
      </c>
      <c r="H1982" t="s">
        <v>1755</v>
      </c>
      <c r="I1982" t="s">
        <v>5002</v>
      </c>
      <c r="M1982" t="s">
        <v>1757</v>
      </c>
    </row>
    <row r="1983" spans="1:13" x14ac:dyDescent="0.45">
      <c r="A1983" t="s">
        <v>5003</v>
      </c>
      <c r="B1983">
        <v>1</v>
      </c>
      <c r="C1983" t="s">
        <v>1774</v>
      </c>
      <c r="G1983" s="3">
        <v>2211.5652888201439</v>
      </c>
      <c r="H1983" t="s">
        <v>1755</v>
      </c>
      <c r="I1983" t="s">
        <v>5003</v>
      </c>
      <c r="M1983" t="s">
        <v>1757</v>
      </c>
    </row>
    <row r="1984" spans="1:13" x14ac:dyDescent="0.45">
      <c r="A1984" t="s">
        <v>5004</v>
      </c>
      <c r="B1984">
        <v>1</v>
      </c>
      <c r="C1984" t="s">
        <v>1774</v>
      </c>
      <c r="G1984" s="3">
        <v>2653.4223799681249</v>
      </c>
      <c r="H1984" t="s">
        <v>1755</v>
      </c>
      <c r="I1984" t="s">
        <v>5004</v>
      </c>
      <c r="M1984" t="s">
        <v>1757</v>
      </c>
    </row>
    <row r="1985" spans="1:13" x14ac:dyDescent="0.45">
      <c r="A1985" t="s">
        <v>5005</v>
      </c>
      <c r="B1985">
        <v>1</v>
      </c>
      <c r="C1985" t="s">
        <v>1774</v>
      </c>
      <c r="G1985" s="3">
        <v>1917.9201788342059</v>
      </c>
      <c r="H1985" t="s">
        <v>1755</v>
      </c>
      <c r="I1985" t="s">
        <v>5005</v>
      </c>
      <c r="M1985" t="s">
        <v>1757</v>
      </c>
    </row>
    <row r="1986" spans="1:13" x14ac:dyDescent="0.45">
      <c r="A1986" t="s">
        <v>5006</v>
      </c>
      <c r="B1986">
        <v>2</v>
      </c>
      <c r="C1986" t="s">
        <v>1774</v>
      </c>
      <c r="G1986" s="3">
        <v>2131.7580847566351</v>
      </c>
      <c r="H1986" t="s">
        <v>1755</v>
      </c>
      <c r="I1986" t="s">
        <v>5006</v>
      </c>
      <c r="M1986" t="s">
        <v>1757</v>
      </c>
    </row>
    <row r="1987" spans="1:13" x14ac:dyDescent="0.45">
      <c r="A1987" t="s">
        <v>5007</v>
      </c>
      <c r="B1987">
        <v>1</v>
      </c>
      <c r="C1987" t="s">
        <v>1774</v>
      </c>
      <c r="G1987" s="3">
        <v>5611.4552473410258</v>
      </c>
      <c r="H1987" t="s">
        <v>1755</v>
      </c>
      <c r="I1987" t="s">
        <v>5007</v>
      </c>
      <c r="M1987" t="s">
        <v>1757</v>
      </c>
    </row>
    <row r="1988" spans="1:13" x14ac:dyDescent="0.45">
      <c r="A1988" t="s">
        <v>5008</v>
      </c>
      <c r="B1988">
        <v>1</v>
      </c>
      <c r="C1988" t="s">
        <v>1774</v>
      </c>
      <c r="G1988" s="3">
        <v>1041.0813729805129</v>
      </c>
      <c r="H1988" t="s">
        <v>1755</v>
      </c>
      <c r="I1988" t="s">
        <v>5008</v>
      </c>
      <c r="M1988" t="s">
        <v>1757</v>
      </c>
    </row>
    <row r="1989" spans="1:13" x14ac:dyDescent="0.45">
      <c r="A1989" t="s">
        <v>5009</v>
      </c>
      <c r="B1989">
        <v>1</v>
      </c>
      <c r="C1989" t="s">
        <v>1774</v>
      </c>
      <c r="G1989" s="3">
        <v>1724.339845531764</v>
      </c>
      <c r="H1989" t="s">
        <v>1755</v>
      </c>
      <c r="I1989" t="s">
        <v>5009</v>
      </c>
      <c r="M1989" t="s">
        <v>1757</v>
      </c>
    </row>
    <row r="1990" spans="1:13" x14ac:dyDescent="0.45">
      <c r="A1990" t="s">
        <v>5010</v>
      </c>
      <c r="B1990">
        <v>1</v>
      </c>
      <c r="C1990" t="s">
        <v>1774</v>
      </c>
      <c r="G1990" s="3">
        <v>3041.232097764665</v>
      </c>
      <c r="H1990" t="s">
        <v>1755</v>
      </c>
      <c r="I1990" t="s">
        <v>5010</v>
      </c>
      <c r="M1990" t="s">
        <v>1757</v>
      </c>
    </row>
    <row r="1991" spans="1:13" x14ac:dyDescent="0.45">
      <c r="A1991" t="s">
        <v>5011</v>
      </c>
      <c r="B1991">
        <v>1</v>
      </c>
      <c r="C1991" t="s">
        <v>1774</v>
      </c>
      <c r="G1991" s="3">
        <v>3989.0229620268569</v>
      </c>
      <c r="H1991" t="s">
        <v>1755</v>
      </c>
      <c r="I1991" t="s">
        <v>5011</v>
      </c>
      <c r="M1991" t="s">
        <v>1757</v>
      </c>
    </row>
    <row r="1992" spans="1:13" x14ac:dyDescent="0.45">
      <c r="A1992" t="s">
        <v>5012</v>
      </c>
      <c r="B1992">
        <v>1</v>
      </c>
      <c r="C1992" t="s">
        <v>1774</v>
      </c>
      <c r="G1992" s="3">
        <v>2028.2132195229001</v>
      </c>
      <c r="H1992" t="s">
        <v>1755</v>
      </c>
      <c r="I1992" t="s">
        <v>5012</v>
      </c>
      <c r="M1992" t="s">
        <v>1757</v>
      </c>
    </row>
    <row r="1993" spans="1:13" x14ac:dyDescent="0.45">
      <c r="A1993" t="s">
        <v>5013</v>
      </c>
      <c r="B1993">
        <v>2</v>
      </c>
      <c r="C1993" t="s">
        <v>1774</v>
      </c>
      <c r="G1993" s="3">
        <v>3674.6082139079172</v>
      </c>
      <c r="H1993" t="s">
        <v>1755</v>
      </c>
      <c r="I1993" t="s">
        <v>5013</v>
      </c>
      <c r="M1993" t="s">
        <v>1757</v>
      </c>
    </row>
    <row r="1994" spans="1:13" x14ac:dyDescent="0.45">
      <c r="A1994" t="s">
        <v>5014</v>
      </c>
      <c r="B1994">
        <v>1</v>
      </c>
      <c r="C1994" t="s">
        <v>1774</v>
      </c>
      <c r="G1994" s="3">
        <v>1962.2513536934659</v>
      </c>
      <c r="H1994" t="s">
        <v>1755</v>
      </c>
      <c r="I1994" t="s">
        <v>5014</v>
      </c>
      <c r="M1994" t="s">
        <v>1757</v>
      </c>
    </row>
    <row r="1995" spans="1:13" x14ac:dyDescent="0.45">
      <c r="A1995" t="s">
        <v>5015</v>
      </c>
      <c r="B1995">
        <v>1</v>
      </c>
      <c r="C1995" t="s">
        <v>1774</v>
      </c>
      <c r="G1995" s="3">
        <v>2456.8055307891409</v>
      </c>
      <c r="H1995" t="s">
        <v>1755</v>
      </c>
      <c r="I1995" t="s">
        <v>5015</v>
      </c>
      <c r="M1995" t="s">
        <v>1757</v>
      </c>
    </row>
    <row r="1996" spans="1:13" x14ac:dyDescent="0.45">
      <c r="A1996" t="s">
        <v>5016</v>
      </c>
      <c r="B1996">
        <v>1</v>
      </c>
      <c r="C1996" t="s">
        <v>1774</v>
      </c>
      <c r="G1996" s="3">
        <v>1210.1999779541991</v>
      </c>
      <c r="H1996" t="s">
        <v>1755</v>
      </c>
      <c r="I1996" t="s">
        <v>5016</v>
      </c>
      <c r="M1996" t="s">
        <v>1757</v>
      </c>
    </row>
    <row r="1997" spans="1:13" x14ac:dyDescent="0.45">
      <c r="A1997" t="s">
        <v>5017</v>
      </c>
      <c r="B1997">
        <v>2</v>
      </c>
      <c r="C1997" t="s">
        <v>1774</v>
      </c>
      <c r="G1997" s="3">
        <v>1091.9617679043249</v>
      </c>
      <c r="H1997" t="s">
        <v>1755</v>
      </c>
      <c r="I1997" t="s">
        <v>5017</v>
      </c>
      <c r="M1997" t="s">
        <v>1757</v>
      </c>
    </row>
    <row r="1998" spans="1:13" x14ac:dyDescent="0.45">
      <c r="A1998" t="s">
        <v>5018</v>
      </c>
      <c r="B1998">
        <v>1</v>
      </c>
      <c r="C1998" t="s">
        <v>1774</v>
      </c>
      <c r="G1998" s="3">
        <v>3202.1348235836649</v>
      </c>
      <c r="H1998" t="s">
        <v>1755</v>
      </c>
      <c r="I1998" t="s">
        <v>5018</v>
      </c>
      <c r="M1998" t="s">
        <v>1757</v>
      </c>
    </row>
    <row r="1999" spans="1:13" x14ac:dyDescent="0.45">
      <c r="A1999" t="s">
        <v>5019</v>
      </c>
      <c r="B1999">
        <v>1</v>
      </c>
      <c r="C1999" t="s">
        <v>1774</v>
      </c>
      <c r="G1999" s="3">
        <v>1555.625674466447</v>
      </c>
      <c r="H1999" t="s">
        <v>1755</v>
      </c>
      <c r="I1999" t="s">
        <v>5019</v>
      </c>
      <c r="M1999" t="s">
        <v>1757</v>
      </c>
    </row>
    <row r="2000" spans="1:13" x14ac:dyDescent="0.45">
      <c r="A2000" t="s">
        <v>5020</v>
      </c>
      <c r="B2000">
        <v>1</v>
      </c>
      <c r="C2000" t="s">
        <v>1774</v>
      </c>
      <c r="G2000" s="3">
        <v>2905.1531338536852</v>
      </c>
      <c r="H2000" t="s">
        <v>1755</v>
      </c>
      <c r="I2000" t="s">
        <v>5020</v>
      </c>
      <c r="M2000" t="s">
        <v>1757</v>
      </c>
    </row>
    <row r="2001" spans="1:13" x14ac:dyDescent="0.45">
      <c r="A2001" t="s">
        <v>5021</v>
      </c>
      <c r="B2001">
        <v>1</v>
      </c>
      <c r="C2001" t="s">
        <v>1774</v>
      </c>
      <c r="G2001" s="3">
        <v>5729.6217029878017</v>
      </c>
      <c r="H2001" t="s">
        <v>1755</v>
      </c>
      <c r="I2001" t="s">
        <v>5021</v>
      </c>
      <c r="M2001" t="s">
        <v>1757</v>
      </c>
    </row>
    <row r="2002" spans="1:13" x14ac:dyDescent="0.45">
      <c r="A2002" t="s">
        <v>5022</v>
      </c>
      <c r="B2002">
        <v>1</v>
      </c>
      <c r="C2002" t="s">
        <v>1774</v>
      </c>
      <c r="G2002" s="3">
        <v>2785.2417415861241</v>
      </c>
      <c r="H2002" t="s">
        <v>1755</v>
      </c>
      <c r="I2002" t="s">
        <v>5022</v>
      </c>
      <c r="M2002" t="s">
        <v>1757</v>
      </c>
    </row>
    <row r="2003" spans="1:13" x14ac:dyDescent="0.45">
      <c r="A2003" t="s">
        <v>5023</v>
      </c>
      <c r="B2003">
        <v>1</v>
      </c>
      <c r="C2003" t="s">
        <v>1774</v>
      </c>
      <c r="G2003" s="3">
        <v>4419.4841493374151</v>
      </c>
      <c r="H2003" t="s">
        <v>1755</v>
      </c>
      <c r="I2003" t="s">
        <v>5023</v>
      </c>
      <c r="M2003" t="s">
        <v>1757</v>
      </c>
    </row>
    <row r="2004" spans="1:13" x14ac:dyDescent="0.45">
      <c r="A2004" t="s">
        <v>5024</v>
      </c>
      <c r="B2004">
        <v>1</v>
      </c>
      <c r="C2004" t="s">
        <v>1774</v>
      </c>
      <c r="G2004" s="3">
        <v>2751.7846203599411</v>
      </c>
      <c r="H2004" t="s">
        <v>1755</v>
      </c>
      <c r="I2004" t="s">
        <v>5024</v>
      </c>
      <c r="M2004" t="s">
        <v>1757</v>
      </c>
    </row>
    <row r="2005" spans="1:13" x14ac:dyDescent="0.45">
      <c r="A2005" t="s">
        <v>5025</v>
      </c>
      <c r="B2005">
        <v>1</v>
      </c>
      <c r="C2005" t="s">
        <v>1774</v>
      </c>
      <c r="H2005" t="s">
        <v>1755</v>
      </c>
      <c r="I2005" t="s">
        <v>5025</v>
      </c>
      <c r="M2005" t="s">
        <v>1757</v>
      </c>
    </row>
    <row r="2006" spans="1:13" x14ac:dyDescent="0.45">
      <c r="A2006" t="s">
        <v>5026</v>
      </c>
      <c r="B2006">
        <v>1</v>
      </c>
      <c r="C2006" t="s">
        <v>1774</v>
      </c>
      <c r="G2006" s="3">
        <v>3958.9513440013739</v>
      </c>
      <c r="H2006" t="s">
        <v>1755</v>
      </c>
      <c r="I2006" t="s">
        <v>5026</v>
      </c>
      <c r="M2006" t="s">
        <v>1757</v>
      </c>
    </row>
    <row r="2007" spans="1:13" x14ac:dyDescent="0.45">
      <c r="A2007" t="s">
        <v>5027</v>
      </c>
      <c r="B2007">
        <v>1</v>
      </c>
      <c r="C2007" t="s">
        <v>1774</v>
      </c>
      <c r="G2007" s="3">
        <v>901.24508759823664</v>
      </c>
      <c r="H2007" t="s">
        <v>1755</v>
      </c>
      <c r="I2007" t="s">
        <v>5027</v>
      </c>
      <c r="M2007" t="s">
        <v>1757</v>
      </c>
    </row>
    <row r="2008" spans="1:13" x14ac:dyDescent="0.45">
      <c r="A2008" t="s">
        <v>5028</v>
      </c>
      <c r="B2008">
        <v>2</v>
      </c>
      <c r="C2008" t="s">
        <v>1774</v>
      </c>
      <c r="G2008" s="3">
        <v>2028.219742650454</v>
      </c>
      <c r="H2008" t="s">
        <v>1755</v>
      </c>
      <c r="I2008" t="s">
        <v>5028</v>
      </c>
      <c r="M2008" t="s">
        <v>1757</v>
      </c>
    </row>
    <row r="2009" spans="1:13" x14ac:dyDescent="0.45">
      <c r="A2009" t="s">
        <v>5029</v>
      </c>
      <c r="B2009">
        <v>2</v>
      </c>
      <c r="C2009" t="s">
        <v>1774</v>
      </c>
      <c r="G2009" s="3">
        <v>1111.1854248069501</v>
      </c>
      <c r="H2009" t="s">
        <v>1755</v>
      </c>
      <c r="I2009" t="s">
        <v>5029</v>
      </c>
      <c r="M2009" t="s">
        <v>1757</v>
      </c>
    </row>
    <row r="2010" spans="1:13" x14ac:dyDescent="0.45">
      <c r="A2010" t="s">
        <v>5030</v>
      </c>
      <c r="B2010">
        <v>1</v>
      </c>
      <c r="C2010" t="s">
        <v>1774</v>
      </c>
      <c r="G2010" s="3">
        <v>661.38642586156652</v>
      </c>
      <c r="H2010" t="s">
        <v>1755</v>
      </c>
      <c r="I2010" t="s">
        <v>5030</v>
      </c>
      <c r="M2010" t="s">
        <v>1757</v>
      </c>
    </row>
    <row r="2011" spans="1:13" x14ac:dyDescent="0.45">
      <c r="A2011" t="s">
        <v>5031</v>
      </c>
      <c r="B2011">
        <v>1</v>
      </c>
      <c r="C2011" t="s">
        <v>1774</v>
      </c>
      <c r="G2011" s="3">
        <v>2187.9515670734522</v>
      </c>
      <c r="H2011" t="s">
        <v>1755</v>
      </c>
      <c r="I2011" t="s">
        <v>5031</v>
      </c>
      <c r="M2011" t="s">
        <v>1757</v>
      </c>
    </row>
    <row r="2012" spans="1:13" x14ac:dyDescent="0.45">
      <c r="A2012" t="s">
        <v>5032</v>
      </c>
      <c r="B2012">
        <v>1</v>
      </c>
      <c r="C2012" t="s">
        <v>1774</v>
      </c>
      <c r="G2012" s="3">
        <v>1935.3597603507201</v>
      </c>
      <c r="H2012" t="s">
        <v>1755</v>
      </c>
      <c r="I2012" t="s">
        <v>5032</v>
      </c>
      <c r="M2012" t="s">
        <v>1757</v>
      </c>
    </row>
    <row r="2013" spans="1:13" x14ac:dyDescent="0.45">
      <c r="A2013" t="s">
        <v>5033</v>
      </c>
      <c r="B2013">
        <v>1</v>
      </c>
      <c r="C2013" t="s">
        <v>1774</v>
      </c>
      <c r="G2013" s="3">
        <v>3651.157570350083</v>
      </c>
      <c r="H2013" t="s">
        <v>1755</v>
      </c>
      <c r="I2013" t="s">
        <v>5033</v>
      </c>
      <c r="M2013" t="s">
        <v>1757</v>
      </c>
    </row>
    <row r="2014" spans="1:13" x14ac:dyDescent="0.45">
      <c r="A2014" t="s">
        <v>5034</v>
      </c>
      <c r="B2014">
        <v>1</v>
      </c>
      <c r="C2014" t="s">
        <v>1774</v>
      </c>
      <c r="G2014" s="3">
        <v>2972.1619616555899</v>
      </c>
      <c r="H2014" t="s">
        <v>1755</v>
      </c>
      <c r="I2014" t="s">
        <v>5034</v>
      </c>
      <c r="M2014" t="s">
        <v>1757</v>
      </c>
    </row>
    <row r="2015" spans="1:13" x14ac:dyDescent="0.45">
      <c r="A2015" t="s">
        <v>5035</v>
      </c>
      <c r="B2015">
        <v>1</v>
      </c>
      <c r="C2015" t="s">
        <v>1774</v>
      </c>
      <c r="G2015" s="3">
        <v>2756.7650282476752</v>
      </c>
      <c r="H2015" t="s">
        <v>1755</v>
      </c>
      <c r="I2015" t="s">
        <v>5035</v>
      </c>
      <c r="M2015" t="s">
        <v>1757</v>
      </c>
    </row>
    <row r="2016" spans="1:13" x14ac:dyDescent="0.45">
      <c r="A2016" t="s">
        <v>5036</v>
      </c>
      <c r="B2016">
        <v>1</v>
      </c>
      <c r="C2016" t="s">
        <v>1774</v>
      </c>
      <c r="G2016" s="3">
        <v>3312.73771283119</v>
      </c>
      <c r="H2016" t="s">
        <v>1755</v>
      </c>
      <c r="I2016" t="s">
        <v>5036</v>
      </c>
      <c r="M2016" t="s">
        <v>1757</v>
      </c>
    </row>
    <row r="2017" spans="1:13" x14ac:dyDescent="0.45">
      <c r="A2017" t="s">
        <v>5037</v>
      </c>
      <c r="B2017">
        <v>1</v>
      </c>
      <c r="C2017" t="s">
        <v>1774</v>
      </c>
      <c r="G2017" s="3">
        <v>1784.068862983032</v>
      </c>
      <c r="H2017" t="s">
        <v>1755</v>
      </c>
      <c r="I2017" t="s">
        <v>5037</v>
      </c>
      <c r="M2017" t="s">
        <v>1757</v>
      </c>
    </row>
    <row r="2018" spans="1:13" x14ac:dyDescent="0.45">
      <c r="A2018" t="s">
        <v>5038</v>
      </c>
      <c r="B2018">
        <v>1</v>
      </c>
      <c r="C2018" t="s">
        <v>1774</v>
      </c>
      <c r="G2018" s="3">
        <v>2005.4018424653909</v>
      </c>
      <c r="H2018" t="s">
        <v>1755</v>
      </c>
      <c r="I2018" t="s">
        <v>5038</v>
      </c>
      <c r="M2018" t="s">
        <v>1757</v>
      </c>
    </row>
    <row r="2019" spans="1:13" x14ac:dyDescent="0.45">
      <c r="A2019" t="s">
        <v>5039</v>
      </c>
      <c r="B2019">
        <v>2</v>
      </c>
      <c r="C2019" t="s">
        <v>1774</v>
      </c>
      <c r="G2019" s="3">
        <v>1372.524745580045</v>
      </c>
      <c r="H2019" t="s">
        <v>1755</v>
      </c>
      <c r="I2019" t="s">
        <v>5039</v>
      </c>
      <c r="M2019" t="s">
        <v>1757</v>
      </c>
    </row>
    <row r="2020" spans="1:13" x14ac:dyDescent="0.45">
      <c r="A2020" t="s">
        <v>5040</v>
      </c>
      <c r="B2020">
        <v>1</v>
      </c>
      <c r="C2020" t="s">
        <v>1774</v>
      </c>
      <c r="G2020" s="3">
        <v>4945.4113084056644</v>
      </c>
      <c r="H2020" t="s">
        <v>1755</v>
      </c>
      <c r="I2020" t="s">
        <v>5040</v>
      </c>
      <c r="M2020" t="s">
        <v>1757</v>
      </c>
    </row>
    <row r="2021" spans="1:13" x14ac:dyDescent="0.45">
      <c r="A2021" t="s">
        <v>5041</v>
      </c>
      <c r="B2021">
        <v>1</v>
      </c>
      <c r="C2021" t="s">
        <v>1774</v>
      </c>
      <c r="G2021" s="3">
        <v>1269.2147129382661</v>
      </c>
      <c r="H2021" t="s">
        <v>1755</v>
      </c>
      <c r="I2021" t="s">
        <v>5041</v>
      </c>
      <c r="M2021" t="s">
        <v>1757</v>
      </c>
    </row>
    <row r="2022" spans="1:13" x14ac:dyDescent="0.45">
      <c r="A2022" t="s">
        <v>5042</v>
      </c>
      <c r="B2022">
        <v>1</v>
      </c>
      <c r="C2022" t="s">
        <v>1774</v>
      </c>
      <c r="G2022" s="3">
        <v>2385.1750671149898</v>
      </c>
      <c r="H2022" t="s">
        <v>1755</v>
      </c>
      <c r="I2022" t="s">
        <v>5042</v>
      </c>
      <c r="M2022" t="s">
        <v>1757</v>
      </c>
    </row>
    <row r="2023" spans="1:13" x14ac:dyDescent="0.45">
      <c r="A2023" t="s">
        <v>5043</v>
      </c>
      <c r="B2023">
        <v>1</v>
      </c>
      <c r="C2023" t="s">
        <v>1774</v>
      </c>
      <c r="G2023" s="3">
        <v>1766.834759984479</v>
      </c>
      <c r="H2023" t="s">
        <v>1755</v>
      </c>
      <c r="I2023" t="s">
        <v>5043</v>
      </c>
      <c r="M2023" t="s">
        <v>1757</v>
      </c>
    </row>
    <row r="2024" spans="1:13" x14ac:dyDescent="0.45">
      <c r="A2024" t="s">
        <v>5044</v>
      </c>
      <c r="B2024">
        <v>1</v>
      </c>
      <c r="C2024" t="s">
        <v>1774</v>
      </c>
      <c r="G2024" s="3">
        <v>3447.1467560882611</v>
      </c>
      <c r="H2024" t="s">
        <v>1755</v>
      </c>
      <c r="I2024" t="s">
        <v>5044</v>
      </c>
      <c r="M2024" t="s">
        <v>1757</v>
      </c>
    </row>
    <row r="2025" spans="1:13" x14ac:dyDescent="0.45">
      <c r="A2025" t="s">
        <v>5045</v>
      </c>
      <c r="B2025">
        <v>2</v>
      </c>
      <c r="C2025" t="s">
        <v>1774</v>
      </c>
      <c r="G2025" s="3">
        <v>2740.1310529841221</v>
      </c>
      <c r="H2025" t="s">
        <v>1755</v>
      </c>
      <c r="I2025" t="s">
        <v>5045</v>
      </c>
      <c r="M2025" t="s">
        <v>1757</v>
      </c>
    </row>
    <row r="2026" spans="1:13" x14ac:dyDescent="0.45">
      <c r="A2026" t="s">
        <v>5046</v>
      </c>
      <c r="B2026">
        <v>1</v>
      </c>
      <c r="C2026" t="s">
        <v>1774</v>
      </c>
      <c r="G2026" s="3">
        <v>1519.321208062797</v>
      </c>
      <c r="H2026" t="s">
        <v>1755</v>
      </c>
      <c r="I2026" t="s">
        <v>5046</v>
      </c>
      <c r="M2026" t="s">
        <v>1757</v>
      </c>
    </row>
    <row r="2027" spans="1:13" x14ac:dyDescent="0.45">
      <c r="A2027" t="s">
        <v>5047</v>
      </c>
      <c r="B2027">
        <v>1</v>
      </c>
      <c r="C2027" t="s">
        <v>1774</v>
      </c>
      <c r="G2027" s="3">
        <v>1309.4656715122901</v>
      </c>
      <c r="H2027" t="s">
        <v>1755</v>
      </c>
      <c r="I2027" t="s">
        <v>5047</v>
      </c>
      <c r="M2027" t="s">
        <v>1757</v>
      </c>
    </row>
    <row r="2028" spans="1:13" x14ac:dyDescent="0.45">
      <c r="A2028" t="s">
        <v>5048</v>
      </c>
      <c r="B2028">
        <v>1</v>
      </c>
      <c r="C2028" t="s">
        <v>1774</v>
      </c>
      <c r="G2028" s="3">
        <v>5335.3312579660314</v>
      </c>
      <c r="H2028" t="s">
        <v>1755</v>
      </c>
      <c r="I2028" t="s">
        <v>5048</v>
      </c>
      <c r="M2028" t="s">
        <v>1757</v>
      </c>
    </row>
    <row r="2029" spans="1:13" x14ac:dyDescent="0.45">
      <c r="A2029" t="s">
        <v>5049</v>
      </c>
      <c r="B2029">
        <v>1</v>
      </c>
      <c r="C2029" t="s">
        <v>1774</v>
      </c>
      <c r="G2029" s="3">
        <v>4033.1193042941609</v>
      </c>
      <c r="H2029" t="s">
        <v>1755</v>
      </c>
      <c r="I2029" t="s">
        <v>5049</v>
      </c>
      <c r="M2029" t="s">
        <v>1757</v>
      </c>
    </row>
    <row r="2030" spans="1:13" x14ac:dyDescent="0.45">
      <c r="A2030" t="s">
        <v>5050</v>
      </c>
      <c r="B2030">
        <v>2</v>
      </c>
      <c r="C2030" t="s">
        <v>1774</v>
      </c>
      <c r="G2030" s="3">
        <v>988.18533164241171</v>
      </c>
      <c r="H2030" t="s">
        <v>1755</v>
      </c>
      <c r="I2030" t="s">
        <v>5050</v>
      </c>
      <c r="M2030" t="s">
        <v>1757</v>
      </c>
    </row>
    <row r="2031" spans="1:13" x14ac:dyDescent="0.45">
      <c r="A2031" t="s">
        <v>5051</v>
      </c>
      <c r="B2031">
        <v>2</v>
      </c>
      <c r="C2031" t="s">
        <v>1774</v>
      </c>
      <c r="G2031" s="3">
        <v>3274.93618865382</v>
      </c>
      <c r="H2031" t="s">
        <v>1755</v>
      </c>
      <c r="I2031" t="s">
        <v>5051</v>
      </c>
      <c r="M2031" t="s">
        <v>1757</v>
      </c>
    </row>
    <row r="2032" spans="1:13" x14ac:dyDescent="0.45">
      <c r="A2032" t="s">
        <v>5052</v>
      </c>
      <c r="B2032">
        <v>2</v>
      </c>
      <c r="C2032" t="s">
        <v>1774</v>
      </c>
      <c r="G2032" s="3">
        <v>1680.7947075428019</v>
      </c>
      <c r="H2032" t="s">
        <v>1755</v>
      </c>
      <c r="I2032" t="s">
        <v>5052</v>
      </c>
      <c r="M2032" t="s">
        <v>1757</v>
      </c>
    </row>
    <row r="2033" spans="1:13" x14ac:dyDescent="0.45">
      <c r="A2033" t="s">
        <v>5053</v>
      </c>
      <c r="B2033">
        <v>1</v>
      </c>
      <c r="C2033" t="s">
        <v>1774</v>
      </c>
      <c r="G2033" s="3">
        <v>4250.5351456801427</v>
      </c>
      <c r="H2033" t="s">
        <v>1755</v>
      </c>
      <c r="I2033" t="s">
        <v>5053</v>
      </c>
      <c r="M2033" t="s">
        <v>1757</v>
      </c>
    </row>
    <row r="2034" spans="1:13" x14ac:dyDescent="0.45">
      <c r="A2034" t="s">
        <v>5054</v>
      </c>
      <c r="B2034">
        <v>1</v>
      </c>
      <c r="C2034" t="s">
        <v>1774</v>
      </c>
      <c r="G2034" s="3">
        <v>5542.8971767449666</v>
      </c>
      <c r="H2034" t="s">
        <v>1755</v>
      </c>
      <c r="I2034" t="s">
        <v>5054</v>
      </c>
      <c r="M2034" t="s">
        <v>1757</v>
      </c>
    </row>
    <row r="2035" spans="1:13" x14ac:dyDescent="0.45">
      <c r="A2035" t="s">
        <v>5055</v>
      </c>
      <c r="B2035">
        <v>1</v>
      </c>
      <c r="C2035" t="s">
        <v>1774</v>
      </c>
      <c r="G2035" s="3">
        <v>3517.4660711239899</v>
      </c>
      <c r="H2035" t="s">
        <v>1755</v>
      </c>
      <c r="I2035" t="s">
        <v>5055</v>
      </c>
      <c r="M2035" t="s">
        <v>1757</v>
      </c>
    </row>
    <row r="2036" spans="1:13" x14ac:dyDescent="0.45">
      <c r="A2036" t="s">
        <v>5056</v>
      </c>
      <c r="B2036">
        <v>1</v>
      </c>
      <c r="C2036" t="s">
        <v>1774</v>
      </c>
      <c r="G2036" s="3">
        <v>4666.7759149222502</v>
      </c>
      <c r="H2036" t="s">
        <v>1755</v>
      </c>
      <c r="I2036" t="s">
        <v>5056</v>
      </c>
      <c r="M2036" t="s">
        <v>1757</v>
      </c>
    </row>
    <row r="2037" spans="1:13" x14ac:dyDescent="0.45">
      <c r="A2037" t="s">
        <v>5057</v>
      </c>
      <c r="B2037">
        <v>1</v>
      </c>
      <c r="C2037" t="s">
        <v>1774</v>
      </c>
      <c r="G2037" s="3">
        <v>2831.2200061528538</v>
      </c>
      <c r="H2037" t="s">
        <v>1755</v>
      </c>
      <c r="I2037" t="s">
        <v>5057</v>
      </c>
      <c r="M2037" t="s">
        <v>1757</v>
      </c>
    </row>
    <row r="2038" spans="1:13" x14ac:dyDescent="0.45">
      <c r="A2038" t="s">
        <v>5058</v>
      </c>
      <c r="B2038">
        <v>1</v>
      </c>
      <c r="C2038" t="s">
        <v>1774</v>
      </c>
      <c r="G2038" s="3">
        <v>3738.0782450115948</v>
      </c>
      <c r="H2038" t="s">
        <v>1755</v>
      </c>
      <c r="I2038" t="s">
        <v>5058</v>
      </c>
      <c r="M2038" t="s">
        <v>1757</v>
      </c>
    </row>
    <row r="2039" spans="1:13" x14ac:dyDescent="0.45">
      <c r="A2039" t="s">
        <v>5059</v>
      </c>
      <c r="B2039">
        <v>1</v>
      </c>
      <c r="C2039" t="s">
        <v>1774</v>
      </c>
      <c r="G2039" s="3">
        <v>1651.7667899260121</v>
      </c>
      <c r="H2039" t="s">
        <v>1755</v>
      </c>
      <c r="I2039" t="s">
        <v>5059</v>
      </c>
      <c r="M2039" t="s">
        <v>1757</v>
      </c>
    </row>
    <row r="2040" spans="1:13" x14ac:dyDescent="0.45">
      <c r="A2040" t="s">
        <v>5060</v>
      </c>
      <c r="B2040">
        <v>1</v>
      </c>
      <c r="C2040" t="s">
        <v>1774</v>
      </c>
      <c r="G2040" s="3">
        <v>3168.0384358571569</v>
      </c>
      <c r="H2040" t="s">
        <v>1755</v>
      </c>
      <c r="I2040" t="s">
        <v>5060</v>
      </c>
      <c r="M2040" t="s">
        <v>1757</v>
      </c>
    </row>
    <row r="2041" spans="1:13" x14ac:dyDescent="0.45">
      <c r="A2041" t="s">
        <v>5061</v>
      </c>
      <c r="B2041">
        <v>4</v>
      </c>
      <c r="C2041" t="s">
        <v>1774</v>
      </c>
      <c r="G2041" s="3">
        <v>218.07598189447981</v>
      </c>
      <c r="H2041" t="s">
        <v>1755</v>
      </c>
      <c r="I2041" t="s">
        <v>5061</v>
      </c>
      <c r="M2041" t="s">
        <v>1757</v>
      </c>
    </row>
    <row r="2042" spans="1:13" x14ac:dyDescent="0.45">
      <c r="A2042" t="s">
        <v>5062</v>
      </c>
      <c r="B2042">
        <v>1</v>
      </c>
      <c r="C2042" t="s">
        <v>1774</v>
      </c>
      <c r="G2042" s="3">
        <v>8033.0358893367584</v>
      </c>
      <c r="H2042" t="s">
        <v>1755</v>
      </c>
      <c r="I2042" t="s">
        <v>5062</v>
      </c>
      <c r="M2042" t="s">
        <v>1757</v>
      </c>
    </row>
    <row r="2043" spans="1:13" x14ac:dyDescent="0.45">
      <c r="A2043" t="s">
        <v>5063</v>
      </c>
      <c r="B2043">
        <v>1</v>
      </c>
      <c r="C2043" t="s">
        <v>1774</v>
      </c>
      <c r="G2043" s="3">
        <v>3904.2223038205038</v>
      </c>
      <c r="H2043" t="s">
        <v>1755</v>
      </c>
      <c r="I2043" t="s">
        <v>5063</v>
      </c>
      <c r="M2043" t="s">
        <v>1757</v>
      </c>
    </row>
    <row r="2044" spans="1:13" x14ac:dyDescent="0.45">
      <c r="A2044" t="s">
        <v>5064</v>
      </c>
      <c r="B2044">
        <v>1</v>
      </c>
      <c r="C2044" t="s">
        <v>1774</v>
      </c>
      <c r="G2044" s="3">
        <v>2407.885335695406</v>
      </c>
      <c r="H2044" t="s">
        <v>1755</v>
      </c>
      <c r="I2044" t="s">
        <v>5064</v>
      </c>
      <c r="M2044" t="s">
        <v>1757</v>
      </c>
    </row>
    <row r="2045" spans="1:13" x14ac:dyDescent="0.45">
      <c r="A2045" t="s">
        <v>5065</v>
      </c>
      <c r="B2045">
        <v>1</v>
      </c>
      <c r="C2045" t="s">
        <v>1774</v>
      </c>
      <c r="G2045" s="3">
        <v>3350.3109275441589</v>
      </c>
      <c r="H2045" t="s">
        <v>1755</v>
      </c>
      <c r="I2045" t="s">
        <v>5065</v>
      </c>
      <c r="M2045" t="s">
        <v>1757</v>
      </c>
    </row>
    <row r="2046" spans="1:13" x14ac:dyDescent="0.45">
      <c r="A2046" t="s">
        <v>5066</v>
      </c>
      <c r="B2046">
        <v>1</v>
      </c>
      <c r="C2046" t="s">
        <v>1774</v>
      </c>
      <c r="H2046" t="s">
        <v>1755</v>
      </c>
      <c r="I2046" t="s">
        <v>5066</v>
      </c>
      <c r="M2046" t="s">
        <v>1757</v>
      </c>
    </row>
    <row r="2047" spans="1:13" x14ac:dyDescent="0.45">
      <c r="A2047" t="s">
        <v>5067</v>
      </c>
      <c r="B2047">
        <v>1</v>
      </c>
      <c r="C2047" t="s">
        <v>1774</v>
      </c>
      <c r="G2047" s="3">
        <v>2246.5488218940418</v>
      </c>
      <c r="H2047" t="s">
        <v>1755</v>
      </c>
      <c r="I2047" t="s">
        <v>5067</v>
      </c>
      <c r="M2047" t="s">
        <v>1757</v>
      </c>
    </row>
    <row r="2048" spans="1:13" x14ac:dyDescent="0.45">
      <c r="A2048" t="s">
        <v>5068</v>
      </c>
      <c r="B2048">
        <v>1</v>
      </c>
      <c r="C2048" t="s">
        <v>1774</v>
      </c>
      <c r="G2048" s="3">
        <v>2726.282453186268</v>
      </c>
      <c r="H2048" t="s">
        <v>1755</v>
      </c>
      <c r="I2048" t="s">
        <v>5068</v>
      </c>
      <c r="M2048" t="s">
        <v>1757</v>
      </c>
    </row>
    <row r="2049" spans="1:13" x14ac:dyDescent="0.45">
      <c r="A2049" t="s">
        <v>5069</v>
      </c>
      <c r="B2049">
        <v>1</v>
      </c>
      <c r="C2049" t="s">
        <v>1774</v>
      </c>
      <c r="G2049" s="3">
        <v>1485.1791584434079</v>
      </c>
      <c r="H2049" t="s">
        <v>1755</v>
      </c>
      <c r="I2049" t="s">
        <v>5069</v>
      </c>
      <c r="M2049" t="s">
        <v>1757</v>
      </c>
    </row>
    <row r="2050" spans="1:13" x14ac:dyDescent="0.45">
      <c r="A2050" t="s">
        <v>5070</v>
      </c>
      <c r="B2050">
        <v>4</v>
      </c>
      <c r="C2050" t="s">
        <v>1774</v>
      </c>
      <c r="G2050" s="3">
        <v>1480.081334259695</v>
      </c>
      <c r="H2050" t="s">
        <v>1755</v>
      </c>
      <c r="I2050" t="s">
        <v>5070</v>
      </c>
      <c r="M2050" t="s">
        <v>1757</v>
      </c>
    </row>
    <row r="2051" spans="1:13" x14ac:dyDescent="0.45">
      <c r="A2051" t="s">
        <v>5071</v>
      </c>
      <c r="B2051">
        <v>1</v>
      </c>
      <c r="C2051" t="s">
        <v>1774</v>
      </c>
      <c r="G2051" s="3">
        <v>1621.300522683491</v>
      </c>
      <c r="H2051" t="s">
        <v>1755</v>
      </c>
      <c r="I2051" t="s">
        <v>5071</v>
      </c>
      <c r="M2051" t="s">
        <v>1757</v>
      </c>
    </row>
    <row r="2052" spans="1:13" x14ac:dyDescent="0.45">
      <c r="A2052" t="s">
        <v>5072</v>
      </c>
      <c r="B2052">
        <v>5</v>
      </c>
      <c r="C2052" t="s">
        <v>1774</v>
      </c>
      <c r="G2052" s="3">
        <v>1275.3953762959991</v>
      </c>
      <c r="H2052" t="s">
        <v>1755</v>
      </c>
      <c r="I2052" t="s">
        <v>5072</v>
      </c>
      <c r="M2052" t="s">
        <v>1757</v>
      </c>
    </row>
    <row r="2053" spans="1:13" x14ac:dyDescent="0.45">
      <c r="A2053" t="s">
        <v>5073</v>
      </c>
      <c r="B2053">
        <v>1</v>
      </c>
      <c r="C2053" t="s">
        <v>1774</v>
      </c>
      <c r="G2053" s="3">
        <v>2359.516344880014</v>
      </c>
      <c r="H2053" t="s">
        <v>1755</v>
      </c>
      <c r="I2053" t="s">
        <v>5073</v>
      </c>
      <c r="M2053" t="s">
        <v>1757</v>
      </c>
    </row>
    <row r="2054" spans="1:13" x14ac:dyDescent="0.45">
      <c r="A2054" t="s">
        <v>5074</v>
      </c>
      <c r="B2054">
        <v>1</v>
      </c>
      <c r="C2054" t="s">
        <v>1774</v>
      </c>
      <c r="G2054" s="3">
        <v>3386.6447480218039</v>
      </c>
      <c r="H2054" t="s">
        <v>1755</v>
      </c>
      <c r="I2054" t="s">
        <v>5074</v>
      </c>
      <c r="M2054" t="s">
        <v>1757</v>
      </c>
    </row>
    <row r="2055" spans="1:13" x14ac:dyDescent="0.45">
      <c r="A2055" t="s">
        <v>5075</v>
      </c>
      <c r="B2055">
        <v>1</v>
      </c>
      <c r="C2055" t="s">
        <v>1774</v>
      </c>
      <c r="H2055" t="s">
        <v>1755</v>
      </c>
      <c r="I2055" t="s">
        <v>5075</v>
      </c>
      <c r="M2055" t="s">
        <v>1757</v>
      </c>
    </row>
    <row r="2056" spans="1:13" x14ac:dyDescent="0.45">
      <c r="A2056" t="s">
        <v>5076</v>
      </c>
      <c r="B2056">
        <v>1</v>
      </c>
      <c r="C2056" t="s">
        <v>1774</v>
      </c>
      <c r="G2056" s="3">
        <v>1775.777967861472</v>
      </c>
      <c r="H2056" t="s">
        <v>1755</v>
      </c>
      <c r="I2056" t="s">
        <v>5076</v>
      </c>
      <c r="M2056" t="s">
        <v>1757</v>
      </c>
    </row>
    <row r="2057" spans="1:13" x14ac:dyDescent="0.45">
      <c r="A2057" t="s">
        <v>5077</v>
      </c>
      <c r="B2057">
        <v>1</v>
      </c>
      <c r="C2057" t="s">
        <v>1774</v>
      </c>
      <c r="G2057" s="3">
        <v>2088.734796972019</v>
      </c>
      <c r="H2057" t="s">
        <v>1755</v>
      </c>
      <c r="I2057" t="s">
        <v>5077</v>
      </c>
      <c r="M2057" t="s">
        <v>1757</v>
      </c>
    </row>
    <row r="2058" spans="1:13" x14ac:dyDescent="0.45">
      <c r="A2058" t="s">
        <v>5078</v>
      </c>
      <c r="B2058">
        <v>1</v>
      </c>
      <c r="C2058" t="s">
        <v>1774</v>
      </c>
      <c r="G2058" s="3">
        <v>1607.605216383165</v>
      </c>
      <c r="H2058" t="s">
        <v>1755</v>
      </c>
      <c r="I2058" t="s">
        <v>5078</v>
      </c>
      <c r="M2058" t="s">
        <v>1757</v>
      </c>
    </row>
    <row r="2059" spans="1:13" x14ac:dyDescent="0.45">
      <c r="A2059" t="s">
        <v>5079</v>
      </c>
      <c r="B2059">
        <v>1</v>
      </c>
      <c r="C2059" t="s">
        <v>1774</v>
      </c>
      <c r="G2059" s="3">
        <v>3478.3273057979809</v>
      </c>
      <c r="H2059" t="s">
        <v>1755</v>
      </c>
      <c r="I2059" t="s">
        <v>5079</v>
      </c>
      <c r="M2059" t="s">
        <v>1757</v>
      </c>
    </row>
    <row r="2060" spans="1:13" x14ac:dyDescent="0.45">
      <c r="A2060" t="s">
        <v>5080</v>
      </c>
      <c r="B2060">
        <v>1</v>
      </c>
      <c r="C2060" t="s">
        <v>1774</v>
      </c>
      <c r="G2060" s="3">
        <v>3908.1687959908768</v>
      </c>
      <c r="H2060" t="s">
        <v>1755</v>
      </c>
      <c r="I2060" t="s">
        <v>5080</v>
      </c>
      <c r="M2060" t="s">
        <v>1757</v>
      </c>
    </row>
    <row r="2061" spans="1:13" x14ac:dyDescent="0.45">
      <c r="A2061" t="s">
        <v>5081</v>
      </c>
      <c r="B2061">
        <v>2</v>
      </c>
      <c r="C2061" t="s">
        <v>1774</v>
      </c>
      <c r="G2061" s="3">
        <v>2779.517697157195</v>
      </c>
      <c r="H2061" t="s">
        <v>1755</v>
      </c>
      <c r="I2061" t="s">
        <v>5081</v>
      </c>
      <c r="M2061" t="s">
        <v>1757</v>
      </c>
    </row>
    <row r="2062" spans="1:13" x14ac:dyDescent="0.45">
      <c r="A2062" t="s">
        <v>5082</v>
      </c>
      <c r="B2062">
        <v>1</v>
      </c>
      <c r="C2062" t="s">
        <v>1774</v>
      </c>
      <c r="G2062" s="3">
        <v>4519.5489260209124</v>
      </c>
      <c r="H2062" t="s">
        <v>1755</v>
      </c>
      <c r="I2062" t="s">
        <v>5082</v>
      </c>
      <c r="M2062" t="s">
        <v>1757</v>
      </c>
    </row>
    <row r="2063" spans="1:13" x14ac:dyDescent="0.45">
      <c r="A2063" t="s">
        <v>5083</v>
      </c>
      <c r="B2063">
        <v>1</v>
      </c>
      <c r="C2063" t="s">
        <v>1774</v>
      </c>
      <c r="H2063" t="s">
        <v>1755</v>
      </c>
      <c r="I2063" t="s">
        <v>5083</v>
      </c>
      <c r="M2063" t="s">
        <v>1757</v>
      </c>
    </row>
    <row r="2064" spans="1:13" x14ac:dyDescent="0.45">
      <c r="A2064" t="s">
        <v>5084</v>
      </c>
      <c r="B2064">
        <v>2</v>
      </c>
      <c r="C2064" t="s">
        <v>1774</v>
      </c>
      <c r="G2064" s="3">
        <v>1904.2933653732</v>
      </c>
      <c r="H2064" t="s">
        <v>1755</v>
      </c>
      <c r="I2064" t="s">
        <v>5084</v>
      </c>
      <c r="M2064" t="s">
        <v>1757</v>
      </c>
    </row>
    <row r="2065" spans="1:13" x14ac:dyDescent="0.45">
      <c r="A2065" t="s">
        <v>5085</v>
      </c>
      <c r="B2065">
        <v>1</v>
      </c>
      <c r="C2065" t="s">
        <v>1774</v>
      </c>
      <c r="G2065" s="3">
        <v>2453.468951045098</v>
      </c>
      <c r="H2065" t="s">
        <v>1755</v>
      </c>
      <c r="I2065" t="s">
        <v>5085</v>
      </c>
      <c r="M2065" t="s">
        <v>1757</v>
      </c>
    </row>
    <row r="2066" spans="1:13" x14ac:dyDescent="0.45">
      <c r="A2066" t="s">
        <v>5086</v>
      </c>
      <c r="B2066">
        <v>1</v>
      </c>
      <c r="C2066" t="s">
        <v>1774</v>
      </c>
      <c r="G2066" s="3">
        <v>4649.1308548877751</v>
      </c>
      <c r="H2066" t="s">
        <v>1755</v>
      </c>
      <c r="I2066" t="s">
        <v>5086</v>
      </c>
      <c r="M2066" t="s">
        <v>1757</v>
      </c>
    </row>
    <row r="2067" spans="1:13" x14ac:dyDescent="0.45">
      <c r="A2067" t="s">
        <v>5087</v>
      </c>
      <c r="B2067">
        <v>1</v>
      </c>
      <c r="C2067" t="s">
        <v>1774</v>
      </c>
      <c r="G2067" s="3">
        <v>4871.6021201283656</v>
      </c>
      <c r="H2067" t="s">
        <v>1755</v>
      </c>
      <c r="I2067" t="s">
        <v>5087</v>
      </c>
      <c r="M2067" t="s">
        <v>1757</v>
      </c>
    </row>
    <row r="2068" spans="1:13" x14ac:dyDescent="0.45">
      <c r="A2068" t="s">
        <v>5088</v>
      </c>
      <c r="B2068">
        <v>1</v>
      </c>
      <c r="C2068" t="s">
        <v>1774</v>
      </c>
      <c r="G2068" s="3">
        <v>7057.6978574126088</v>
      </c>
      <c r="H2068" t="s">
        <v>1755</v>
      </c>
      <c r="I2068" t="s">
        <v>5088</v>
      </c>
      <c r="M2068" t="s">
        <v>1757</v>
      </c>
    </row>
    <row r="2069" spans="1:13" x14ac:dyDescent="0.45">
      <c r="A2069" t="s">
        <v>5089</v>
      </c>
      <c r="B2069">
        <v>1</v>
      </c>
      <c r="C2069" t="s">
        <v>1774</v>
      </c>
      <c r="G2069" s="3">
        <v>3138.221219806293</v>
      </c>
      <c r="H2069" t="s">
        <v>1755</v>
      </c>
      <c r="I2069" t="s">
        <v>5089</v>
      </c>
      <c r="M2069" t="s">
        <v>1757</v>
      </c>
    </row>
    <row r="2070" spans="1:13" x14ac:dyDescent="0.45">
      <c r="A2070" t="s">
        <v>5090</v>
      </c>
      <c r="B2070">
        <v>1</v>
      </c>
      <c r="C2070" t="s">
        <v>1774</v>
      </c>
      <c r="G2070" s="3">
        <v>4991.1710481993232</v>
      </c>
      <c r="H2070" t="s">
        <v>1755</v>
      </c>
      <c r="I2070" t="s">
        <v>5090</v>
      </c>
      <c r="M2070" t="s">
        <v>1757</v>
      </c>
    </row>
    <row r="2071" spans="1:13" x14ac:dyDescent="0.45">
      <c r="A2071" t="s">
        <v>5091</v>
      </c>
      <c r="B2071">
        <v>1</v>
      </c>
      <c r="C2071" t="s">
        <v>1774</v>
      </c>
      <c r="G2071" s="3">
        <v>1866.92889074197</v>
      </c>
      <c r="H2071" t="s">
        <v>1755</v>
      </c>
      <c r="I2071" t="s">
        <v>5091</v>
      </c>
      <c r="M2071" t="s">
        <v>1757</v>
      </c>
    </row>
    <row r="2072" spans="1:13" x14ac:dyDescent="0.45">
      <c r="A2072" t="s">
        <v>5092</v>
      </c>
      <c r="B2072">
        <v>1</v>
      </c>
      <c r="C2072" t="s">
        <v>1774</v>
      </c>
      <c r="G2072" s="3">
        <v>4554.4802740743762</v>
      </c>
      <c r="H2072" t="s">
        <v>1755</v>
      </c>
      <c r="I2072" t="s">
        <v>5092</v>
      </c>
      <c r="M2072" t="s">
        <v>1757</v>
      </c>
    </row>
    <row r="2073" spans="1:13" x14ac:dyDescent="0.45">
      <c r="A2073" t="s">
        <v>5093</v>
      </c>
      <c r="B2073">
        <v>1</v>
      </c>
      <c r="C2073" t="s">
        <v>1774</v>
      </c>
      <c r="G2073" s="3">
        <v>1745.093175845881</v>
      </c>
      <c r="H2073" t="s">
        <v>1755</v>
      </c>
      <c r="I2073" t="s">
        <v>5093</v>
      </c>
      <c r="M2073" t="s">
        <v>1757</v>
      </c>
    </row>
    <row r="2074" spans="1:13" x14ac:dyDescent="0.45">
      <c r="A2074" t="s">
        <v>5094</v>
      </c>
      <c r="B2074">
        <v>1</v>
      </c>
      <c r="C2074" t="s">
        <v>1774</v>
      </c>
      <c r="G2074" s="3">
        <v>2266.428053115877</v>
      </c>
      <c r="H2074" t="s">
        <v>1755</v>
      </c>
      <c r="I2074" t="s">
        <v>5094</v>
      </c>
      <c r="M2074" t="s">
        <v>1757</v>
      </c>
    </row>
    <row r="2075" spans="1:13" x14ac:dyDescent="0.45">
      <c r="A2075" t="s">
        <v>5095</v>
      </c>
      <c r="B2075">
        <v>2</v>
      </c>
      <c r="C2075" t="s">
        <v>1774</v>
      </c>
      <c r="G2075" s="3">
        <v>982.32756309861907</v>
      </c>
      <c r="H2075" t="s">
        <v>1755</v>
      </c>
      <c r="I2075" t="s">
        <v>5095</v>
      </c>
      <c r="M2075" t="s">
        <v>1757</v>
      </c>
    </row>
    <row r="2076" spans="1:13" x14ac:dyDescent="0.45">
      <c r="A2076" t="s">
        <v>5096</v>
      </c>
      <c r="B2076">
        <v>1</v>
      </c>
      <c r="C2076" t="s">
        <v>1774</v>
      </c>
      <c r="H2076" t="s">
        <v>1755</v>
      </c>
      <c r="I2076" t="s">
        <v>5096</v>
      </c>
      <c r="M2076" t="s">
        <v>1757</v>
      </c>
    </row>
    <row r="2077" spans="1:13" x14ac:dyDescent="0.45">
      <c r="A2077" t="s">
        <v>5097</v>
      </c>
      <c r="B2077">
        <v>1</v>
      </c>
      <c r="C2077" t="s">
        <v>1774</v>
      </c>
      <c r="G2077" s="3">
        <v>5415.76142071098</v>
      </c>
      <c r="H2077" t="s">
        <v>1755</v>
      </c>
      <c r="I2077" t="s">
        <v>5097</v>
      </c>
      <c r="M2077" t="s">
        <v>1757</v>
      </c>
    </row>
    <row r="2078" spans="1:13" x14ac:dyDescent="0.45">
      <c r="A2078" t="s">
        <v>5098</v>
      </c>
      <c r="B2078">
        <v>1</v>
      </c>
      <c r="C2078" t="s">
        <v>1774</v>
      </c>
      <c r="G2078" s="3">
        <v>2464.691992002332</v>
      </c>
      <c r="H2078" t="s">
        <v>1755</v>
      </c>
      <c r="I2078" t="s">
        <v>5098</v>
      </c>
      <c r="M2078" t="s">
        <v>1757</v>
      </c>
    </row>
    <row r="2079" spans="1:13" x14ac:dyDescent="0.45">
      <c r="A2079" t="s">
        <v>5099</v>
      </c>
      <c r="B2079">
        <v>1</v>
      </c>
      <c r="C2079" t="s">
        <v>1774</v>
      </c>
      <c r="G2079" s="3">
        <v>3807.8430942052069</v>
      </c>
      <c r="H2079" t="s">
        <v>1755</v>
      </c>
      <c r="I2079" t="s">
        <v>5099</v>
      </c>
      <c r="M2079" t="s">
        <v>1757</v>
      </c>
    </row>
    <row r="2080" spans="1:13" x14ac:dyDescent="0.45">
      <c r="A2080" t="s">
        <v>5100</v>
      </c>
      <c r="B2080">
        <v>1</v>
      </c>
      <c r="C2080" t="s">
        <v>1774</v>
      </c>
      <c r="G2080" s="3">
        <v>1861.8147587393721</v>
      </c>
      <c r="H2080" t="s">
        <v>1755</v>
      </c>
      <c r="I2080" t="s">
        <v>5100</v>
      </c>
      <c r="M2080" t="s">
        <v>1757</v>
      </c>
    </row>
    <row r="2081" spans="1:13" x14ac:dyDescent="0.45">
      <c r="A2081" t="s">
        <v>5101</v>
      </c>
      <c r="B2081">
        <v>1</v>
      </c>
      <c r="C2081" t="s">
        <v>1774</v>
      </c>
      <c r="G2081" s="3">
        <v>3403.6374953008471</v>
      </c>
      <c r="H2081" t="s">
        <v>1755</v>
      </c>
      <c r="I2081" t="s">
        <v>5101</v>
      </c>
      <c r="M2081" t="s">
        <v>1757</v>
      </c>
    </row>
    <row r="2082" spans="1:13" x14ac:dyDescent="0.45">
      <c r="A2082" t="s">
        <v>5102</v>
      </c>
      <c r="B2082">
        <v>1</v>
      </c>
      <c r="C2082" t="s">
        <v>1774</v>
      </c>
      <c r="G2082" s="3">
        <v>3097.1483471604229</v>
      </c>
      <c r="H2082" t="s">
        <v>1755</v>
      </c>
      <c r="I2082" t="s">
        <v>5102</v>
      </c>
      <c r="M2082" t="s">
        <v>1757</v>
      </c>
    </row>
    <row r="2083" spans="1:13" x14ac:dyDescent="0.45">
      <c r="A2083" t="s">
        <v>5103</v>
      </c>
      <c r="B2083">
        <v>1</v>
      </c>
      <c r="C2083" t="s">
        <v>1774</v>
      </c>
      <c r="G2083" s="3">
        <v>3234.9657245646331</v>
      </c>
      <c r="H2083" t="s">
        <v>1755</v>
      </c>
      <c r="I2083" t="s">
        <v>5103</v>
      </c>
      <c r="M2083" t="s">
        <v>1757</v>
      </c>
    </row>
    <row r="2084" spans="1:13" x14ac:dyDescent="0.45">
      <c r="A2084" t="s">
        <v>5104</v>
      </c>
      <c r="B2084">
        <v>1</v>
      </c>
      <c r="C2084" t="s">
        <v>1774</v>
      </c>
      <c r="H2084" t="s">
        <v>1755</v>
      </c>
      <c r="I2084" t="s">
        <v>5104</v>
      </c>
      <c r="M2084" t="s">
        <v>1757</v>
      </c>
    </row>
    <row r="2085" spans="1:13" x14ac:dyDescent="0.45">
      <c r="A2085" t="s">
        <v>5105</v>
      </c>
      <c r="B2085">
        <v>1</v>
      </c>
      <c r="C2085" t="s">
        <v>1774</v>
      </c>
      <c r="G2085" s="3">
        <v>4887.7142451875716</v>
      </c>
      <c r="H2085" t="s">
        <v>1755</v>
      </c>
      <c r="I2085" t="s">
        <v>5105</v>
      </c>
      <c r="M2085" t="s">
        <v>1757</v>
      </c>
    </row>
    <row r="2086" spans="1:13" x14ac:dyDescent="0.45">
      <c r="A2086" t="s">
        <v>5106</v>
      </c>
      <c r="B2086">
        <v>3</v>
      </c>
      <c r="C2086" t="s">
        <v>1774</v>
      </c>
      <c r="G2086" s="3">
        <v>1789.57438263889</v>
      </c>
      <c r="H2086" t="s">
        <v>1755</v>
      </c>
      <c r="I2086" t="s">
        <v>5106</v>
      </c>
      <c r="M2086" t="s">
        <v>1757</v>
      </c>
    </row>
    <row r="2087" spans="1:13" x14ac:dyDescent="0.45">
      <c r="A2087" t="s">
        <v>5107</v>
      </c>
      <c r="B2087">
        <v>1</v>
      </c>
      <c r="C2087" t="s">
        <v>1774</v>
      </c>
      <c r="G2087" s="3">
        <v>3438.894999732026</v>
      </c>
      <c r="H2087" t="s">
        <v>1755</v>
      </c>
      <c r="I2087" t="s">
        <v>5107</v>
      </c>
      <c r="M2087" t="s">
        <v>1757</v>
      </c>
    </row>
    <row r="2088" spans="1:13" x14ac:dyDescent="0.45">
      <c r="A2088" t="s">
        <v>5108</v>
      </c>
      <c r="B2088">
        <v>1</v>
      </c>
      <c r="C2088" t="s">
        <v>1774</v>
      </c>
      <c r="G2088" s="3">
        <v>2555.1123245967442</v>
      </c>
      <c r="H2088" t="s">
        <v>1755</v>
      </c>
      <c r="I2088" t="s">
        <v>5108</v>
      </c>
      <c r="M2088" t="s">
        <v>1757</v>
      </c>
    </row>
    <row r="2089" spans="1:13" x14ac:dyDescent="0.45">
      <c r="A2089" t="s">
        <v>5109</v>
      </c>
      <c r="B2089">
        <v>1</v>
      </c>
      <c r="C2089" t="s">
        <v>1774</v>
      </c>
      <c r="G2089" s="3">
        <v>8042.494424290544</v>
      </c>
      <c r="H2089" t="s">
        <v>1755</v>
      </c>
      <c r="I2089" t="s">
        <v>5109</v>
      </c>
      <c r="M2089" t="s">
        <v>1757</v>
      </c>
    </row>
    <row r="2090" spans="1:13" x14ac:dyDescent="0.45">
      <c r="A2090" t="s">
        <v>5110</v>
      </c>
      <c r="B2090">
        <v>1</v>
      </c>
      <c r="C2090" t="s">
        <v>1774</v>
      </c>
      <c r="H2090" t="s">
        <v>1755</v>
      </c>
      <c r="I2090" t="s">
        <v>5110</v>
      </c>
      <c r="M2090" t="s">
        <v>1757</v>
      </c>
    </row>
    <row r="2091" spans="1:13" x14ac:dyDescent="0.45">
      <c r="A2091" t="s">
        <v>5111</v>
      </c>
      <c r="B2091">
        <v>1</v>
      </c>
      <c r="C2091" t="s">
        <v>1774</v>
      </c>
      <c r="G2091" s="3">
        <v>2157.2667750578612</v>
      </c>
      <c r="H2091" t="s">
        <v>1755</v>
      </c>
      <c r="I2091" t="s">
        <v>5111</v>
      </c>
      <c r="M2091" t="s">
        <v>1757</v>
      </c>
    </row>
    <row r="2092" spans="1:13" x14ac:dyDescent="0.45">
      <c r="A2092" t="s">
        <v>5112</v>
      </c>
      <c r="B2092">
        <v>1</v>
      </c>
      <c r="C2092" t="s">
        <v>1774</v>
      </c>
      <c r="G2092" s="3">
        <v>2817.5768848729622</v>
      </c>
      <c r="H2092" t="s">
        <v>1755</v>
      </c>
      <c r="I2092" t="s">
        <v>5112</v>
      </c>
      <c r="M2092" t="s">
        <v>1757</v>
      </c>
    </row>
    <row r="2093" spans="1:13" x14ac:dyDescent="0.45">
      <c r="A2093" t="s">
        <v>5113</v>
      </c>
      <c r="B2093">
        <v>1</v>
      </c>
      <c r="C2093" t="s">
        <v>1774</v>
      </c>
      <c r="G2093" s="3">
        <v>5537.5155965126396</v>
      </c>
      <c r="H2093" t="s">
        <v>1755</v>
      </c>
      <c r="I2093" t="s">
        <v>5113</v>
      </c>
      <c r="M2093" t="s">
        <v>1757</v>
      </c>
    </row>
    <row r="2094" spans="1:13" x14ac:dyDescent="0.45">
      <c r="A2094" t="s">
        <v>5114</v>
      </c>
      <c r="B2094">
        <v>1</v>
      </c>
      <c r="C2094" t="s">
        <v>1774</v>
      </c>
      <c r="H2094" t="s">
        <v>1755</v>
      </c>
      <c r="I2094" t="s">
        <v>5114</v>
      </c>
      <c r="M2094" t="s">
        <v>1757</v>
      </c>
    </row>
    <row r="2095" spans="1:13" x14ac:dyDescent="0.45">
      <c r="A2095" t="s">
        <v>5115</v>
      </c>
      <c r="B2095">
        <v>1</v>
      </c>
      <c r="C2095" t="s">
        <v>1774</v>
      </c>
      <c r="G2095" s="3">
        <v>4991.236279474866</v>
      </c>
      <c r="H2095" t="s">
        <v>1755</v>
      </c>
      <c r="I2095" t="s">
        <v>5115</v>
      </c>
      <c r="M2095" t="s">
        <v>1757</v>
      </c>
    </row>
    <row r="2096" spans="1:13" x14ac:dyDescent="0.45">
      <c r="A2096" t="s">
        <v>5116</v>
      </c>
      <c r="B2096">
        <v>1</v>
      </c>
      <c r="C2096" t="s">
        <v>1774</v>
      </c>
      <c r="G2096" s="3">
        <v>3959.8319662212089</v>
      </c>
      <c r="H2096" t="s">
        <v>1755</v>
      </c>
      <c r="I2096" t="s">
        <v>5116</v>
      </c>
      <c r="M2096" t="s">
        <v>1757</v>
      </c>
    </row>
    <row r="2097" spans="1:13" x14ac:dyDescent="0.45">
      <c r="A2097" t="s">
        <v>5117</v>
      </c>
      <c r="B2097">
        <v>2</v>
      </c>
      <c r="C2097" t="s">
        <v>1774</v>
      </c>
      <c r="G2097" s="3">
        <v>2640.1282460123912</v>
      </c>
      <c r="H2097" t="s">
        <v>1755</v>
      </c>
      <c r="I2097" t="s">
        <v>5117</v>
      </c>
      <c r="M2097" t="s">
        <v>1757</v>
      </c>
    </row>
    <row r="2098" spans="1:13" x14ac:dyDescent="0.45">
      <c r="A2098" t="s">
        <v>5118</v>
      </c>
      <c r="B2098">
        <v>1</v>
      </c>
      <c r="C2098" t="s">
        <v>1774</v>
      </c>
      <c r="G2098" s="3">
        <v>2855.574102876963</v>
      </c>
      <c r="H2098" t="s">
        <v>1755</v>
      </c>
      <c r="I2098" t="s">
        <v>5118</v>
      </c>
      <c r="M2098" t="s">
        <v>1757</v>
      </c>
    </row>
    <row r="2099" spans="1:13" x14ac:dyDescent="0.45">
      <c r="A2099" t="s">
        <v>5119</v>
      </c>
      <c r="B2099">
        <v>1</v>
      </c>
      <c r="C2099" t="s">
        <v>1774</v>
      </c>
      <c r="G2099" s="3">
        <v>5294.3007856492641</v>
      </c>
      <c r="H2099" t="s">
        <v>1755</v>
      </c>
      <c r="I2099" t="s">
        <v>5119</v>
      </c>
      <c r="M2099" t="s">
        <v>1757</v>
      </c>
    </row>
    <row r="2100" spans="1:13" x14ac:dyDescent="0.45">
      <c r="A2100" t="s">
        <v>5120</v>
      </c>
      <c r="B2100">
        <v>1</v>
      </c>
      <c r="C2100" t="s">
        <v>1774</v>
      </c>
      <c r="G2100" s="3">
        <v>7083.6925207166332</v>
      </c>
      <c r="H2100" t="s">
        <v>1755</v>
      </c>
      <c r="I2100" t="s">
        <v>5120</v>
      </c>
      <c r="M2100" t="s">
        <v>1757</v>
      </c>
    </row>
    <row r="2101" spans="1:13" x14ac:dyDescent="0.45">
      <c r="A2101" t="s">
        <v>5121</v>
      </c>
      <c r="B2101">
        <v>1</v>
      </c>
      <c r="C2101" t="s">
        <v>1774</v>
      </c>
      <c r="H2101" t="s">
        <v>1755</v>
      </c>
      <c r="I2101" t="s">
        <v>5121</v>
      </c>
      <c r="M2101" t="s">
        <v>1757</v>
      </c>
    </row>
    <row r="2102" spans="1:13" x14ac:dyDescent="0.45">
      <c r="A2102" t="s">
        <v>5122</v>
      </c>
      <c r="B2102">
        <v>1</v>
      </c>
      <c r="C2102" t="s">
        <v>1774</v>
      </c>
      <c r="G2102" s="3">
        <v>2529.4372945428818</v>
      </c>
      <c r="H2102" t="s">
        <v>1755</v>
      </c>
      <c r="I2102" t="s">
        <v>5122</v>
      </c>
      <c r="M2102" t="s">
        <v>1757</v>
      </c>
    </row>
    <row r="2103" spans="1:13" x14ac:dyDescent="0.45">
      <c r="A2103" t="s">
        <v>5123</v>
      </c>
      <c r="B2103">
        <v>1</v>
      </c>
      <c r="C2103" t="s">
        <v>1774</v>
      </c>
      <c r="G2103" s="3">
        <v>2296.8290890828548</v>
      </c>
      <c r="H2103" t="s">
        <v>1755</v>
      </c>
      <c r="I2103" t="s">
        <v>5123</v>
      </c>
      <c r="M2103" t="s">
        <v>1757</v>
      </c>
    </row>
    <row r="2104" spans="1:13" x14ac:dyDescent="0.45">
      <c r="A2104" t="s">
        <v>5124</v>
      </c>
      <c r="B2104">
        <v>1</v>
      </c>
      <c r="C2104" t="s">
        <v>1774</v>
      </c>
      <c r="G2104" s="3">
        <v>8253.7785257754495</v>
      </c>
      <c r="H2104" t="s">
        <v>1755</v>
      </c>
      <c r="I2104" t="s">
        <v>5124</v>
      </c>
      <c r="M2104" t="s">
        <v>1757</v>
      </c>
    </row>
    <row r="2105" spans="1:13" x14ac:dyDescent="0.45">
      <c r="A2105" t="s">
        <v>5125</v>
      </c>
      <c r="B2105">
        <v>1</v>
      </c>
      <c r="C2105" t="s">
        <v>1774</v>
      </c>
      <c r="G2105" s="3">
        <v>6854.7959748350231</v>
      </c>
      <c r="H2105" t="s">
        <v>1755</v>
      </c>
      <c r="I2105" t="s">
        <v>5125</v>
      </c>
      <c r="M2105" t="s">
        <v>1757</v>
      </c>
    </row>
    <row r="2106" spans="1:13" x14ac:dyDescent="0.45">
      <c r="A2106" t="s">
        <v>5126</v>
      </c>
      <c r="B2106">
        <v>1</v>
      </c>
      <c r="C2106" t="s">
        <v>1774</v>
      </c>
      <c r="G2106" s="3">
        <v>3764.2686021422501</v>
      </c>
      <c r="H2106" t="s">
        <v>1755</v>
      </c>
      <c r="I2106" t="s">
        <v>5126</v>
      </c>
      <c r="M2106" t="s">
        <v>1757</v>
      </c>
    </row>
    <row r="2107" spans="1:13" x14ac:dyDescent="0.45">
      <c r="A2107" t="s">
        <v>5127</v>
      </c>
      <c r="B2107">
        <v>1</v>
      </c>
      <c r="C2107" t="s">
        <v>1774</v>
      </c>
      <c r="G2107" s="3">
        <v>735.13364442709928</v>
      </c>
      <c r="H2107" t="s">
        <v>1755</v>
      </c>
      <c r="I2107" t="s">
        <v>5127</v>
      </c>
      <c r="M2107" t="s">
        <v>1757</v>
      </c>
    </row>
    <row r="2108" spans="1:13" x14ac:dyDescent="0.45">
      <c r="A2108" t="s">
        <v>5128</v>
      </c>
      <c r="B2108">
        <v>2</v>
      </c>
      <c r="C2108" t="s">
        <v>1774</v>
      </c>
      <c r="G2108" s="3">
        <v>1255.431344415957</v>
      </c>
      <c r="H2108" t="s">
        <v>1755</v>
      </c>
      <c r="I2108" t="s">
        <v>5128</v>
      </c>
      <c r="M2108" t="s">
        <v>1757</v>
      </c>
    </row>
    <row r="2109" spans="1:13" x14ac:dyDescent="0.45">
      <c r="A2109" t="s">
        <v>5129</v>
      </c>
      <c r="B2109">
        <v>1</v>
      </c>
      <c r="C2109" t="s">
        <v>1774</v>
      </c>
      <c r="G2109" s="3">
        <v>3637.7851588636959</v>
      </c>
      <c r="H2109" t="s">
        <v>1755</v>
      </c>
      <c r="I2109" t="s">
        <v>5129</v>
      </c>
      <c r="M2109" t="s">
        <v>1757</v>
      </c>
    </row>
    <row r="2110" spans="1:13" x14ac:dyDescent="0.45">
      <c r="A2110" t="s">
        <v>5130</v>
      </c>
      <c r="B2110">
        <v>1</v>
      </c>
      <c r="C2110" t="s">
        <v>1774</v>
      </c>
      <c r="G2110" s="3">
        <v>3621.9013432688912</v>
      </c>
      <c r="H2110" t="s">
        <v>1755</v>
      </c>
      <c r="I2110" t="s">
        <v>5130</v>
      </c>
      <c r="M2110" t="s">
        <v>1757</v>
      </c>
    </row>
    <row r="2111" spans="1:13" x14ac:dyDescent="0.45">
      <c r="A2111" t="s">
        <v>5131</v>
      </c>
      <c r="B2111">
        <v>1</v>
      </c>
      <c r="C2111" t="s">
        <v>1774</v>
      </c>
      <c r="G2111" s="3">
        <v>1985.2486398862729</v>
      </c>
      <c r="H2111" t="s">
        <v>1755</v>
      </c>
      <c r="I2111" t="s">
        <v>5131</v>
      </c>
      <c r="M2111" t="s">
        <v>1757</v>
      </c>
    </row>
    <row r="2112" spans="1:13" x14ac:dyDescent="0.45">
      <c r="A2112" t="s">
        <v>5132</v>
      </c>
      <c r="B2112">
        <v>1</v>
      </c>
      <c r="C2112" t="s">
        <v>1774</v>
      </c>
      <c r="G2112" s="3">
        <v>1936.214290060338</v>
      </c>
      <c r="H2112" t="s">
        <v>1755</v>
      </c>
      <c r="I2112" t="s">
        <v>5132</v>
      </c>
      <c r="M2112" t="s">
        <v>1757</v>
      </c>
    </row>
    <row r="2113" spans="1:13" x14ac:dyDescent="0.45">
      <c r="A2113" t="s">
        <v>5133</v>
      </c>
      <c r="B2113">
        <v>1</v>
      </c>
      <c r="C2113" t="s">
        <v>1774</v>
      </c>
      <c r="G2113" s="3">
        <v>1042.6404004659989</v>
      </c>
      <c r="H2113" t="s">
        <v>1755</v>
      </c>
      <c r="I2113" t="s">
        <v>5133</v>
      </c>
      <c r="M2113" t="s">
        <v>1757</v>
      </c>
    </row>
    <row r="2114" spans="1:13" x14ac:dyDescent="0.45">
      <c r="A2114" t="s">
        <v>5134</v>
      </c>
      <c r="B2114">
        <v>1</v>
      </c>
      <c r="C2114" t="s">
        <v>1774</v>
      </c>
      <c r="G2114" s="3">
        <v>1651.51564951517</v>
      </c>
      <c r="H2114" t="s">
        <v>1755</v>
      </c>
      <c r="I2114" t="s">
        <v>5134</v>
      </c>
      <c r="M2114" t="s">
        <v>1757</v>
      </c>
    </row>
    <row r="2115" spans="1:13" x14ac:dyDescent="0.45">
      <c r="A2115" t="s">
        <v>5135</v>
      </c>
      <c r="B2115">
        <v>1</v>
      </c>
      <c r="C2115" t="s">
        <v>1774</v>
      </c>
      <c r="G2115" s="3">
        <v>496.00231141273741</v>
      </c>
      <c r="H2115" t="s">
        <v>1755</v>
      </c>
      <c r="I2115" t="s">
        <v>5135</v>
      </c>
      <c r="M2115" t="s">
        <v>1757</v>
      </c>
    </row>
    <row r="2116" spans="1:13" x14ac:dyDescent="0.45">
      <c r="A2116" t="s">
        <v>5136</v>
      </c>
      <c r="B2116">
        <v>1</v>
      </c>
      <c r="C2116" t="s">
        <v>1774</v>
      </c>
      <c r="G2116" s="3">
        <v>2903.7571845570569</v>
      </c>
      <c r="H2116" t="s">
        <v>1755</v>
      </c>
      <c r="I2116" t="s">
        <v>5136</v>
      </c>
      <c r="M2116" t="s">
        <v>1757</v>
      </c>
    </row>
    <row r="2117" spans="1:13" x14ac:dyDescent="0.45">
      <c r="A2117" t="s">
        <v>5137</v>
      </c>
      <c r="B2117">
        <v>1</v>
      </c>
      <c r="C2117" t="s">
        <v>1774</v>
      </c>
      <c r="G2117" s="3">
        <v>2507.826172955371</v>
      </c>
      <c r="H2117" t="s">
        <v>1755</v>
      </c>
      <c r="I2117" t="s">
        <v>5137</v>
      </c>
      <c r="M2117" t="s">
        <v>1757</v>
      </c>
    </row>
    <row r="2118" spans="1:13" x14ac:dyDescent="0.45">
      <c r="A2118" t="s">
        <v>5138</v>
      </c>
      <c r="B2118">
        <v>1</v>
      </c>
      <c r="C2118" t="s">
        <v>1774</v>
      </c>
      <c r="G2118" s="3">
        <v>6544.2624876109112</v>
      </c>
      <c r="H2118" t="s">
        <v>1755</v>
      </c>
      <c r="I2118" t="s">
        <v>5138</v>
      </c>
      <c r="M2118" t="s">
        <v>1757</v>
      </c>
    </row>
    <row r="2119" spans="1:13" x14ac:dyDescent="0.45">
      <c r="A2119" t="s">
        <v>5139</v>
      </c>
      <c r="B2119">
        <v>2</v>
      </c>
      <c r="C2119" t="s">
        <v>1774</v>
      </c>
      <c r="G2119" s="3">
        <v>1848.8174270873601</v>
      </c>
      <c r="H2119" t="s">
        <v>1755</v>
      </c>
      <c r="I2119" t="s">
        <v>5139</v>
      </c>
      <c r="M2119" t="s">
        <v>1757</v>
      </c>
    </row>
    <row r="2120" spans="1:13" x14ac:dyDescent="0.45">
      <c r="A2120" t="s">
        <v>5140</v>
      </c>
      <c r="B2120">
        <v>1</v>
      </c>
      <c r="C2120" t="s">
        <v>1774</v>
      </c>
      <c r="G2120" s="3">
        <v>1649.793543840826</v>
      </c>
      <c r="H2120" t="s">
        <v>1755</v>
      </c>
      <c r="I2120" t="s">
        <v>5140</v>
      </c>
      <c r="M2120" t="s">
        <v>1757</v>
      </c>
    </row>
    <row r="2121" spans="1:13" x14ac:dyDescent="0.45">
      <c r="A2121" t="s">
        <v>5141</v>
      </c>
      <c r="B2121">
        <v>1</v>
      </c>
      <c r="C2121" t="s">
        <v>1774</v>
      </c>
      <c r="G2121" s="3">
        <v>3453.0828021627049</v>
      </c>
      <c r="H2121" t="s">
        <v>1755</v>
      </c>
      <c r="I2121" t="s">
        <v>5141</v>
      </c>
      <c r="M2121" t="s">
        <v>1757</v>
      </c>
    </row>
    <row r="2122" spans="1:13" x14ac:dyDescent="0.45">
      <c r="A2122" t="s">
        <v>5142</v>
      </c>
      <c r="B2122">
        <v>1</v>
      </c>
      <c r="C2122" t="s">
        <v>1774</v>
      </c>
      <c r="G2122" s="3">
        <v>3249.5612224674569</v>
      </c>
      <c r="H2122" t="s">
        <v>1755</v>
      </c>
      <c r="I2122" t="s">
        <v>5142</v>
      </c>
      <c r="M2122" t="s">
        <v>1757</v>
      </c>
    </row>
    <row r="2123" spans="1:13" x14ac:dyDescent="0.45">
      <c r="A2123" t="s">
        <v>5143</v>
      </c>
      <c r="B2123">
        <v>1</v>
      </c>
      <c r="C2123" t="s">
        <v>1774</v>
      </c>
      <c r="G2123" s="3">
        <v>3900.960740043337</v>
      </c>
      <c r="H2123" t="s">
        <v>1755</v>
      </c>
      <c r="I2123" t="s">
        <v>5143</v>
      </c>
      <c r="M2123" t="s">
        <v>1757</v>
      </c>
    </row>
    <row r="2124" spans="1:13" x14ac:dyDescent="0.45">
      <c r="A2124" t="s">
        <v>5144</v>
      </c>
      <c r="B2124">
        <v>1</v>
      </c>
      <c r="C2124" t="s">
        <v>1774</v>
      </c>
      <c r="G2124" s="3">
        <v>2545.8657912884751</v>
      </c>
      <c r="H2124" t="s">
        <v>1755</v>
      </c>
      <c r="I2124" t="s">
        <v>5144</v>
      </c>
      <c r="M2124" t="s">
        <v>1757</v>
      </c>
    </row>
    <row r="2125" spans="1:13" x14ac:dyDescent="0.45">
      <c r="A2125" t="s">
        <v>5145</v>
      </c>
      <c r="B2125">
        <v>1</v>
      </c>
      <c r="C2125" t="s">
        <v>1774</v>
      </c>
      <c r="G2125" s="3">
        <v>1166.403699554395</v>
      </c>
      <c r="H2125" t="s">
        <v>1755</v>
      </c>
      <c r="I2125" t="s">
        <v>5145</v>
      </c>
      <c r="M2125" t="s">
        <v>1757</v>
      </c>
    </row>
    <row r="2126" spans="1:13" x14ac:dyDescent="0.45">
      <c r="A2126" t="s">
        <v>5146</v>
      </c>
      <c r="B2126">
        <v>1</v>
      </c>
      <c r="C2126" t="s">
        <v>1774</v>
      </c>
      <c r="G2126" s="3">
        <v>1207.7962054504269</v>
      </c>
      <c r="H2126" t="s">
        <v>1755</v>
      </c>
      <c r="I2126" t="s">
        <v>5146</v>
      </c>
      <c r="M2126" t="s">
        <v>1757</v>
      </c>
    </row>
    <row r="2127" spans="1:13" x14ac:dyDescent="0.45">
      <c r="A2127" t="s">
        <v>5147</v>
      </c>
      <c r="B2127">
        <v>1</v>
      </c>
      <c r="C2127" t="s">
        <v>1774</v>
      </c>
      <c r="G2127" s="3">
        <v>2902.416681844642</v>
      </c>
      <c r="H2127" t="s">
        <v>1755</v>
      </c>
      <c r="I2127" t="s">
        <v>5147</v>
      </c>
      <c r="M2127" t="s">
        <v>1757</v>
      </c>
    </row>
    <row r="2128" spans="1:13" x14ac:dyDescent="0.45">
      <c r="A2128" t="s">
        <v>5148</v>
      </c>
      <c r="B2128">
        <v>1</v>
      </c>
      <c r="C2128" t="s">
        <v>1774</v>
      </c>
      <c r="G2128" s="3">
        <v>1775.7583984788091</v>
      </c>
      <c r="H2128" t="s">
        <v>1755</v>
      </c>
      <c r="I2128" t="s">
        <v>5148</v>
      </c>
      <c r="M2128" t="s">
        <v>1757</v>
      </c>
    </row>
    <row r="2129" spans="1:13" x14ac:dyDescent="0.45">
      <c r="A2129" t="s">
        <v>5149</v>
      </c>
      <c r="B2129">
        <v>1</v>
      </c>
      <c r="C2129" t="s">
        <v>1774</v>
      </c>
      <c r="G2129" s="3">
        <v>1485.573807660445</v>
      </c>
      <c r="H2129" t="s">
        <v>1755</v>
      </c>
      <c r="I2129" t="s">
        <v>5149</v>
      </c>
      <c r="M2129" t="s">
        <v>1757</v>
      </c>
    </row>
    <row r="2130" spans="1:13" x14ac:dyDescent="0.45">
      <c r="A2130" t="s">
        <v>5150</v>
      </c>
      <c r="B2130">
        <v>2</v>
      </c>
      <c r="C2130" t="s">
        <v>1774</v>
      </c>
      <c r="G2130" s="3">
        <v>2337.8791307822848</v>
      </c>
      <c r="H2130" t="s">
        <v>1755</v>
      </c>
      <c r="I2130" t="s">
        <v>5150</v>
      </c>
      <c r="M2130" t="s">
        <v>1757</v>
      </c>
    </row>
    <row r="2131" spans="1:13" x14ac:dyDescent="0.45">
      <c r="A2131" t="s">
        <v>5151</v>
      </c>
      <c r="B2131">
        <v>1</v>
      </c>
      <c r="C2131" t="s">
        <v>1774</v>
      </c>
      <c r="G2131" s="3">
        <v>1804.355789677013</v>
      </c>
      <c r="H2131" t="s">
        <v>1755</v>
      </c>
      <c r="I2131" t="s">
        <v>5151</v>
      </c>
      <c r="M2131" t="s">
        <v>1757</v>
      </c>
    </row>
    <row r="2132" spans="1:13" x14ac:dyDescent="0.45">
      <c r="A2132" t="s">
        <v>5152</v>
      </c>
      <c r="B2132">
        <v>1</v>
      </c>
      <c r="C2132" t="s">
        <v>1774</v>
      </c>
      <c r="G2132" s="3">
        <v>2214.9475304570669</v>
      </c>
      <c r="H2132" t="s">
        <v>1755</v>
      </c>
      <c r="I2132" t="s">
        <v>5152</v>
      </c>
      <c r="M2132" t="s">
        <v>1757</v>
      </c>
    </row>
    <row r="2133" spans="1:13" x14ac:dyDescent="0.45">
      <c r="A2133" t="s">
        <v>5153</v>
      </c>
      <c r="B2133">
        <v>1</v>
      </c>
      <c r="C2133" t="s">
        <v>1774</v>
      </c>
      <c r="G2133" s="3">
        <v>3319.6848436765572</v>
      </c>
      <c r="H2133" t="s">
        <v>1755</v>
      </c>
      <c r="I2133" t="s">
        <v>5153</v>
      </c>
      <c r="M2133" t="s">
        <v>1757</v>
      </c>
    </row>
    <row r="2134" spans="1:13" x14ac:dyDescent="0.45">
      <c r="A2134" t="s">
        <v>5154</v>
      </c>
      <c r="B2134">
        <v>1</v>
      </c>
      <c r="C2134" t="s">
        <v>1774</v>
      </c>
      <c r="G2134" s="3">
        <v>5503.791027056729</v>
      </c>
      <c r="H2134" t="s">
        <v>1755</v>
      </c>
      <c r="I2134" t="s">
        <v>5154</v>
      </c>
      <c r="M2134" t="s">
        <v>1757</v>
      </c>
    </row>
    <row r="2135" spans="1:13" x14ac:dyDescent="0.45">
      <c r="A2135" t="s">
        <v>5155</v>
      </c>
      <c r="B2135">
        <v>2</v>
      </c>
      <c r="C2135" t="s">
        <v>1774</v>
      </c>
      <c r="G2135" s="3">
        <v>3756.4408490770479</v>
      </c>
      <c r="H2135" t="s">
        <v>1755</v>
      </c>
      <c r="I2135" t="s">
        <v>5155</v>
      </c>
      <c r="M2135" t="s">
        <v>1757</v>
      </c>
    </row>
    <row r="2136" spans="1:13" x14ac:dyDescent="0.45">
      <c r="A2136" t="s">
        <v>5156</v>
      </c>
      <c r="B2136">
        <v>1</v>
      </c>
      <c r="C2136" t="s">
        <v>1774</v>
      </c>
      <c r="G2136" s="3">
        <v>1172.522393200361</v>
      </c>
      <c r="H2136" t="s">
        <v>1755</v>
      </c>
      <c r="I2136" t="s">
        <v>5156</v>
      </c>
      <c r="M2136" t="s">
        <v>1757</v>
      </c>
    </row>
    <row r="2137" spans="1:13" x14ac:dyDescent="0.45">
      <c r="A2137" t="s">
        <v>5157</v>
      </c>
      <c r="B2137">
        <v>1</v>
      </c>
      <c r="C2137" t="s">
        <v>1774</v>
      </c>
      <c r="G2137" s="3">
        <v>2061.1419674171821</v>
      </c>
      <c r="H2137" t="s">
        <v>1755</v>
      </c>
      <c r="I2137" t="s">
        <v>5157</v>
      </c>
      <c r="M2137" t="s">
        <v>1757</v>
      </c>
    </row>
    <row r="2138" spans="1:13" x14ac:dyDescent="0.45">
      <c r="A2138" t="s">
        <v>5158</v>
      </c>
      <c r="B2138">
        <v>1</v>
      </c>
      <c r="C2138" t="s">
        <v>1774</v>
      </c>
      <c r="G2138" s="3">
        <v>2781.7486067807781</v>
      </c>
      <c r="H2138" t="s">
        <v>1755</v>
      </c>
      <c r="I2138" t="s">
        <v>5158</v>
      </c>
      <c r="M2138" t="s">
        <v>1757</v>
      </c>
    </row>
    <row r="2139" spans="1:13" x14ac:dyDescent="0.45">
      <c r="A2139" t="s">
        <v>5159</v>
      </c>
      <c r="B2139">
        <v>3</v>
      </c>
      <c r="C2139" t="s">
        <v>1774</v>
      </c>
      <c r="G2139" s="3">
        <v>6194.492388147476</v>
      </c>
      <c r="H2139" t="s">
        <v>1755</v>
      </c>
      <c r="I2139" t="s">
        <v>5159</v>
      </c>
      <c r="M2139" t="s">
        <v>1757</v>
      </c>
    </row>
    <row r="2140" spans="1:13" x14ac:dyDescent="0.45">
      <c r="A2140" t="s">
        <v>5160</v>
      </c>
      <c r="B2140">
        <v>1</v>
      </c>
      <c r="C2140" t="s">
        <v>1774</v>
      </c>
      <c r="G2140" s="3">
        <v>3781.1308868702049</v>
      </c>
      <c r="H2140" t="s">
        <v>1755</v>
      </c>
      <c r="I2140" t="s">
        <v>5160</v>
      </c>
      <c r="M2140" t="s">
        <v>1757</v>
      </c>
    </row>
    <row r="2141" spans="1:13" x14ac:dyDescent="0.45">
      <c r="A2141" t="s">
        <v>5161</v>
      </c>
      <c r="B2141">
        <v>2</v>
      </c>
      <c r="C2141" t="s">
        <v>1774</v>
      </c>
      <c r="G2141" s="3">
        <v>3398.6146870840089</v>
      </c>
      <c r="H2141" t="s">
        <v>1755</v>
      </c>
      <c r="I2141" t="s">
        <v>5161</v>
      </c>
      <c r="M2141" t="s">
        <v>1757</v>
      </c>
    </row>
    <row r="2142" spans="1:13" x14ac:dyDescent="0.45">
      <c r="A2142" t="s">
        <v>5162</v>
      </c>
      <c r="B2142">
        <v>1</v>
      </c>
      <c r="C2142" t="s">
        <v>1774</v>
      </c>
      <c r="G2142" s="3">
        <v>1926.2828283588631</v>
      </c>
      <c r="H2142" t="s">
        <v>1755</v>
      </c>
      <c r="I2142" t="s">
        <v>5162</v>
      </c>
      <c r="M2142" t="s">
        <v>1757</v>
      </c>
    </row>
    <row r="2143" spans="1:13" x14ac:dyDescent="0.45">
      <c r="A2143" t="s">
        <v>5163</v>
      </c>
      <c r="B2143">
        <v>2</v>
      </c>
      <c r="C2143" t="s">
        <v>1774</v>
      </c>
      <c r="G2143" s="3">
        <v>3192.0207143106691</v>
      </c>
      <c r="H2143" t="s">
        <v>1755</v>
      </c>
      <c r="I2143" t="s">
        <v>5163</v>
      </c>
      <c r="M2143" t="s">
        <v>1757</v>
      </c>
    </row>
    <row r="2144" spans="1:13" x14ac:dyDescent="0.45">
      <c r="A2144" t="s">
        <v>5164</v>
      </c>
      <c r="B2144">
        <v>1</v>
      </c>
      <c r="C2144" t="s">
        <v>1774</v>
      </c>
      <c r="G2144" s="3">
        <v>4824.3094453594376</v>
      </c>
      <c r="H2144" t="s">
        <v>1755</v>
      </c>
      <c r="I2144" t="s">
        <v>5164</v>
      </c>
      <c r="M2144" t="s">
        <v>1757</v>
      </c>
    </row>
    <row r="2145" spans="1:13" x14ac:dyDescent="0.45">
      <c r="A2145" t="s">
        <v>5165</v>
      </c>
      <c r="B2145">
        <v>1</v>
      </c>
      <c r="C2145" t="s">
        <v>1774</v>
      </c>
      <c r="G2145" s="3">
        <v>2127.36475834879</v>
      </c>
      <c r="H2145" t="s">
        <v>1755</v>
      </c>
      <c r="I2145" t="s">
        <v>5165</v>
      </c>
      <c r="M2145" t="s">
        <v>1757</v>
      </c>
    </row>
    <row r="2146" spans="1:13" x14ac:dyDescent="0.45">
      <c r="A2146" t="s">
        <v>5166</v>
      </c>
      <c r="B2146">
        <v>1</v>
      </c>
      <c r="C2146" t="s">
        <v>1774</v>
      </c>
      <c r="G2146" s="3">
        <v>3851.5806644570221</v>
      </c>
      <c r="H2146" t="s">
        <v>1755</v>
      </c>
      <c r="I2146" t="s">
        <v>5166</v>
      </c>
      <c r="M2146" t="s">
        <v>1757</v>
      </c>
    </row>
    <row r="2147" spans="1:13" x14ac:dyDescent="0.45">
      <c r="A2147" t="s">
        <v>5167</v>
      </c>
      <c r="B2147">
        <v>1</v>
      </c>
      <c r="C2147" t="s">
        <v>1774</v>
      </c>
      <c r="G2147" s="3">
        <v>5115.3713968338598</v>
      </c>
      <c r="H2147" t="s">
        <v>1755</v>
      </c>
      <c r="I2147" t="s">
        <v>5167</v>
      </c>
      <c r="M2147" t="s">
        <v>1757</v>
      </c>
    </row>
    <row r="2148" spans="1:13" x14ac:dyDescent="0.45">
      <c r="A2148" t="s">
        <v>5168</v>
      </c>
      <c r="B2148">
        <v>1</v>
      </c>
      <c r="C2148" t="s">
        <v>1774</v>
      </c>
      <c r="G2148" s="3">
        <v>3270.5004619168722</v>
      </c>
      <c r="H2148" t="s">
        <v>1755</v>
      </c>
      <c r="I2148" t="s">
        <v>5168</v>
      </c>
      <c r="M2148" t="s">
        <v>1757</v>
      </c>
    </row>
    <row r="2149" spans="1:13" x14ac:dyDescent="0.45">
      <c r="A2149" t="s">
        <v>5169</v>
      </c>
      <c r="B2149">
        <v>1</v>
      </c>
      <c r="C2149" t="s">
        <v>1774</v>
      </c>
      <c r="G2149" s="3">
        <v>2220.5639432813491</v>
      </c>
      <c r="H2149" t="s">
        <v>1755</v>
      </c>
      <c r="I2149" t="s">
        <v>5169</v>
      </c>
      <c r="M2149" t="s">
        <v>1757</v>
      </c>
    </row>
    <row r="2150" spans="1:13" x14ac:dyDescent="0.45">
      <c r="A2150" t="s">
        <v>5170</v>
      </c>
      <c r="B2150">
        <v>1</v>
      </c>
      <c r="C2150" t="s">
        <v>1774</v>
      </c>
      <c r="G2150" s="3">
        <v>6019.4768758646705</v>
      </c>
      <c r="H2150" t="s">
        <v>1755</v>
      </c>
      <c r="I2150" t="s">
        <v>5170</v>
      </c>
      <c r="M2150" t="s">
        <v>1757</v>
      </c>
    </row>
    <row r="2151" spans="1:13" x14ac:dyDescent="0.45">
      <c r="A2151" t="s">
        <v>5171</v>
      </c>
      <c r="B2151">
        <v>1</v>
      </c>
      <c r="C2151" t="s">
        <v>1774</v>
      </c>
      <c r="G2151" s="3">
        <v>2376.5971543810392</v>
      </c>
      <c r="H2151" t="s">
        <v>1755</v>
      </c>
      <c r="I2151" t="s">
        <v>5171</v>
      </c>
      <c r="M2151" t="s">
        <v>1757</v>
      </c>
    </row>
    <row r="2152" spans="1:13" x14ac:dyDescent="0.45">
      <c r="A2152" t="s">
        <v>5172</v>
      </c>
      <c r="B2152">
        <v>3</v>
      </c>
      <c r="C2152" t="s">
        <v>1774</v>
      </c>
      <c r="G2152" s="3">
        <v>2580.4285826351179</v>
      </c>
      <c r="H2152" t="s">
        <v>1755</v>
      </c>
      <c r="I2152" t="s">
        <v>5172</v>
      </c>
      <c r="M2152" t="s">
        <v>1757</v>
      </c>
    </row>
    <row r="2153" spans="1:13" x14ac:dyDescent="0.45">
      <c r="A2153" t="s">
        <v>5173</v>
      </c>
      <c r="B2153">
        <v>1</v>
      </c>
      <c r="C2153" t="s">
        <v>1774</v>
      </c>
      <c r="G2153" s="3">
        <v>1633.6912034729501</v>
      </c>
      <c r="H2153" t="s">
        <v>1755</v>
      </c>
      <c r="I2153" t="s">
        <v>5173</v>
      </c>
      <c r="M2153" t="s">
        <v>1757</v>
      </c>
    </row>
    <row r="2154" spans="1:13" x14ac:dyDescent="0.45">
      <c r="A2154" t="s">
        <v>5174</v>
      </c>
      <c r="B2154">
        <v>1</v>
      </c>
      <c r="C2154" t="s">
        <v>1774</v>
      </c>
      <c r="G2154" s="3">
        <v>1497.3056525669169</v>
      </c>
      <c r="H2154" t="s">
        <v>1755</v>
      </c>
      <c r="I2154" t="s">
        <v>5174</v>
      </c>
      <c r="M2154" t="s">
        <v>1757</v>
      </c>
    </row>
    <row r="2155" spans="1:13" x14ac:dyDescent="0.45">
      <c r="A2155" t="s">
        <v>5175</v>
      </c>
      <c r="B2155">
        <v>1</v>
      </c>
      <c r="C2155" t="s">
        <v>1774</v>
      </c>
      <c r="G2155" s="3">
        <v>1851.12009111404</v>
      </c>
      <c r="H2155" t="s">
        <v>1755</v>
      </c>
      <c r="I2155" t="s">
        <v>5175</v>
      </c>
      <c r="M2155" t="s">
        <v>1757</v>
      </c>
    </row>
    <row r="2156" spans="1:13" x14ac:dyDescent="0.45">
      <c r="A2156" t="s">
        <v>5176</v>
      </c>
      <c r="B2156">
        <v>1</v>
      </c>
      <c r="C2156" t="s">
        <v>1774</v>
      </c>
      <c r="G2156" s="3">
        <v>4154.5147080803326</v>
      </c>
      <c r="H2156" t="s">
        <v>1755</v>
      </c>
      <c r="I2156" t="s">
        <v>5176</v>
      </c>
      <c r="M2156" t="s">
        <v>1757</v>
      </c>
    </row>
    <row r="2157" spans="1:13" x14ac:dyDescent="0.45">
      <c r="A2157" t="s">
        <v>5177</v>
      </c>
      <c r="B2157">
        <v>1</v>
      </c>
      <c r="C2157" t="s">
        <v>1774</v>
      </c>
      <c r="G2157" s="3">
        <v>9392.7492124000892</v>
      </c>
      <c r="H2157" t="s">
        <v>1755</v>
      </c>
      <c r="I2157" t="s">
        <v>5177</v>
      </c>
      <c r="M2157" t="s">
        <v>1757</v>
      </c>
    </row>
    <row r="2158" spans="1:13" x14ac:dyDescent="0.45">
      <c r="A2158" t="s">
        <v>5178</v>
      </c>
      <c r="B2158">
        <v>1</v>
      </c>
      <c r="C2158" t="s">
        <v>1774</v>
      </c>
      <c r="G2158" s="3">
        <v>2008.0143550509019</v>
      </c>
      <c r="H2158" t="s">
        <v>1755</v>
      </c>
      <c r="I2158" t="s">
        <v>5178</v>
      </c>
      <c r="M2158" t="s">
        <v>1757</v>
      </c>
    </row>
    <row r="2159" spans="1:13" x14ac:dyDescent="0.45">
      <c r="A2159" t="s">
        <v>5179</v>
      </c>
      <c r="B2159">
        <v>1</v>
      </c>
      <c r="C2159" t="s">
        <v>1774</v>
      </c>
      <c r="G2159" s="3">
        <v>5770.1629407379933</v>
      </c>
      <c r="H2159" t="s">
        <v>1755</v>
      </c>
      <c r="I2159" t="s">
        <v>5179</v>
      </c>
      <c r="M2159" t="s">
        <v>1757</v>
      </c>
    </row>
    <row r="2160" spans="1:13" x14ac:dyDescent="0.45">
      <c r="A2160" t="s">
        <v>5180</v>
      </c>
      <c r="B2160">
        <v>2</v>
      </c>
      <c r="C2160" t="s">
        <v>1774</v>
      </c>
      <c r="G2160" s="3">
        <v>3309.247839589621</v>
      </c>
      <c r="H2160" t="s">
        <v>1755</v>
      </c>
      <c r="I2160" t="s">
        <v>5180</v>
      </c>
      <c r="M2160" t="s">
        <v>1757</v>
      </c>
    </row>
    <row r="2161" spans="1:13" x14ac:dyDescent="0.45">
      <c r="A2161" t="s">
        <v>5181</v>
      </c>
      <c r="B2161">
        <v>2</v>
      </c>
      <c r="C2161" t="s">
        <v>1774</v>
      </c>
      <c r="G2161" s="3">
        <v>2954.40600845269</v>
      </c>
      <c r="H2161" t="s">
        <v>1755</v>
      </c>
      <c r="I2161" t="s">
        <v>5181</v>
      </c>
      <c r="M2161" t="s">
        <v>1757</v>
      </c>
    </row>
    <row r="2162" spans="1:13" x14ac:dyDescent="0.45">
      <c r="A2162" t="s">
        <v>5182</v>
      </c>
      <c r="B2162">
        <v>2</v>
      </c>
      <c r="C2162" t="s">
        <v>1774</v>
      </c>
      <c r="G2162" s="3">
        <v>4184.7494042946764</v>
      </c>
      <c r="H2162" t="s">
        <v>1755</v>
      </c>
      <c r="I2162" t="s">
        <v>5182</v>
      </c>
      <c r="M2162" t="s">
        <v>1757</v>
      </c>
    </row>
    <row r="2163" spans="1:13" x14ac:dyDescent="0.45">
      <c r="A2163" t="s">
        <v>5183</v>
      </c>
      <c r="B2163">
        <v>3</v>
      </c>
      <c r="C2163" t="s">
        <v>1774</v>
      </c>
      <c r="G2163" s="3">
        <v>1862.463809931028</v>
      </c>
      <c r="H2163" t="s">
        <v>1755</v>
      </c>
      <c r="I2163" t="s">
        <v>5183</v>
      </c>
      <c r="M2163" t="s">
        <v>1757</v>
      </c>
    </row>
    <row r="2164" spans="1:13" x14ac:dyDescent="0.45">
      <c r="A2164" t="s">
        <v>5184</v>
      </c>
      <c r="B2164">
        <v>1</v>
      </c>
      <c r="C2164" t="s">
        <v>1774</v>
      </c>
      <c r="G2164" s="3">
        <v>2814.468614593321</v>
      </c>
      <c r="H2164" t="s">
        <v>1755</v>
      </c>
      <c r="I2164" t="s">
        <v>5184</v>
      </c>
      <c r="M2164" t="s">
        <v>1757</v>
      </c>
    </row>
    <row r="2165" spans="1:13" x14ac:dyDescent="0.45">
      <c r="A2165" t="s">
        <v>5185</v>
      </c>
      <c r="B2165">
        <v>2</v>
      </c>
      <c r="C2165" t="s">
        <v>1774</v>
      </c>
      <c r="G2165" s="3">
        <v>6737.0535224792793</v>
      </c>
      <c r="H2165" t="s">
        <v>1755</v>
      </c>
      <c r="I2165" t="s">
        <v>5185</v>
      </c>
      <c r="M2165" t="s">
        <v>1757</v>
      </c>
    </row>
    <row r="2166" spans="1:13" x14ac:dyDescent="0.45">
      <c r="A2166" t="s">
        <v>5186</v>
      </c>
      <c r="B2166">
        <v>1</v>
      </c>
      <c r="C2166" t="s">
        <v>1774</v>
      </c>
      <c r="G2166" s="3">
        <v>1081.3812550111941</v>
      </c>
      <c r="H2166" t="s">
        <v>1755</v>
      </c>
      <c r="I2166" t="s">
        <v>5186</v>
      </c>
      <c r="M2166" t="s">
        <v>1757</v>
      </c>
    </row>
    <row r="2167" spans="1:13" x14ac:dyDescent="0.45">
      <c r="A2167" t="s">
        <v>5187</v>
      </c>
      <c r="B2167">
        <v>1</v>
      </c>
      <c r="C2167" t="s">
        <v>1774</v>
      </c>
      <c r="G2167" s="3">
        <v>1810.3342360805609</v>
      </c>
      <c r="H2167" t="s">
        <v>1755</v>
      </c>
      <c r="I2167" t="s">
        <v>5187</v>
      </c>
      <c r="M2167" t="s">
        <v>1757</v>
      </c>
    </row>
    <row r="2168" spans="1:13" x14ac:dyDescent="0.45">
      <c r="A2168" t="s">
        <v>5188</v>
      </c>
      <c r="B2168">
        <v>1</v>
      </c>
      <c r="C2168" t="s">
        <v>1774</v>
      </c>
      <c r="G2168" s="3">
        <v>4192.6750042731919</v>
      </c>
      <c r="H2168" t="s">
        <v>1755</v>
      </c>
      <c r="I2168" t="s">
        <v>5188</v>
      </c>
      <c r="M2168" t="s">
        <v>1757</v>
      </c>
    </row>
    <row r="2169" spans="1:13" x14ac:dyDescent="0.45">
      <c r="A2169" t="s">
        <v>5189</v>
      </c>
      <c r="B2169">
        <v>1</v>
      </c>
      <c r="C2169" t="s">
        <v>1774</v>
      </c>
      <c r="G2169" s="3">
        <v>4421.1801625015423</v>
      </c>
      <c r="H2169" t="s">
        <v>1755</v>
      </c>
      <c r="I2169" t="s">
        <v>5189</v>
      </c>
      <c r="M2169" t="s">
        <v>1757</v>
      </c>
    </row>
    <row r="2170" spans="1:13" x14ac:dyDescent="0.45">
      <c r="A2170" t="s">
        <v>5190</v>
      </c>
      <c r="B2170">
        <v>1</v>
      </c>
      <c r="C2170" t="s">
        <v>1774</v>
      </c>
      <c r="G2170" s="3">
        <v>4265.0164888507661</v>
      </c>
      <c r="H2170" t="s">
        <v>1755</v>
      </c>
      <c r="I2170" t="s">
        <v>5190</v>
      </c>
      <c r="M2170" t="s">
        <v>1757</v>
      </c>
    </row>
    <row r="2171" spans="1:13" x14ac:dyDescent="0.45">
      <c r="A2171" t="s">
        <v>5191</v>
      </c>
      <c r="B2171">
        <v>1</v>
      </c>
      <c r="C2171" t="s">
        <v>1774</v>
      </c>
      <c r="H2171" t="s">
        <v>1755</v>
      </c>
      <c r="I2171" t="s">
        <v>5191</v>
      </c>
      <c r="M2171" t="s">
        <v>1757</v>
      </c>
    </row>
    <row r="2172" spans="1:13" x14ac:dyDescent="0.45">
      <c r="A2172" t="s">
        <v>5192</v>
      </c>
      <c r="B2172">
        <v>1</v>
      </c>
      <c r="C2172" t="s">
        <v>1774</v>
      </c>
      <c r="H2172" t="s">
        <v>1755</v>
      </c>
      <c r="I2172" t="s">
        <v>5192</v>
      </c>
      <c r="M2172" t="s">
        <v>1757</v>
      </c>
    </row>
    <row r="2173" spans="1:13" x14ac:dyDescent="0.45">
      <c r="A2173" t="s">
        <v>5193</v>
      </c>
      <c r="B2173">
        <v>1</v>
      </c>
      <c r="C2173" t="s">
        <v>1774</v>
      </c>
      <c r="G2173" s="3">
        <v>1010.657506067095</v>
      </c>
      <c r="H2173" t="s">
        <v>1755</v>
      </c>
      <c r="I2173" t="s">
        <v>5193</v>
      </c>
      <c r="M2173" t="s">
        <v>1757</v>
      </c>
    </row>
    <row r="2174" spans="1:13" x14ac:dyDescent="0.45">
      <c r="A2174" t="s">
        <v>5194</v>
      </c>
      <c r="B2174">
        <v>1</v>
      </c>
      <c r="C2174" t="s">
        <v>1774</v>
      </c>
      <c r="G2174" s="3">
        <v>2411.639395602926</v>
      </c>
      <c r="H2174" t="s">
        <v>1755</v>
      </c>
      <c r="I2174" t="s">
        <v>5194</v>
      </c>
      <c r="M2174" t="s">
        <v>1757</v>
      </c>
    </row>
    <row r="2175" spans="1:13" x14ac:dyDescent="0.45">
      <c r="A2175" t="s">
        <v>5195</v>
      </c>
      <c r="B2175">
        <v>5</v>
      </c>
      <c r="C2175" t="s">
        <v>1774</v>
      </c>
      <c r="G2175" s="3">
        <v>2906.3533893236822</v>
      </c>
      <c r="H2175" t="s">
        <v>1755</v>
      </c>
      <c r="I2175" t="s">
        <v>5195</v>
      </c>
      <c r="M2175" t="s">
        <v>1757</v>
      </c>
    </row>
    <row r="2176" spans="1:13" x14ac:dyDescent="0.45">
      <c r="A2176" t="s">
        <v>5196</v>
      </c>
      <c r="B2176">
        <v>1</v>
      </c>
      <c r="C2176" t="s">
        <v>1774</v>
      </c>
      <c r="G2176" s="3">
        <v>3971.9975991100432</v>
      </c>
      <c r="H2176" t="s">
        <v>1755</v>
      </c>
      <c r="I2176" t="s">
        <v>5196</v>
      </c>
      <c r="M2176" t="s">
        <v>1757</v>
      </c>
    </row>
    <row r="2177" spans="1:13" x14ac:dyDescent="0.45">
      <c r="A2177" t="s">
        <v>5197</v>
      </c>
      <c r="B2177">
        <v>1</v>
      </c>
      <c r="C2177" t="s">
        <v>1774</v>
      </c>
      <c r="G2177" s="3">
        <v>2443.1069629250369</v>
      </c>
      <c r="H2177" t="s">
        <v>1755</v>
      </c>
      <c r="I2177" t="s">
        <v>5197</v>
      </c>
      <c r="M2177" t="s">
        <v>1757</v>
      </c>
    </row>
    <row r="2178" spans="1:13" x14ac:dyDescent="0.45">
      <c r="A2178" t="s">
        <v>5198</v>
      </c>
      <c r="B2178">
        <v>1</v>
      </c>
      <c r="C2178" t="s">
        <v>1774</v>
      </c>
      <c r="G2178" s="3">
        <v>4938.0727899070371</v>
      </c>
      <c r="H2178" t="s">
        <v>1755</v>
      </c>
      <c r="I2178" t="s">
        <v>5198</v>
      </c>
      <c r="M2178" t="s">
        <v>1757</v>
      </c>
    </row>
    <row r="2179" spans="1:13" x14ac:dyDescent="0.45">
      <c r="A2179" t="s">
        <v>5199</v>
      </c>
      <c r="B2179">
        <v>1</v>
      </c>
      <c r="C2179" t="s">
        <v>1774</v>
      </c>
      <c r="G2179" s="3">
        <v>3997.2747183830911</v>
      </c>
      <c r="H2179" t="s">
        <v>1755</v>
      </c>
      <c r="I2179" t="s">
        <v>5199</v>
      </c>
      <c r="M2179" t="s">
        <v>1757</v>
      </c>
    </row>
    <row r="2180" spans="1:13" x14ac:dyDescent="0.45">
      <c r="A2180" t="s">
        <v>5200</v>
      </c>
      <c r="B2180">
        <v>1</v>
      </c>
      <c r="C2180" t="s">
        <v>1774</v>
      </c>
      <c r="G2180" s="3">
        <v>7944.9736673532379</v>
      </c>
      <c r="H2180" t="s">
        <v>1755</v>
      </c>
      <c r="I2180" t="s">
        <v>5200</v>
      </c>
      <c r="M2180" t="s">
        <v>1757</v>
      </c>
    </row>
    <row r="2181" spans="1:13" x14ac:dyDescent="0.45">
      <c r="A2181" t="s">
        <v>5201</v>
      </c>
      <c r="B2181">
        <v>1</v>
      </c>
      <c r="C2181" t="s">
        <v>1774</v>
      </c>
      <c r="G2181" s="3">
        <v>1614.9567811369</v>
      </c>
      <c r="H2181" t="s">
        <v>1755</v>
      </c>
      <c r="I2181" t="s">
        <v>5201</v>
      </c>
      <c r="M2181" t="s">
        <v>1757</v>
      </c>
    </row>
    <row r="2182" spans="1:13" x14ac:dyDescent="0.45">
      <c r="A2182" t="s">
        <v>5202</v>
      </c>
      <c r="B2182">
        <v>1</v>
      </c>
      <c r="C2182" t="s">
        <v>1774</v>
      </c>
      <c r="G2182" s="3">
        <v>7716.9251280536901</v>
      </c>
      <c r="H2182" t="s">
        <v>1755</v>
      </c>
      <c r="I2182" t="s">
        <v>5202</v>
      </c>
      <c r="M2182" t="s">
        <v>1757</v>
      </c>
    </row>
    <row r="2183" spans="1:13" x14ac:dyDescent="0.45">
      <c r="A2183" t="s">
        <v>5203</v>
      </c>
      <c r="B2183">
        <v>1</v>
      </c>
      <c r="C2183" t="s">
        <v>1774</v>
      </c>
      <c r="G2183" s="3">
        <v>1045.259436179065</v>
      </c>
      <c r="H2183" t="s">
        <v>1755</v>
      </c>
      <c r="I2183" t="s">
        <v>5203</v>
      </c>
      <c r="M2183" t="s">
        <v>1757</v>
      </c>
    </row>
    <row r="2184" spans="1:13" x14ac:dyDescent="0.45">
      <c r="A2184" t="s">
        <v>5204</v>
      </c>
      <c r="B2184">
        <v>1</v>
      </c>
      <c r="C2184" t="s">
        <v>1774</v>
      </c>
      <c r="G2184" s="3">
        <v>4110.4835970885724</v>
      </c>
      <c r="H2184" t="s">
        <v>1755</v>
      </c>
      <c r="I2184" t="s">
        <v>5204</v>
      </c>
      <c r="M2184" t="s">
        <v>1757</v>
      </c>
    </row>
    <row r="2185" spans="1:13" x14ac:dyDescent="0.45">
      <c r="A2185" t="s">
        <v>5205</v>
      </c>
      <c r="B2185">
        <v>1</v>
      </c>
      <c r="C2185" t="s">
        <v>1774</v>
      </c>
      <c r="G2185" s="3">
        <v>6532.7817831152825</v>
      </c>
      <c r="H2185" t="s">
        <v>1755</v>
      </c>
      <c r="I2185" t="s">
        <v>5205</v>
      </c>
      <c r="M2185" t="s">
        <v>1757</v>
      </c>
    </row>
    <row r="2186" spans="1:13" x14ac:dyDescent="0.45">
      <c r="A2186" t="s">
        <v>5206</v>
      </c>
      <c r="B2186">
        <v>2</v>
      </c>
      <c r="C2186" t="s">
        <v>1774</v>
      </c>
      <c r="G2186" s="3">
        <v>2119.7522684928808</v>
      </c>
      <c r="H2186" t="s">
        <v>1755</v>
      </c>
      <c r="I2186" t="s">
        <v>5206</v>
      </c>
      <c r="M2186" t="s">
        <v>1757</v>
      </c>
    </row>
    <row r="2187" spans="1:13" x14ac:dyDescent="0.45">
      <c r="A2187" t="s">
        <v>5207</v>
      </c>
      <c r="B2187">
        <v>1</v>
      </c>
      <c r="C2187" t="s">
        <v>1774</v>
      </c>
      <c r="G2187" s="3">
        <v>5532.427557020259</v>
      </c>
      <c r="H2187" t="s">
        <v>1755</v>
      </c>
      <c r="I2187" t="s">
        <v>5207</v>
      </c>
      <c r="M2187" t="s">
        <v>1757</v>
      </c>
    </row>
    <row r="2188" spans="1:13" x14ac:dyDescent="0.45">
      <c r="A2188" t="s">
        <v>5208</v>
      </c>
      <c r="B2188">
        <v>1</v>
      </c>
      <c r="C2188" t="s">
        <v>1774</v>
      </c>
      <c r="G2188" s="3">
        <v>4812.7635095882642</v>
      </c>
      <c r="H2188" t="s">
        <v>1755</v>
      </c>
      <c r="I2188" t="s">
        <v>5208</v>
      </c>
      <c r="M2188" t="s">
        <v>1757</v>
      </c>
    </row>
    <row r="2189" spans="1:13" x14ac:dyDescent="0.45">
      <c r="A2189" t="s">
        <v>5209</v>
      </c>
      <c r="B2189">
        <v>1</v>
      </c>
      <c r="C2189" t="s">
        <v>1774</v>
      </c>
      <c r="H2189" t="s">
        <v>1755</v>
      </c>
      <c r="I2189" t="s">
        <v>5209</v>
      </c>
      <c r="M2189" t="s">
        <v>1757</v>
      </c>
    </row>
    <row r="2190" spans="1:13" x14ac:dyDescent="0.45">
      <c r="A2190" t="s">
        <v>5210</v>
      </c>
      <c r="B2190">
        <v>2</v>
      </c>
      <c r="C2190" t="s">
        <v>1774</v>
      </c>
      <c r="G2190" s="3">
        <v>1139.0913644843949</v>
      </c>
      <c r="H2190" t="s">
        <v>1755</v>
      </c>
      <c r="I2190" t="s">
        <v>5210</v>
      </c>
      <c r="M2190" t="s">
        <v>1757</v>
      </c>
    </row>
    <row r="2191" spans="1:13" x14ac:dyDescent="0.45">
      <c r="A2191" t="s">
        <v>5211</v>
      </c>
      <c r="B2191">
        <v>2</v>
      </c>
      <c r="C2191" t="s">
        <v>1774</v>
      </c>
      <c r="G2191" s="3">
        <v>1295.793196158404</v>
      </c>
      <c r="H2191" t="s">
        <v>1755</v>
      </c>
      <c r="I2191" t="s">
        <v>5211</v>
      </c>
      <c r="M2191" t="s">
        <v>1757</v>
      </c>
    </row>
    <row r="2192" spans="1:13" x14ac:dyDescent="0.45">
      <c r="A2192" t="s">
        <v>5212</v>
      </c>
      <c r="B2192">
        <v>1</v>
      </c>
      <c r="C2192" t="s">
        <v>1774</v>
      </c>
      <c r="G2192" s="3">
        <v>1759.0298378657169</v>
      </c>
      <c r="H2192" t="s">
        <v>1755</v>
      </c>
      <c r="I2192" t="s">
        <v>5212</v>
      </c>
      <c r="M2192" t="s">
        <v>1757</v>
      </c>
    </row>
    <row r="2193" spans="1:13" x14ac:dyDescent="0.45">
      <c r="A2193" t="s">
        <v>5213</v>
      </c>
      <c r="B2193">
        <v>1</v>
      </c>
      <c r="C2193" t="s">
        <v>1774</v>
      </c>
      <c r="G2193" s="3">
        <v>4432.3020949816837</v>
      </c>
      <c r="H2193" t="s">
        <v>1755</v>
      </c>
      <c r="I2193" t="s">
        <v>5213</v>
      </c>
      <c r="M2193" t="s">
        <v>1757</v>
      </c>
    </row>
    <row r="2194" spans="1:13" x14ac:dyDescent="0.45">
      <c r="A2194" t="s">
        <v>5214</v>
      </c>
      <c r="B2194">
        <v>1</v>
      </c>
      <c r="C2194" t="s">
        <v>1774</v>
      </c>
      <c r="G2194" s="3">
        <v>2763.519726830189</v>
      </c>
      <c r="H2194" t="s">
        <v>1755</v>
      </c>
      <c r="I2194" t="s">
        <v>5214</v>
      </c>
      <c r="M2194" t="s">
        <v>1757</v>
      </c>
    </row>
    <row r="2195" spans="1:13" x14ac:dyDescent="0.45">
      <c r="A2195" t="s">
        <v>5215</v>
      </c>
      <c r="B2195">
        <v>2</v>
      </c>
      <c r="C2195" t="s">
        <v>1774</v>
      </c>
      <c r="G2195" s="3">
        <v>2946.855488308548</v>
      </c>
      <c r="H2195" t="s">
        <v>1755</v>
      </c>
      <c r="I2195" t="s">
        <v>5215</v>
      </c>
      <c r="M2195" t="s">
        <v>1757</v>
      </c>
    </row>
    <row r="2196" spans="1:13" x14ac:dyDescent="0.45">
      <c r="A2196" t="s">
        <v>5216</v>
      </c>
      <c r="B2196">
        <v>1</v>
      </c>
      <c r="C2196" t="s">
        <v>1774</v>
      </c>
      <c r="G2196" s="3">
        <v>4701.9681880778871</v>
      </c>
      <c r="H2196" t="s">
        <v>1755</v>
      </c>
      <c r="I2196" t="s">
        <v>5216</v>
      </c>
      <c r="M2196" t="s">
        <v>1757</v>
      </c>
    </row>
    <row r="2197" spans="1:13" x14ac:dyDescent="0.45">
      <c r="A2197" t="s">
        <v>5217</v>
      </c>
      <c r="B2197">
        <v>2</v>
      </c>
      <c r="C2197" t="s">
        <v>1774</v>
      </c>
      <c r="G2197" s="3">
        <v>1438.6431664707829</v>
      </c>
      <c r="H2197" t="s">
        <v>1755</v>
      </c>
      <c r="I2197" t="s">
        <v>5217</v>
      </c>
      <c r="M2197" t="s">
        <v>1757</v>
      </c>
    </row>
    <row r="2198" spans="1:13" x14ac:dyDescent="0.45">
      <c r="A2198" t="s">
        <v>5218</v>
      </c>
      <c r="B2198">
        <v>1</v>
      </c>
      <c r="C2198" t="s">
        <v>1774</v>
      </c>
      <c r="G2198" s="3">
        <v>1982.760066724295</v>
      </c>
      <c r="H2198" t="s">
        <v>1755</v>
      </c>
      <c r="I2198" t="s">
        <v>5218</v>
      </c>
      <c r="M2198" t="s">
        <v>1757</v>
      </c>
    </row>
    <row r="2199" spans="1:13" x14ac:dyDescent="0.45">
      <c r="A2199" t="s">
        <v>5219</v>
      </c>
      <c r="B2199">
        <v>1</v>
      </c>
      <c r="C2199" t="s">
        <v>1774</v>
      </c>
      <c r="G2199" s="3">
        <v>675.08825528944681</v>
      </c>
      <c r="H2199" t="s">
        <v>1755</v>
      </c>
      <c r="I2199" t="s">
        <v>5219</v>
      </c>
      <c r="M2199" t="s">
        <v>1757</v>
      </c>
    </row>
    <row r="2200" spans="1:13" x14ac:dyDescent="0.45">
      <c r="A2200" t="s">
        <v>5220</v>
      </c>
      <c r="B2200">
        <v>1</v>
      </c>
      <c r="C2200" t="s">
        <v>1774</v>
      </c>
      <c r="G2200" s="3">
        <v>2655.3206100864368</v>
      </c>
      <c r="H2200" t="s">
        <v>1755</v>
      </c>
      <c r="I2200" t="s">
        <v>5220</v>
      </c>
      <c r="M2200" t="s">
        <v>1757</v>
      </c>
    </row>
    <row r="2201" spans="1:13" x14ac:dyDescent="0.45">
      <c r="A2201" t="s">
        <v>5221</v>
      </c>
      <c r="B2201">
        <v>1</v>
      </c>
      <c r="C2201" t="s">
        <v>1774</v>
      </c>
      <c r="G2201" s="3">
        <v>2823.1965592610218</v>
      </c>
      <c r="H2201" t="s">
        <v>1755</v>
      </c>
      <c r="I2201" t="s">
        <v>5221</v>
      </c>
      <c r="M2201" t="s">
        <v>1757</v>
      </c>
    </row>
    <row r="2202" spans="1:13" x14ac:dyDescent="0.45">
      <c r="A2202" t="s">
        <v>5222</v>
      </c>
      <c r="B2202">
        <v>1</v>
      </c>
      <c r="C2202" t="s">
        <v>1774</v>
      </c>
      <c r="G2202" s="3">
        <v>1245.1769879005431</v>
      </c>
      <c r="H2202" t="s">
        <v>1755</v>
      </c>
      <c r="I2202" t="s">
        <v>5222</v>
      </c>
      <c r="M2202" t="s">
        <v>1757</v>
      </c>
    </row>
    <row r="2203" spans="1:13" x14ac:dyDescent="0.45">
      <c r="A2203" t="s">
        <v>5223</v>
      </c>
      <c r="B2203">
        <v>1</v>
      </c>
      <c r="C2203" t="s">
        <v>1774</v>
      </c>
      <c r="G2203" s="3">
        <v>1249.143049453578</v>
      </c>
      <c r="H2203" t="s">
        <v>1755</v>
      </c>
      <c r="I2203" t="s">
        <v>5223</v>
      </c>
      <c r="M2203" t="s">
        <v>1757</v>
      </c>
    </row>
    <row r="2204" spans="1:13" x14ac:dyDescent="0.45">
      <c r="A2204" t="s">
        <v>5224</v>
      </c>
      <c r="B2204">
        <v>1</v>
      </c>
      <c r="C2204" t="s">
        <v>1774</v>
      </c>
      <c r="G2204" s="3">
        <v>1812.040033936019</v>
      </c>
      <c r="H2204" t="s">
        <v>1755</v>
      </c>
      <c r="I2204" t="s">
        <v>5224</v>
      </c>
      <c r="M2204" t="s">
        <v>1757</v>
      </c>
    </row>
    <row r="2205" spans="1:13" x14ac:dyDescent="0.45">
      <c r="A2205" t="s">
        <v>5225</v>
      </c>
      <c r="B2205">
        <v>1</v>
      </c>
      <c r="C2205" t="s">
        <v>1774</v>
      </c>
      <c r="G2205" s="3">
        <v>6008.2244808334444</v>
      </c>
      <c r="H2205" t="s">
        <v>1755</v>
      </c>
      <c r="I2205" t="s">
        <v>5225</v>
      </c>
      <c r="M2205" t="s">
        <v>1757</v>
      </c>
    </row>
    <row r="2206" spans="1:13" x14ac:dyDescent="0.45">
      <c r="A2206" t="s">
        <v>5226</v>
      </c>
      <c r="B2206">
        <v>1</v>
      </c>
      <c r="C2206" t="s">
        <v>1774</v>
      </c>
      <c r="G2206" s="3">
        <v>2666.4392810027998</v>
      </c>
      <c r="H2206" t="s">
        <v>1755</v>
      </c>
      <c r="I2206" t="s">
        <v>5226</v>
      </c>
      <c r="M2206" t="s">
        <v>1757</v>
      </c>
    </row>
    <row r="2207" spans="1:13" x14ac:dyDescent="0.45">
      <c r="A2207" t="s">
        <v>5227</v>
      </c>
      <c r="B2207">
        <v>1</v>
      </c>
      <c r="C2207" t="s">
        <v>1774</v>
      </c>
      <c r="G2207" s="3">
        <v>2155.9393186005541</v>
      </c>
      <c r="H2207" t="s">
        <v>1755</v>
      </c>
      <c r="I2207" t="s">
        <v>5227</v>
      </c>
      <c r="M2207" t="s">
        <v>1757</v>
      </c>
    </row>
    <row r="2208" spans="1:13" x14ac:dyDescent="0.45">
      <c r="A2208" t="s">
        <v>5228</v>
      </c>
      <c r="B2208">
        <v>2</v>
      </c>
      <c r="C2208" t="s">
        <v>1774</v>
      </c>
      <c r="G2208" s="3">
        <v>1498.2580291898489</v>
      </c>
      <c r="H2208" t="s">
        <v>1755</v>
      </c>
      <c r="I2208" t="s">
        <v>5228</v>
      </c>
      <c r="M2208" t="s">
        <v>1757</v>
      </c>
    </row>
    <row r="2209" spans="1:13" x14ac:dyDescent="0.45">
      <c r="A2209" t="s">
        <v>5229</v>
      </c>
      <c r="B2209">
        <v>3</v>
      </c>
      <c r="C2209" t="s">
        <v>1774</v>
      </c>
      <c r="G2209" s="3">
        <v>1597.761816903673</v>
      </c>
      <c r="H2209" t="s">
        <v>1755</v>
      </c>
      <c r="I2209" t="s">
        <v>5229</v>
      </c>
      <c r="M2209" t="s">
        <v>1757</v>
      </c>
    </row>
    <row r="2210" spans="1:13" x14ac:dyDescent="0.45">
      <c r="A2210" t="s">
        <v>5230</v>
      </c>
      <c r="B2210">
        <v>1</v>
      </c>
      <c r="C2210" t="s">
        <v>1774</v>
      </c>
      <c r="G2210" s="3">
        <v>2173.2908378950842</v>
      </c>
      <c r="H2210" t="s">
        <v>1755</v>
      </c>
      <c r="I2210" t="s">
        <v>5230</v>
      </c>
      <c r="M2210" t="s">
        <v>1757</v>
      </c>
    </row>
    <row r="2211" spans="1:13" x14ac:dyDescent="0.45">
      <c r="A2211" t="s">
        <v>5231</v>
      </c>
      <c r="B2211">
        <v>1</v>
      </c>
      <c r="C2211" t="s">
        <v>1774</v>
      </c>
      <c r="G2211" s="3">
        <v>2603.5302388687951</v>
      </c>
      <c r="H2211" t="s">
        <v>1755</v>
      </c>
      <c r="I2211" t="s">
        <v>5231</v>
      </c>
      <c r="M2211" t="s">
        <v>1757</v>
      </c>
    </row>
    <row r="2212" spans="1:13" x14ac:dyDescent="0.45">
      <c r="A2212" t="s">
        <v>5232</v>
      </c>
      <c r="B2212">
        <v>1</v>
      </c>
      <c r="C2212" t="s">
        <v>1774</v>
      </c>
      <c r="G2212" s="3">
        <v>3153.283121329252</v>
      </c>
      <c r="H2212" t="s">
        <v>1755</v>
      </c>
      <c r="I2212" t="s">
        <v>5232</v>
      </c>
      <c r="M2212" t="s">
        <v>1757</v>
      </c>
    </row>
    <row r="2213" spans="1:13" x14ac:dyDescent="0.45">
      <c r="A2213" t="s">
        <v>5233</v>
      </c>
      <c r="B2213">
        <v>1</v>
      </c>
      <c r="C2213" t="s">
        <v>1774</v>
      </c>
      <c r="H2213" t="s">
        <v>1755</v>
      </c>
      <c r="I2213" t="s">
        <v>5233</v>
      </c>
      <c r="M2213" t="s">
        <v>1757</v>
      </c>
    </row>
    <row r="2214" spans="1:13" x14ac:dyDescent="0.45">
      <c r="A2214" t="s">
        <v>5234</v>
      </c>
      <c r="B2214">
        <v>1</v>
      </c>
      <c r="C2214" t="s">
        <v>1774</v>
      </c>
      <c r="G2214" s="3">
        <v>2928.013434367851</v>
      </c>
      <c r="H2214" t="s">
        <v>1755</v>
      </c>
      <c r="I2214" t="s">
        <v>5234</v>
      </c>
      <c r="M2214" t="s">
        <v>1757</v>
      </c>
    </row>
    <row r="2215" spans="1:13" x14ac:dyDescent="0.45">
      <c r="A2215" t="s">
        <v>5235</v>
      </c>
      <c r="B2215">
        <v>1</v>
      </c>
      <c r="C2215" t="s">
        <v>1774</v>
      </c>
      <c r="G2215" s="3">
        <v>1263.034049580534</v>
      </c>
      <c r="H2215" t="s">
        <v>1755</v>
      </c>
      <c r="I2215" t="s">
        <v>5235</v>
      </c>
      <c r="M2215" t="s">
        <v>1757</v>
      </c>
    </row>
    <row r="2216" spans="1:13" x14ac:dyDescent="0.45">
      <c r="A2216" t="s">
        <v>5236</v>
      </c>
      <c r="B2216">
        <v>1</v>
      </c>
      <c r="C2216" t="s">
        <v>1774</v>
      </c>
      <c r="G2216" s="3">
        <v>1687.1808494184961</v>
      </c>
      <c r="H2216" t="s">
        <v>1755</v>
      </c>
      <c r="I2216" t="s">
        <v>5236</v>
      </c>
      <c r="M2216" t="s">
        <v>1757</v>
      </c>
    </row>
    <row r="2217" spans="1:13" x14ac:dyDescent="0.45">
      <c r="A2217" t="s">
        <v>5237</v>
      </c>
      <c r="B2217">
        <v>1</v>
      </c>
      <c r="C2217" t="s">
        <v>1774</v>
      </c>
      <c r="G2217" s="3">
        <v>3670.2377184465131</v>
      </c>
      <c r="H2217" t="s">
        <v>1755</v>
      </c>
      <c r="I2217" t="s">
        <v>5237</v>
      </c>
      <c r="M2217" t="s">
        <v>1757</v>
      </c>
    </row>
    <row r="2218" spans="1:13" x14ac:dyDescent="0.45">
      <c r="A2218" t="s">
        <v>5238</v>
      </c>
      <c r="B2218">
        <v>1</v>
      </c>
      <c r="C2218" t="s">
        <v>1774</v>
      </c>
      <c r="G2218" s="3">
        <v>2440.7129751125972</v>
      </c>
      <c r="H2218" t="s">
        <v>1755</v>
      </c>
      <c r="I2218" t="s">
        <v>5238</v>
      </c>
      <c r="M2218" t="s">
        <v>1757</v>
      </c>
    </row>
    <row r="2219" spans="1:13" x14ac:dyDescent="0.45">
      <c r="A2219" t="s">
        <v>5239</v>
      </c>
      <c r="B2219">
        <v>5</v>
      </c>
      <c r="C2219" t="s">
        <v>1774</v>
      </c>
      <c r="G2219" s="3">
        <v>2985.0223076289608</v>
      </c>
      <c r="H2219" t="s">
        <v>1755</v>
      </c>
      <c r="I2219" t="s">
        <v>5239</v>
      </c>
      <c r="M2219" t="s">
        <v>1757</v>
      </c>
    </row>
    <row r="2220" spans="1:13" x14ac:dyDescent="0.45">
      <c r="A2220" t="s">
        <v>5240</v>
      </c>
      <c r="B2220">
        <v>1</v>
      </c>
      <c r="C2220" t="s">
        <v>1774</v>
      </c>
      <c r="G2220" s="3">
        <v>798.95266285493449</v>
      </c>
      <c r="H2220" t="s">
        <v>1755</v>
      </c>
      <c r="I2220" t="s">
        <v>5240</v>
      </c>
      <c r="M2220" t="s">
        <v>1757</v>
      </c>
    </row>
    <row r="2221" spans="1:13" x14ac:dyDescent="0.45">
      <c r="A2221" t="s">
        <v>5241</v>
      </c>
      <c r="B2221">
        <v>1</v>
      </c>
      <c r="C2221" t="s">
        <v>1774</v>
      </c>
      <c r="G2221" s="3">
        <v>1359.0675334354521</v>
      </c>
      <c r="H2221" t="s">
        <v>1755</v>
      </c>
      <c r="I2221" t="s">
        <v>5241</v>
      </c>
      <c r="M2221" t="s">
        <v>1757</v>
      </c>
    </row>
    <row r="2222" spans="1:13" x14ac:dyDescent="0.45">
      <c r="A2222" t="s">
        <v>5242</v>
      </c>
      <c r="B2222">
        <v>4</v>
      </c>
      <c r="C2222" t="s">
        <v>1774</v>
      </c>
      <c r="G2222" s="3">
        <v>1301.7357653604031</v>
      </c>
      <c r="H2222" t="s">
        <v>1755</v>
      </c>
      <c r="I2222" t="s">
        <v>5242</v>
      </c>
      <c r="M2222" t="s">
        <v>1757</v>
      </c>
    </row>
    <row r="2223" spans="1:13" x14ac:dyDescent="0.45">
      <c r="A2223" t="s">
        <v>5243</v>
      </c>
      <c r="B2223">
        <v>1</v>
      </c>
      <c r="C2223" t="s">
        <v>1774</v>
      </c>
      <c r="G2223" s="3">
        <v>3006.4573047725048</v>
      </c>
      <c r="H2223" t="s">
        <v>1755</v>
      </c>
      <c r="I2223" t="s">
        <v>5243</v>
      </c>
      <c r="M2223" t="s">
        <v>1757</v>
      </c>
    </row>
    <row r="2224" spans="1:13" x14ac:dyDescent="0.45">
      <c r="A2224" t="s">
        <v>5244</v>
      </c>
      <c r="B2224">
        <v>1</v>
      </c>
      <c r="C2224" t="s">
        <v>1774</v>
      </c>
      <c r="G2224" s="3">
        <v>1092.917406091035</v>
      </c>
      <c r="H2224" t="s">
        <v>1755</v>
      </c>
      <c r="I2224" t="s">
        <v>5244</v>
      </c>
      <c r="M2224" t="s">
        <v>1757</v>
      </c>
    </row>
    <row r="2225" spans="1:13" x14ac:dyDescent="0.45">
      <c r="A2225" t="s">
        <v>5245</v>
      </c>
      <c r="B2225">
        <v>1</v>
      </c>
      <c r="C2225" t="s">
        <v>1774</v>
      </c>
      <c r="G2225" s="3">
        <v>2380.824141036248</v>
      </c>
      <c r="H2225" t="s">
        <v>1755</v>
      </c>
      <c r="I2225" t="s">
        <v>5245</v>
      </c>
      <c r="M2225" t="s">
        <v>1757</v>
      </c>
    </row>
    <row r="2226" spans="1:13" x14ac:dyDescent="0.45">
      <c r="A2226" t="s">
        <v>5246</v>
      </c>
      <c r="B2226">
        <v>1</v>
      </c>
      <c r="C2226" t="s">
        <v>1774</v>
      </c>
      <c r="G2226" s="3">
        <v>3039.633931513853</v>
      </c>
      <c r="H2226" t="s">
        <v>1755</v>
      </c>
      <c r="I2226" t="s">
        <v>5246</v>
      </c>
      <c r="M2226" t="s">
        <v>1757</v>
      </c>
    </row>
    <row r="2227" spans="1:13" x14ac:dyDescent="0.45">
      <c r="A2227" t="s">
        <v>5247</v>
      </c>
      <c r="B2227">
        <v>1</v>
      </c>
      <c r="C2227" t="s">
        <v>1774</v>
      </c>
      <c r="G2227" s="3">
        <v>2200.5607726359822</v>
      </c>
      <c r="H2227" t="s">
        <v>1755</v>
      </c>
      <c r="I2227" t="s">
        <v>5247</v>
      </c>
      <c r="M2227" t="s">
        <v>1757</v>
      </c>
    </row>
    <row r="2228" spans="1:13" x14ac:dyDescent="0.45">
      <c r="A2228" t="s">
        <v>5248</v>
      </c>
      <c r="B2228">
        <v>1</v>
      </c>
      <c r="C2228" t="s">
        <v>1774</v>
      </c>
      <c r="G2228" s="3">
        <v>2844.993589983831</v>
      </c>
      <c r="H2228" t="s">
        <v>1755</v>
      </c>
      <c r="I2228" t="s">
        <v>5248</v>
      </c>
      <c r="M2228" t="s">
        <v>1757</v>
      </c>
    </row>
    <row r="2229" spans="1:13" x14ac:dyDescent="0.45">
      <c r="A2229" t="s">
        <v>5249</v>
      </c>
      <c r="B2229">
        <v>1</v>
      </c>
      <c r="C2229" t="s">
        <v>1774</v>
      </c>
      <c r="G2229" s="3">
        <v>2619.2053143818621</v>
      </c>
      <c r="H2229" t="s">
        <v>1755</v>
      </c>
      <c r="I2229" t="s">
        <v>5249</v>
      </c>
      <c r="M2229" t="s">
        <v>1757</v>
      </c>
    </row>
    <row r="2230" spans="1:13" x14ac:dyDescent="0.45">
      <c r="A2230" t="s">
        <v>5250</v>
      </c>
      <c r="B2230">
        <v>2</v>
      </c>
      <c r="C2230" t="s">
        <v>1774</v>
      </c>
      <c r="G2230" s="3">
        <v>957.26570703486459</v>
      </c>
      <c r="H2230" t="s">
        <v>1755</v>
      </c>
      <c r="I2230" t="s">
        <v>5250</v>
      </c>
      <c r="M2230" t="s">
        <v>1757</v>
      </c>
    </row>
    <row r="2231" spans="1:13" x14ac:dyDescent="0.45">
      <c r="A2231" t="s">
        <v>5251</v>
      </c>
      <c r="B2231">
        <v>1</v>
      </c>
      <c r="C2231" t="s">
        <v>1774</v>
      </c>
      <c r="G2231" s="3">
        <v>3845.4163089181761</v>
      </c>
      <c r="H2231" t="s">
        <v>1755</v>
      </c>
      <c r="I2231" t="s">
        <v>5251</v>
      </c>
      <c r="M2231" t="s">
        <v>1757</v>
      </c>
    </row>
    <row r="2232" spans="1:13" x14ac:dyDescent="0.45">
      <c r="A2232" t="s">
        <v>5252</v>
      </c>
      <c r="B2232">
        <v>1</v>
      </c>
      <c r="C2232" t="s">
        <v>1774</v>
      </c>
      <c r="G2232" s="3">
        <v>4774.0161319155159</v>
      </c>
      <c r="H2232" t="s">
        <v>1755</v>
      </c>
      <c r="I2232" t="s">
        <v>5252</v>
      </c>
      <c r="M2232" t="s">
        <v>1757</v>
      </c>
    </row>
    <row r="2233" spans="1:13" x14ac:dyDescent="0.45">
      <c r="A2233" t="s">
        <v>5253</v>
      </c>
      <c r="B2233">
        <v>1</v>
      </c>
      <c r="C2233" t="s">
        <v>1774</v>
      </c>
      <c r="G2233" s="3">
        <v>2508.4556547643642</v>
      </c>
      <c r="H2233" t="s">
        <v>1755</v>
      </c>
      <c r="I2233" t="s">
        <v>5253</v>
      </c>
      <c r="M2233" t="s">
        <v>1757</v>
      </c>
    </row>
    <row r="2234" spans="1:13" x14ac:dyDescent="0.45">
      <c r="A2234" t="s">
        <v>5254</v>
      </c>
      <c r="B2234">
        <v>1</v>
      </c>
      <c r="C2234" t="s">
        <v>1774</v>
      </c>
      <c r="G2234" s="3">
        <v>2258.9395026835009</v>
      </c>
      <c r="H2234" t="s">
        <v>1755</v>
      </c>
      <c r="I2234" t="s">
        <v>5254</v>
      </c>
      <c r="M2234" t="s">
        <v>1757</v>
      </c>
    </row>
    <row r="2235" spans="1:13" x14ac:dyDescent="0.45">
      <c r="A2235" t="s">
        <v>5255</v>
      </c>
      <c r="B2235">
        <v>1</v>
      </c>
      <c r="C2235" t="s">
        <v>1774</v>
      </c>
      <c r="G2235" s="3">
        <v>3088.2018777196531</v>
      </c>
      <c r="H2235" t="s">
        <v>1755</v>
      </c>
      <c r="I2235" t="s">
        <v>5255</v>
      </c>
      <c r="M2235" t="s">
        <v>1757</v>
      </c>
    </row>
    <row r="2236" spans="1:13" x14ac:dyDescent="0.45">
      <c r="A2236" t="s">
        <v>5256</v>
      </c>
      <c r="B2236">
        <v>1</v>
      </c>
      <c r="C2236" t="s">
        <v>1774</v>
      </c>
      <c r="G2236" s="3">
        <v>6566.4085056578788</v>
      </c>
      <c r="H2236" t="s">
        <v>1755</v>
      </c>
      <c r="I2236" t="s">
        <v>5256</v>
      </c>
      <c r="M2236" t="s">
        <v>1757</v>
      </c>
    </row>
    <row r="2237" spans="1:13" x14ac:dyDescent="0.45">
      <c r="A2237" t="s">
        <v>5257</v>
      </c>
      <c r="B2237">
        <v>1</v>
      </c>
      <c r="C2237" t="s">
        <v>1774</v>
      </c>
      <c r="G2237" s="3">
        <v>3080.6774500857268</v>
      </c>
      <c r="H2237" t="s">
        <v>1755</v>
      </c>
      <c r="I2237" t="s">
        <v>5257</v>
      </c>
      <c r="M2237" t="s">
        <v>1757</v>
      </c>
    </row>
    <row r="2238" spans="1:13" x14ac:dyDescent="0.45">
      <c r="A2238" t="s">
        <v>5258</v>
      </c>
      <c r="B2238">
        <v>1</v>
      </c>
      <c r="C2238" t="s">
        <v>1774</v>
      </c>
      <c r="G2238" s="3">
        <v>4501.4798626954052</v>
      </c>
      <c r="H2238" t="s">
        <v>1755</v>
      </c>
      <c r="I2238" t="s">
        <v>5258</v>
      </c>
      <c r="M2238" t="s">
        <v>1757</v>
      </c>
    </row>
    <row r="2239" spans="1:13" x14ac:dyDescent="0.45">
      <c r="A2239" t="s">
        <v>5259</v>
      </c>
      <c r="B2239">
        <v>1</v>
      </c>
      <c r="C2239" t="s">
        <v>1774</v>
      </c>
      <c r="G2239" s="3">
        <v>1062.4120000831881</v>
      </c>
      <c r="H2239" t="s">
        <v>1755</v>
      </c>
      <c r="I2239" t="s">
        <v>5259</v>
      </c>
      <c r="M2239" t="s">
        <v>1757</v>
      </c>
    </row>
    <row r="2240" spans="1:13" x14ac:dyDescent="0.45">
      <c r="A2240" t="s">
        <v>5260</v>
      </c>
      <c r="B2240">
        <v>1</v>
      </c>
      <c r="C2240" t="s">
        <v>1774</v>
      </c>
      <c r="G2240" s="3">
        <v>2005.2974724245209</v>
      </c>
      <c r="H2240" t="s">
        <v>1755</v>
      </c>
      <c r="I2240" t="s">
        <v>5260</v>
      </c>
      <c r="M2240" t="s">
        <v>1757</v>
      </c>
    </row>
    <row r="2241" spans="1:13" x14ac:dyDescent="0.45">
      <c r="A2241" t="s">
        <v>5261</v>
      </c>
      <c r="B2241">
        <v>2</v>
      </c>
      <c r="C2241" t="s">
        <v>1774</v>
      </c>
      <c r="G2241" s="3">
        <v>1446.448088589545</v>
      </c>
      <c r="H2241" t="s">
        <v>1755</v>
      </c>
      <c r="I2241" t="s">
        <v>5261</v>
      </c>
      <c r="M2241" t="s">
        <v>1757</v>
      </c>
    </row>
    <row r="2242" spans="1:13" x14ac:dyDescent="0.45">
      <c r="A2242" t="s">
        <v>5262</v>
      </c>
      <c r="B2242">
        <v>1</v>
      </c>
      <c r="C2242" t="s">
        <v>1774</v>
      </c>
      <c r="G2242" s="3">
        <v>1638.9260133353041</v>
      </c>
      <c r="H2242" t="s">
        <v>1755</v>
      </c>
      <c r="I2242" t="s">
        <v>5262</v>
      </c>
      <c r="M2242" t="s">
        <v>1757</v>
      </c>
    </row>
    <row r="2243" spans="1:13" x14ac:dyDescent="0.45">
      <c r="A2243" t="s">
        <v>5263</v>
      </c>
      <c r="B2243">
        <v>1</v>
      </c>
      <c r="C2243" t="s">
        <v>1774</v>
      </c>
      <c r="G2243" s="3">
        <v>2736.699887890542</v>
      </c>
      <c r="H2243" t="s">
        <v>1755</v>
      </c>
      <c r="I2243" t="s">
        <v>5263</v>
      </c>
      <c r="M2243" t="s">
        <v>1757</v>
      </c>
    </row>
    <row r="2244" spans="1:13" x14ac:dyDescent="0.45">
      <c r="A2244" t="s">
        <v>5264</v>
      </c>
      <c r="B2244">
        <v>1</v>
      </c>
      <c r="C2244" t="s">
        <v>1774</v>
      </c>
      <c r="G2244" s="3">
        <v>6721.1697068844724</v>
      </c>
      <c r="H2244" t="s">
        <v>1755</v>
      </c>
      <c r="I2244" t="s">
        <v>5264</v>
      </c>
      <c r="M2244" t="s">
        <v>1757</v>
      </c>
    </row>
    <row r="2245" spans="1:13" x14ac:dyDescent="0.45">
      <c r="A2245" t="s">
        <v>5265</v>
      </c>
      <c r="B2245">
        <v>1</v>
      </c>
      <c r="C2245" t="s">
        <v>1774</v>
      </c>
      <c r="G2245" s="3">
        <v>2011.396596687825</v>
      </c>
      <c r="H2245" t="s">
        <v>1755</v>
      </c>
      <c r="I2245" t="s">
        <v>5265</v>
      </c>
      <c r="M2245" t="s">
        <v>1757</v>
      </c>
    </row>
    <row r="2246" spans="1:13" x14ac:dyDescent="0.45">
      <c r="A2246" t="s">
        <v>5266</v>
      </c>
      <c r="B2246">
        <v>1</v>
      </c>
      <c r="C2246" t="s">
        <v>1774</v>
      </c>
      <c r="G2246" s="3">
        <v>2964.1254685086492</v>
      </c>
      <c r="H2246" t="s">
        <v>1755</v>
      </c>
      <c r="I2246" t="s">
        <v>5266</v>
      </c>
      <c r="M2246" t="s">
        <v>1757</v>
      </c>
    </row>
    <row r="2247" spans="1:13" x14ac:dyDescent="0.45">
      <c r="A2247" t="s">
        <v>5267</v>
      </c>
      <c r="B2247">
        <v>1</v>
      </c>
      <c r="C2247" t="s">
        <v>1774</v>
      </c>
      <c r="G2247" s="3">
        <v>2054.5568701510811</v>
      </c>
      <c r="H2247" t="s">
        <v>1755</v>
      </c>
      <c r="I2247" t="s">
        <v>5267</v>
      </c>
      <c r="M2247" t="s">
        <v>1757</v>
      </c>
    </row>
    <row r="2248" spans="1:13" x14ac:dyDescent="0.45">
      <c r="A2248" t="s">
        <v>5268</v>
      </c>
      <c r="B2248">
        <v>1</v>
      </c>
      <c r="C2248" t="s">
        <v>1774</v>
      </c>
      <c r="G2248" s="3">
        <v>1521.7999965334441</v>
      </c>
      <c r="H2248" t="s">
        <v>1755</v>
      </c>
      <c r="I2248" t="s">
        <v>5268</v>
      </c>
      <c r="M2248" t="s">
        <v>1757</v>
      </c>
    </row>
    <row r="2249" spans="1:13" x14ac:dyDescent="0.45">
      <c r="A2249" t="s">
        <v>5269</v>
      </c>
      <c r="B2249">
        <v>1</v>
      </c>
      <c r="C2249" t="s">
        <v>1774</v>
      </c>
      <c r="G2249" s="3">
        <v>3933.804687279413</v>
      </c>
      <c r="H2249" t="s">
        <v>1755</v>
      </c>
      <c r="I2249" t="s">
        <v>5269</v>
      </c>
      <c r="M2249" t="s">
        <v>1757</v>
      </c>
    </row>
    <row r="2250" spans="1:13" x14ac:dyDescent="0.45">
      <c r="A2250" t="s">
        <v>5270</v>
      </c>
      <c r="B2250">
        <v>1</v>
      </c>
      <c r="C2250" t="s">
        <v>1774</v>
      </c>
      <c r="G2250" s="3">
        <v>2988.613289347622</v>
      </c>
      <c r="H2250" t="s">
        <v>1755</v>
      </c>
      <c r="I2250" t="s">
        <v>5270</v>
      </c>
      <c r="M2250" t="s">
        <v>1757</v>
      </c>
    </row>
    <row r="2251" spans="1:13" x14ac:dyDescent="0.45">
      <c r="A2251" t="s">
        <v>5271</v>
      </c>
      <c r="B2251">
        <v>1</v>
      </c>
      <c r="C2251" t="s">
        <v>1774</v>
      </c>
      <c r="G2251" s="3">
        <v>3083.6585193780579</v>
      </c>
      <c r="H2251" t="s">
        <v>1755</v>
      </c>
      <c r="I2251" t="s">
        <v>5271</v>
      </c>
      <c r="M2251" t="s">
        <v>1757</v>
      </c>
    </row>
    <row r="2252" spans="1:13" x14ac:dyDescent="0.45">
      <c r="A2252" t="s">
        <v>5272</v>
      </c>
      <c r="B2252">
        <v>3</v>
      </c>
      <c r="C2252" t="s">
        <v>1774</v>
      </c>
      <c r="G2252" s="3">
        <v>2523.5142947235458</v>
      </c>
      <c r="H2252" t="s">
        <v>1755</v>
      </c>
      <c r="I2252" t="s">
        <v>5272</v>
      </c>
      <c r="M2252" t="s">
        <v>1757</v>
      </c>
    </row>
    <row r="2253" spans="1:13" x14ac:dyDescent="0.45">
      <c r="A2253" t="s">
        <v>5273</v>
      </c>
      <c r="B2253">
        <v>1</v>
      </c>
      <c r="C2253" t="s">
        <v>1774</v>
      </c>
      <c r="G2253" s="3">
        <v>2997.3608033979849</v>
      </c>
      <c r="H2253" t="s">
        <v>1755</v>
      </c>
      <c r="I2253" t="s">
        <v>5273</v>
      </c>
      <c r="M2253" t="s">
        <v>1757</v>
      </c>
    </row>
    <row r="2254" spans="1:13" x14ac:dyDescent="0.45">
      <c r="A2254" t="s">
        <v>5274</v>
      </c>
      <c r="B2254">
        <v>1</v>
      </c>
      <c r="C2254" t="s">
        <v>1774</v>
      </c>
      <c r="G2254" s="3">
        <v>2202.5438034124991</v>
      </c>
      <c r="H2254" t="s">
        <v>1755</v>
      </c>
      <c r="I2254" t="s">
        <v>5274</v>
      </c>
      <c r="M2254" t="s">
        <v>1757</v>
      </c>
    </row>
    <row r="2255" spans="1:13" x14ac:dyDescent="0.45">
      <c r="A2255" t="s">
        <v>5275</v>
      </c>
      <c r="B2255">
        <v>1</v>
      </c>
      <c r="C2255" t="s">
        <v>1774</v>
      </c>
      <c r="G2255" s="3">
        <v>3087.4027945942471</v>
      </c>
      <c r="H2255" t="s">
        <v>1755</v>
      </c>
      <c r="I2255" t="s">
        <v>5275</v>
      </c>
      <c r="M2255" t="s">
        <v>1757</v>
      </c>
    </row>
    <row r="2256" spans="1:13" x14ac:dyDescent="0.45">
      <c r="A2256" t="s">
        <v>5276</v>
      </c>
      <c r="B2256">
        <v>1</v>
      </c>
      <c r="C2256" t="s">
        <v>1774</v>
      </c>
      <c r="G2256" s="3">
        <v>4746.7494587383953</v>
      </c>
      <c r="H2256" t="s">
        <v>1755</v>
      </c>
      <c r="I2256" t="s">
        <v>5276</v>
      </c>
      <c r="M2256" t="s">
        <v>1757</v>
      </c>
    </row>
    <row r="2257" spans="1:13" x14ac:dyDescent="0.45">
      <c r="A2257" t="s">
        <v>5277</v>
      </c>
      <c r="B2257">
        <v>1</v>
      </c>
      <c r="C2257" t="s">
        <v>1774</v>
      </c>
      <c r="G2257" s="3">
        <v>4514.5261178040746</v>
      </c>
      <c r="H2257" t="s">
        <v>1755</v>
      </c>
      <c r="I2257" t="s">
        <v>5277</v>
      </c>
      <c r="M2257" t="s">
        <v>1757</v>
      </c>
    </row>
    <row r="2258" spans="1:13" x14ac:dyDescent="0.45">
      <c r="A2258" t="s">
        <v>5278</v>
      </c>
      <c r="B2258">
        <v>1</v>
      </c>
      <c r="C2258" t="s">
        <v>1774</v>
      </c>
      <c r="G2258" s="3">
        <v>4066.9091050256161</v>
      </c>
      <c r="H2258" t="s">
        <v>1755</v>
      </c>
      <c r="I2258" t="s">
        <v>5278</v>
      </c>
      <c r="M2258" t="s">
        <v>1757</v>
      </c>
    </row>
    <row r="2259" spans="1:13" x14ac:dyDescent="0.45">
      <c r="A2259" t="s">
        <v>5279</v>
      </c>
      <c r="B2259">
        <v>1</v>
      </c>
      <c r="C2259" t="s">
        <v>1774</v>
      </c>
      <c r="G2259" s="3">
        <v>1503.287360534242</v>
      </c>
      <c r="H2259" t="s">
        <v>1755</v>
      </c>
      <c r="I2259" t="s">
        <v>5279</v>
      </c>
      <c r="M2259" t="s">
        <v>1757</v>
      </c>
    </row>
    <row r="2260" spans="1:13" x14ac:dyDescent="0.45">
      <c r="A2260" t="s">
        <v>5280</v>
      </c>
      <c r="B2260">
        <v>1</v>
      </c>
      <c r="C2260" t="s">
        <v>1774</v>
      </c>
      <c r="G2260" s="3">
        <v>1663.4921117049289</v>
      </c>
      <c r="H2260" t="s">
        <v>1755</v>
      </c>
      <c r="I2260" t="s">
        <v>5280</v>
      </c>
      <c r="M2260" t="s">
        <v>1757</v>
      </c>
    </row>
    <row r="2261" spans="1:13" x14ac:dyDescent="0.45">
      <c r="A2261" t="s">
        <v>5281</v>
      </c>
      <c r="B2261">
        <v>1</v>
      </c>
      <c r="C2261" t="s">
        <v>1774</v>
      </c>
      <c r="G2261" s="3">
        <v>3470.4669370950069</v>
      </c>
      <c r="H2261" t="s">
        <v>1755</v>
      </c>
      <c r="I2261" t="s">
        <v>5281</v>
      </c>
      <c r="M2261" t="s">
        <v>1757</v>
      </c>
    </row>
    <row r="2262" spans="1:13" x14ac:dyDescent="0.45">
      <c r="A2262" t="s">
        <v>5282</v>
      </c>
      <c r="B2262">
        <v>1</v>
      </c>
      <c r="C2262" t="s">
        <v>1774</v>
      </c>
      <c r="H2262" t="s">
        <v>1755</v>
      </c>
      <c r="I2262" t="s">
        <v>5282</v>
      </c>
      <c r="M2262" t="s">
        <v>1757</v>
      </c>
    </row>
    <row r="2263" spans="1:13" x14ac:dyDescent="0.45">
      <c r="A2263" t="s">
        <v>5283</v>
      </c>
      <c r="B2263">
        <v>3</v>
      </c>
      <c r="C2263" t="s">
        <v>1774</v>
      </c>
      <c r="G2263" s="3">
        <v>1027.9698865963001</v>
      </c>
      <c r="H2263" t="s">
        <v>1755</v>
      </c>
      <c r="I2263" t="s">
        <v>5283</v>
      </c>
      <c r="M2263" t="s">
        <v>1757</v>
      </c>
    </row>
    <row r="2264" spans="1:13" x14ac:dyDescent="0.45">
      <c r="A2264" t="s">
        <v>5284</v>
      </c>
      <c r="B2264">
        <v>1</v>
      </c>
      <c r="C2264" t="s">
        <v>1774</v>
      </c>
      <c r="G2264" s="3">
        <v>3268.1521359973108</v>
      </c>
      <c r="H2264" t="s">
        <v>1755</v>
      </c>
      <c r="I2264" t="s">
        <v>5284</v>
      </c>
      <c r="M2264" t="s">
        <v>1757</v>
      </c>
    </row>
    <row r="2265" spans="1:13" x14ac:dyDescent="0.45">
      <c r="A2265" t="s">
        <v>5285</v>
      </c>
      <c r="B2265">
        <v>1</v>
      </c>
      <c r="C2265" t="s">
        <v>1774</v>
      </c>
      <c r="G2265" s="3">
        <v>1608.5217158045491</v>
      </c>
      <c r="H2265" t="s">
        <v>1755</v>
      </c>
      <c r="I2265" t="s">
        <v>5285</v>
      </c>
      <c r="M2265" t="s">
        <v>1757</v>
      </c>
    </row>
    <row r="2266" spans="1:13" x14ac:dyDescent="0.45">
      <c r="A2266" t="s">
        <v>5286</v>
      </c>
      <c r="B2266">
        <v>1</v>
      </c>
      <c r="C2266" t="s">
        <v>1774</v>
      </c>
      <c r="G2266" s="3">
        <v>257.30672331900507</v>
      </c>
      <c r="H2266" t="s">
        <v>1755</v>
      </c>
      <c r="I2266" t="s">
        <v>5286</v>
      </c>
      <c r="M2266" t="s">
        <v>1757</v>
      </c>
    </row>
    <row r="2267" spans="1:13" x14ac:dyDescent="0.45">
      <c r="A2267" t="s">
        <v>5287</v>
      </c>
      <c r="B2267">
        <v>1</v>
      </c>
      <c r="C2267" t="s">
        <v>1774</v>
      </c>
      <c r="G2267" s="3">
        <v>1317.4532412025731</v>
      </c>
      <c r="H2267" t="s">
        <v>1755</v>
      </c>
      <c r="I2267" t="s">
        <v>5287</v>
      </c>
      <c r="M2267" t="s">
        <v>1757</v>
      </c>
    </row>
    <row r="2268" spans="1:13" x14ac:dyDescent="0.45">
      <c r="A2268" t="s">
        <v>5288</v>
      </c>
      <c r="B2268">
        <v>1</v>
      </c>
      <c r="C2268" t="s">
        <v>1774</v>
      </c>
      <c r="G2268" s="3">
        <v>4619.385393240007</v>
      </c>
      <c r="H2268" t="s">
        <v>1755</v>
      </c>
      <c r="I2268" t="s">
        <v>5288</v>
      </c>
      <c r="M2268" t="s">
        <v>1757</v>
      </c>
    </row>
    <row r="2269" spans="1:13" x14ac:dyDescent="0.45">
      <c r="A2269" t="s">
        <v>5289</v>
      </c>
      <c r="B2269">
        <v>1</v>
      </c>
      <c r="C2269" t="s">
        <v>1774</v>
      </c>
      <c r="G2269" s="3">
        <v>3080.4328328024399</v>
      </c>
      <c r="H2269" t="s">
        <v>1755</v>
      </c>
      <c r="I2269" t="s">
        <v>5289</v>
      </c>
      <c r="M2269" t="s">
        <v>1757</v>
      </c>
    </row>
    <row r="2270" spans="1:13" x14ac:dyDescent="0.45">
      <c r="A2270" t="s">
        <v>5290</v>
      </c>
      <c r="B2270">
        <v>1</v>
      </c>
      <c r="C2270" t="s">
        <v>1774</v>
      </c>
      <c r="G2270" s="3">
        <v>1802.1770650738649</v>
      </c>
      <c r="H2270" t="s">
        <v>1755</v>
      </c>
      <c r="I2270" t="s">
        <v>5290</v>
      </c>
      <c r="M2270" t="s">
        <v>1757</v>
      </c>
    </row>
    <row r="2271" spans="1:13" x14ac:dyDescent="0.45">
      <c r="A2271" t="s">
        <v>5291</v>
      </c>
      <c r="B2271">
        <v>1</v>
      </c>
      <c r="C2271" t="s">
        <v>1774</v>
      </c>
      <c r="G2271" s="3">
        <v>3347.929985986827</v>
      </c>
      <c r="H2271" t="s">
        <v>1755</v>
      </c>
      <c r="I2271" t="s">
        <v>5291</v>
      </c>
      <c r="M2271" t="s">
        <v>1757</v>
      </c>
    </row>
    <row r="2272" spans="1:13" x14ac:dyDescent="0.45">
      <c r="A2272" t="s">
        <v>5292</v>
      </c>
      <c r="B2272">
        <v>1</v>
      </c>
      <c r="C2272" t="s">
        <v>1774</v>
      </c>
      <c r="G2272" s="3">
        <v>3014.1448105952891</v>
      </c>
      <c r="H2272" t="s">
        <v>1755</v>
      </c>
      <c r="I2272" t="s">
        <v>5292</v>
      </c>
      <c r="M2272" t="s">
        <v>1757</v>
      </c>
    </row>
    <row r="2273" spans="1:13" x14ac:dyDescent="0.45">
      <c r="A2273" t="s">
        <v>5293</v>
      </c>
      <c r="B2273">
        <v>1</v>
      </c>
      <c r="C2273" t="s">
        <v>1774</v>
      </c>
      <c r="G2273" s="3">
        <v>4935.2026137831299</v>
      </c>
      <c r="H2273" t="s">
        <v>1755</v>
      </c>
      <c r="I2273" t="s">
        <v>5293</v>
      </c>
      <c r="M2273" t="s">
        <v>1757</v>
      </c>
    </row>
    <row r="2274" spans="1:13" x14ac:dyDescent="0.45">
      <c r="A2274" t="s">
        <v>5294</v>
      </c>
      <c r="B2274">
        <v>2</v>
      </c>
      <c r="C2274" t="s">
        <v>1774</v>
      </c>
      <c r="G2274" s="3">
        <v>1218.989892333665</v>
      </c>
      <c r="H2274" t="s">
        <v>1755</v>
      </c>
      <c r="I2274" t="s">
        <v>5294</v>
      </c>
      <c r="M2274" t="s">
        <v>1757</v>
      </c>
    </row>
    <row r="2275" spans="1:13" x14ac:dyDescent="0.45">
      <c r="A2275" t="s">
        <v>5295</v>
      </c>
      <c r="B2275">
        <v>1</v>
      </c>
      <c r="C2275" t="s">
        <v>1774</v>
      </c>
      <c r="G2275" s="3">
        <v>2515.16142989022</v>
      </c>
      <c r="H2275" t="s">
        <v>1755</v>
      </c>
      <c r="I2275" t="s">
        <v>5295</v>
      </c>
      <c r="M2275" t="s">
        <v>1757</v>
      </c>
    </row>
    <row r="2276" spans="1:13" x14ac:dyDescent="0.45">
      <c r="A2276" t="s">
        <v>5296</v>
      </c>
      <c r="B2276">
        <v>1</v>
      </c>
      <c r="C2276" t="s">
        <v>1774</v>
      </c>
      <c r="G2276" s="3">
        <v>4630.050706791345</v>
      </c>
      <c r="H2276" t="s">
        <v>1755</v>
      </c>
      <c r="I2276" t="s">
        <v>5296</v>
      </c>
      <c r="M2276" t="s">
        <v>1757</v>
      </c>
    </row>
    <row r="2277" spans="1:13" x14ac:dyDescent="0.45">
      <c r="A2277" t="s">
        <v>5297</v>
      </c>
      <c r="B2277">
        <v>1</v>
      </c>
      <c r="C2277" t="s">
        <v>1774</v>
      </c>
      <c r="G2277" s="3">
        <v>5347.2359657526922</v>
      </c>
      <c r="H2277" t="s">
        <v>1755</v>
      </c>
      <c r="I2277" t="s">
        <v>5297</v>
      </c>
      <c r="M2277" t="s">
        <v>1757</v>
      </c>
    </row>
    <row r="2278" spans="1:13" x14ac:dyDescent="0.45">
      <c r="A2278" t="s">
        <v>5298</v>
      </c>
      <c r="B2278">
        <v>1</v>
      </c>
      <c r="C2278" t="s">
        <v>1774</v>
      </c>
      <c r="G2278" s="3">
        <v>2081.6898192133372</v>
      </c>
      <c r="H2278" t="s">
        <v>1755</v>
      </c>
      <c r="I2278" t="s">
        <v>5298</v>
      </c>
      <c r="M2278" t="s">
        <v>1757</v>
      </c>
    </row>
    <row r="2279" spans="1:13" x14ac:dyDescent="0.45">
      <c r="A2279" t="s">
        <v>5299</v>
      </c>
      <c r="B2279">
        <v>1</v>
      </c>
      <c r="C2279" t="s">
        <v>1774</v>
      </c>
      <c r="G2279" s="3">
        <v>3186.1172838739958</v>
      </c>
      <c r="H2279" t="s">
        <v>1755</v>
      </c>
      <c r="I2279" t="s">
        <v>5299</v>
      </c>
      <c r="M2279" t="s">
        <v>1757</v>
      </c>
    </row>
    <row r="2280" spans="1:13" x14ac:dyDescent="0.45">
      <c r="A2280" t="s">
        <v>5300</v>
      </c>
      <c r="B2280">
        <v>1</v>
      </c>
      <c r="C2280" t="s">
        <v>1774</v>
      </c>
      <c r="G2280" s="3">
        <v>2756.0931461095788</v>
      </c>
      <c r="H2280" t="s">
        <v>1755</v>
      </c>
      <c r="I2280" t="s">
        <v>5300</v>
      </c>
      <c r="M2280" t="s">
        <v>1757</v>
      </c>
    </row>
    <row r="2281" spans="1:13" x14ac:dyDescent="0.45">
      <c r="A2281" t="s">
        <v>5301</v>
      </c>
      <c r="B2281">
        <v>1</v>
      </c>
      <c r="C2281" t="s">
        <v>1774</v>
      </c>
      <c r="G2281" s="3">
        <v>7000.0660254700606</v>
      </c>
      <c r="H2281" t="s">
        <v>1755</v>
      </c>
      <c r="I2281" t="s">
        <v>5301</v>
      </c>
      <c r="M2281" t="s">
        <v>1757</v>
      </c>
    </row>
    <row r="2282" spans="1:13" x14ac:dyDescent="0.45">
      <c r="A2282" t="s">
        <v>5302</v>
      </c>
      <c r="B2282">
        <v>1</v>
      </c>
      <c r="C2282" t="s">
        <v>1774</v>
      </c>
      <c r="G2282" s="3">
        <v>3982.5324501102941</v>
      </c>
      <c r="H2282" t="s">
        <v>1755</v>
      </c>
      <c r="I2282" t="s">
        <v>5302</v>
      </c>
      <c r="M2282" t="s">
        <v>1757</v>
      </c>
    </row>
    <row r="2283" spans="1:13" x14ac:dyDescent="0.45">
      <c r="A2283" t="s">
        <v>5303</v>
      </c>
      <c r="B2283">
        <v>1</v>
      </c>
      <c r="C2283" t="s">
        <v>1774</v>
      </c>
      <c r="G2283" s="3">
        <v>2021.719446042559</v>
      </c>
      <c r="H2283" t="s">
        <v>1755</v>
      </c>
      <c r="I2283" t="s">
        <v>5303</v>
      </c>
      <c r="M2283" t="s">
        <v>1757</v>
      </c>
    </row>
    <row r="2284" spans="1:13" x14ac:dyDescent="0.45">
      <c r="A2284" t="s">
        <v>5304</v>
      </c>
      <c r="B2284">
        <v>1</v>
      </c>
      <c r="C2284" t="s">
        <v>1774</v>
      </c>
      <c r="G2284" s="3">
        <v>4332.0090088337847</v>
      </c>
      <c r="H2284" t="s">
        <v>1755</v>
      </c>
      <c r="I2284" t="s">
        <v>5304</v>
      </c>
      <c r="M2284" t="s">
        <v>1757</v>
      </c>
    </row>
    <row r="2285" spans="1:13" x14ac:dyDescent="0.45">
      <c r="A2285" t="s">
        <v>5305</v>
      </c>
      <c r="B2285">
        <v>1</v>
      </c>
      <c r="C2285" t="s">
        <v>1774</v>
      </c>
      <c r="G2285" s="3">
        <v>244.8951685213722</v>
      </c>
      <c r="H2285" t="s">
        <v>1755</v>
      </c>
      <c r="I2285" t="s">
        <v>5305</v>
      </c>
      <c r="M2285" t="s">
        <v>1757</v>
      </c>
    </row>
    <row r="2286" spans="1:13" x14ac:dyDescent="0.45">
      <c r="A2286" t="s">
        <v>5306</v>
      </c>
      <c r="B2286">
        <v>3</v>
      </c>
      <c r="C2286" t="s">
        <v>1774</v>
      </c>
      <c r="G2286" s="3">
        <v>3056.1276595349882</v>
      </c>
      <c r="H2286" t="s">
        <v>1755</v>
      </c>
      <c r="I2286" t="s">
        <v>5306</v>
      </c>
      <c r="M2286" t="s">
        <v>1757</v>
      </c>
    </row>
    <row r="2287" spans="1:13" x14ac:dyDescent="0.45">
      <c r="A2287" t="s">
        <v>5307</v>
      </c>
      <c r="B2287">
        <v>2</v>
      </c>
      <c r="C2287" t="s">
        <v>1774</v>
      </c>
      <c r="G2287" s="3">
        <v>3362.0525571419621</v>
      </c>
      <c r="H2287" t="s">
        <v>1755</v>
      </c>
      <c r="I2287" t="s">
        <v>5307</v>
      </c>
      <c r="M2287" t="s">
        <v>1757</v>
      </c>
    </row>
    <row r="2288" spans="1:13" x14ac:dyDescent="0.45">
      <c r="A2288" t="s">
        <v>5308</v>
      </c>
      <c r="B2288">
        <v>1</v>
      </c>
      <c r="C2288" t="s">
        <v>1774</v>
      </c>
      <c r="G2288" s="3">
        <v>2101.934345578215</v>
      </c>
      <c r="H2288" t="s">
        <v>1755</v>
      </c>
      <c r="I2288" t="s">
        <v>5308</v>
      </c>
      <c r="M2288" t="s">
        <v>1757</v>
      </c>
    </row>
    <row r="2289" spans="1:13" x14ac:dyDescent="0.45">
      <c r="A2289" t="s">
        <v>5309</v>
      </c>
      <c r="B2289">
        <v>1</v>
      </c>
      <c r="C2289" t="s">
        <v>1774</v>
      </c>
      <c r="G2289" s="3">
        <v>2054.1459131151578</v>
      </c>
      <c r="H2289" t="s">
        <v>1755</v>
      </c>
      <c r="I2289" t="s">
        <v>5309</v>
      </c>
      <c r="M2289" t="s">
        <v>1757</v>
      </c>
    </row>
    <row r="2290" spans="1:13" x14ac:dyDescent="0.45">
      <c r="A2290" t="s">
        <v>5310</v>
      </c>
      <c r="B2290">
        <v>1</v>
      </c>
      <c r="C2290" t="s">
        <v>1774</v>
      </c>
      <c r="G2290" s="3">
        <v>8847.2526706688368</v>
      </c>
      <c r="H2290" t="s">
        <v>1755</v>
      </c>
      <c r="I2290" t="s">
        <v>5310</v>
      </c>
      <c r="M2290" t="s">
        <v>1757</v>
      </c>
    </row>
    <row r="2291" spans="1:13" x14ac:dyDescent="0.45">
      <c r="A2291" t="s">
        <v>5311</v>
      </c>
      <c r="B2291">
        <v>1</v>
      </c>
      <c r="C2291" t="s">
        <v>1774</v>
      </c>
      <c r="G2291" s="3">
        <v>1765.1224390014661</v>
      </c>
      <c r="H2291" t="s">
        <v>1755</v>
      </c>
      <c r="I2291" t="s">
        <v>5311</v>
      </c>
      <c r="M2291" t="s">
        <v>1757</v>
      </c>
    </row>
    <row r="2292" spans="1:13" x14ac:dyDescent="0.45">
      <c r="A2292" t="s">
        <v>5312</v>
      </c>
      <c r="B2292">
        <v>1</v>
      </c>
      <c r="C2292" t="s">
        <v>1774</v>
      </c>
      <c r="G2292" s="3">
        <v>1781.563982002167</v>
      </c>
      <c r="H2292" t="s">
        <v>1755</v>
      </c>
      <c r="I2292" t="s">
        <v>5312</v>
      </c>
      <c r="M2292" t="s">
        <v>1757</v>
      </c>
    </row>
    <row r="2293" spans="1:13" x14ac:dyDescent="0.45">
      <c r="A2293" t="s">
        <v>5313</v>
      </c>
      <c r="B2293">
        <v>1</v>
      </c>
      <c r="C2293" t="s">
        <v>1774</v>
      </c>
      <c r="G2293" s="3">
        <v>2711.295567630184</v>
      </c>
      <c r="H2293" t="s">
        <v>1755</v>
      </c>
      <c r="I2293" t="s">
        <v>5313</v>
      </c>
      <c r="M2293" t="s">
        <v>1757</v>
      </c>
    </row>
    <row r="2294" spans="1:13" x14ac:dyDescent="0.45">
      <c r="A2294" t="s">
        <v>5314</v>
      </c>
      <c r="B2294">
        <v>1</v>
      </c>
      <c r="C2294" t="s">
        <v>1774</v>
      </c>
      <c r="G2294" s="3">
        <v>4194.697173815036</v>
      </c>
      <c r="H2294" t="s">
        <v>1755</v>
      </c>
      <c r="I2294" t="s">
        <v>5314</v>
      </c>
      <c r="M2294" t="s">
        <v>1757</v>
      </c>
    </row>
    <row r="2295" spans="1:13" x14ac:dyDescent="0.45">
      <c r="A2295" t="s">
        <v>5315</v>
      </c>
      <c r="B2295">
        <v>1</v>
      </c>
      <c r="C2295" t="s">
        <v>1774</v>
      </c>
      <c r="H2295" t="s">
        <v>1755</v>
      </c>
      <c r="I2295" t="s">
        <v>5315</v>
      </c>
      <c r="M2295" t="s">
        <v>1757</v>
      </c>
    </row>
    <row r="2296" spans="1:13" x14ac:dyDescent="0.45">
      <c r="A2296" t="s">
        <v>5316</v>
      </c>
      <c r="B2296">
        <v>1</v>
      </c>
      <c r="C2296" t="s">
        <v>1774</v>
      </c>
      <c r="G2296" s="3">
        <v>5955.7459196588197</v>
      </c>
      <c r="H2296" t="s">
        <v>1755</v>
      </c>
      <c r="I2296" t="s">
        <v>5316</v>
      </c>
      <c r="M2296" t="s">
        <v>1757</v>
      </c>
    </row>
    <row r="2297" spans="1:13" x14ac:dyDescent="0.45">
      <c r="A2297" t="s">
        <v>5317</v>
      </c>
      <c r="B2297">
        <v>2</v>
      </c>
      <c r="C2297" t="s">
        <v>1774</v>
      </c>
      <c r="G2297" s="3">
        <v>1417.579987597836</v>
      </c>
      <c r="H2297" t="s">
        <v>1755</v>
      </c>
      <c r="I2297" t="s">
        <v>5317</v>
      </c>
      <c r="M2297" t="s">
        <v>1757</v>
      </c>
    </row>
    <row r="2298" spans="1:13" x14ac:dyDescent="0.45">
      <c r="A2298" t="s">
        <v>5318</v>
      </c>
      <c r="B2298">
        <v>2</v>
      </c>
      <c r="C2298" t="s">
        <v>1774</v>
      </c>
      <c r="G2298" s="3">
        <v>2819.0706810829051</v>
      </c>
      <c r="H2298" t="s">
        <v>1755</v>
      </c>
      <c r="I2298" t="s">
        <v>5318</v>
      </c>
      <c r="M2298" t="s">
        <v>1757</v>
      </c>
    </row>
    <row r="2299" spans="1:13" x14ac:dyDescent="0.45">
      <c r="A2299" t="s">
        <v>5319</v>
      </c>
      <c r="B2299">
        <v>1</v>
      </c>
      <c r="C2299" t="s">
        <v>1774</v>
      </c>
      <c r="G2299" s="3">
        <v>2962.9480439850922</v>
      </c>
      <c r="H2299" t="s">
        <v>1755</v>
      </c>
      <c r="I2299" t="s">
        <v>5319</v>
      </c>
      <c r="M2299" t="s">
        <v>1757</v>
      </c>
    </row>
    <row r="2300" spans="1:13" x14ac:dyDescent="0.45">
      <c r="A2300" t="s">
        <v>5320</v>
      </c>
      <c r="B2300">
        <v>1</v>
      </c>
      <c r="C2300" t="s">
        <v>1774</v>
      </c>
      <c r="G2300" s="3">
        <v>2494.202621058143</v>
      </c>
      <c r="H2300" t="s">
        <v>1755</v>
      </c>
      <c r="I2300" t="s">
        <v>5320</v>
      </c>
      <c r="M2300" t="s">
        <v>1757</v>
      </c>
    </row>
    <row r="2301" spans="1:13" x14ac:dyDescent="0.45">
      <c r="A2301" t="s">
        <v>5321</v>
      </c>
      <c r="B2301">
        <v>1</v>
      </c>
      <c r="C2301" t="s">
        <v>1774</v>
      </c>
      <c r="G2301" s="3">
        <v>4919.5144920149542</v>
      </c>
      <c r="H2301" t="s">
        <v>1755</v>
      </c>
      <c r="I2301" t="s">
        <v>5321</v>
      </c>
      <c r="M2301" t="s">
        <v>1757</v>
      </c>
    </row>
    <row r="2302" spans="1:13" x14ac:dyDescent="0.45">
      <c r="A2302" t="s">
        <v>5322</v>
      </c>
      <c r="B2302">
        <v>1</v>
      </c>
      <c r="C2302" t="s">
        <v>1774</v>
      </c>
      <c r="G2302" s="3">
        <v>3885.1421557240751</v>
      </c>
      <c r="H2302" t="s">
        <v>1755</v>
      </c>
      <c r="I2302" t="s">
        <v>5322</v>
      </c>
      <c r="M2302" t="s">
        <v>1757</v>
      </c>
    </row>
    <row r="2303" spans="1:13" x14ac:dyDescent="0.45">
      <c r="A2303" t="s">
        <v>5323</v>
      </c>
      <c r="B2303">
        <v>1</v>
      </c>
      <c r="C2303" t="s">
        <v>1774</v>
      </c>
      <c r="G2303" s="3">
        <v>4546.0654395292831</v>
      </c>
      <c r="H2303" t="s">
        <v>1755</v>
      </c>
      <c r="I2303" t="s">
        <v>5323</v>
      </c>
      <c r="M2303" t="s">
        <v>1757</v>
      </c>
    </row>
    <row r="2304" spans="1:13" x14ac:dyDescent="0.45">
      <c r="A2304" t="s">
        <v>5324</v>
      </c>
      <c r="B2304">
        <v>1</v>
      </c>
      <c r="C2304" t="s">
        <v>1774</v>
      </c>
      <c r="G2304" s="3">
        <v>3711.0398812988769</v>
      </c>
      <c r="H2304" t="s">
        <v>1755</v>
      </c>
      <c r="I2304" t="s">
        <v>5324</v>
      </c>
      <c r="M2304" t="s">
        <v>1757</v>
      </c>
    </row>
    <row r="2305" spans="1:13" x14ac:dyDescent="0.45">
      <c r="A2305" t="s">
        <v>5325</v>
      </c>
      <c r="B2305">
        <v>1</v>
      </c>
      <c r="C2305" t="s">
        <v>1774</v>
      </c>
      <c r="G2305" s="3">
        <v>2929.8953566672772</v>
      </c>
      <c r="H2305" t="s">
        <v>1755</v>
      </c>
      <c r="I2305" t="s">
        <v>5325</v>
      </c>
      <c r="M2305" t="s">
        <v>1757</v>
      </c>
    </row>
    <row r="2306" spans="1:13" x14ac:dyDescent="0.45">
      <c r="A2306" t="s">
        <v>5326</v>
      </c>
      <c r="B2306">
        <v>1</v>
      </c>
      <c r="C2306" t="s">
        <v>1774</v>
      </c>
      <c r="G2306" s="3">
        <v>4009.277273083067</v>
      </c>
      <c r="H2306" t="s">
        <v>1755</v>
      </c>
      <c r="I2306" t="s">
        <v>5326</v>
      </c>
      <c r="M2306" t="s">
        <v>1757</v>
      </c>
    </row>
    <row r="2307" spans="1:13" x14ac:dyDescent="0.45">
      <c r="A2307" t="s">
        <v>5327</v>
      </c>
      <c r="B2307">
        <v>1</v>
      </c>
      <c r="C2307" t="s">
        <v>1774</v>
      </c>
      <c r="G2307" s="3">
        <v>2396.760141651489</v>
      </c>
      <c r="H2307" t="s">
        <v>1755</v>
      </c>
      <c r="I2307" t="s">
        <v>5327</v>
      </c>
      <c r="M2307" t="s">
        <v>1757</v>
      </c>
    </row>
    <row r="2308" spans="1:13" x14ac:dyDescent="0.45">
      <c r="A2308" t="s">
        <v>5328</v>
      </c>
      <c r="B2308">
        <v>2</v>
      </c>
      <c r="C2308" t="s">
        <v>1774</v>
      </c>
      <c r="G2308" s="3">
        <v>2790.7276918593202</v>
      </c>
      <c r="H2308" t="s">
        <v>1755</v>
      </c>
      <c r="I2308" t="s">
        <v>5328</v>
      </c>
      <c r="M2308" t="s">
        <v>1757</v>
      </c>
    </row>
    <row r="2309" spans="1:13" x14ac:dyDescent="0.45">
      <c r="A2309" t="s">
        <v>5329</v>
      </c>
      <c r="B2309">
        <v>1</v>
      </c>
      <c r="C2309" t="s">
        <v>1774</v>
      </c>
      <c r="G2309" s="3">
        <v>2919.324628465477</v>
      </c>
      <c r="H2309" t="s">
        <v>1755</v>
      </c>
      <c r="I2309" t="s">
        <v>5329</v>
      </c>
      <c r="M2309" t="s">
        <v>1757</v>
      </c>
    </row>
    <row r="2310" spans="1:13" x14ac:dyDescent="0.45">
      <c r="A2310" t="s">
        <v>5330</v>
      </c>
      <c r="B2310">
        <v>1</v>
      </c>
      <c r="C2310" t="s">
        <v>1774</v>
      </c>
      <c r="G2310" s="3">
        <v>5321.7631526530149</v>
      </c>
      <c r="H2310" t="s">
        <v>1755</v>
      </c>
      <c r="I2310" t="s">
        <v>5330</v>
      </c>
      <c r="M2310" t="s">
        <v>1757</v>
      </c>
    </row>
    <row r="2311" spans="1:13" x14ac:dyDescent="0.45">
      <c r="A2311" t="s">
        <v>5331</v>
      </c>
      <c r="B2311">
        <v>1</v>
      </c>
      <c r="C2311" t="s">
        <v>1774</v>
      </c>
      <c r="G2311" s="3">
        <v>2597.7605325469858</v>
      </c>
      <c r="H2311" t="s">
        <v>1755</v>
      </c>
      <c r="I2311" t="s">
        <v>5331</v>
      </c>
      <c r="M2311" t="s">
        <v>1757</v>
      </c>
    </row>
    <row r="2312" spans="1:13" x14ac:dyDescent="0.45">
      <c r="A2312" t="s">
        <v>5332</v>
      </c>
      <c r="B2312">
        <v>1</v>
      </c>
      <c r="C2312" t="s">
        <v>1774</v>
      </c>
      <c r="G2312" s="3">
        <v>2731.4976936659591</v>
      </c>
      <c r="H2312" t="s">
        <v>1755</v>
      </c>
      <c r="I2312" t="s">
        <v>5332</v>
      </c>
      <c r="M2312" t="s">
        <v>1757</v>
      </c>
    </row>
    <row r="2313" spans="1:13" x14ac:dyDescent="0.45">
      <c r="A2313" t="s">
        <v>5333</v>
      </c>
      <c r="B2313">
        <v>1</v>
      </c>
      <c r="C2313" t="s">
        <v>1774</v>
      </c>
      <c r="G2313" s="3">
        <v>844.6765254470447</v>
      </c>
      <c r="H2313" t="s">
        <v>1755</v>
      </c>
      <c r="I2313" t="s">
        <v>5333</v>
      </c>
      <c r="M2313" t="s">
        <v>1757</v>
      </c>
    </row>
    <row r="2314" spans="1:13" x14ac:dyDescent="0.45">
      <c r="A2314" t="s">
        <v>5334</v>
      </c>
      <c r="B2314">
        <v>1</v>
      </c>
      <c r="C2314" t="s">
        <v>1774</v>
      </c>
      <c r="G2314" s="3">
        <v>7534.57109727226</v>
      </c>
      <c r="H2314" t="s">
        <v>1755</v>
      </c>
      <c r="I2314" t="s">
        <v>5334</v>
      </c>
      <c r="M2314" t="s">
        <v>1757</v>
      </c>
    </row>
    <row r="2315" spans="1:13" x14ac:dyDescent="0.45">
      <c r="A2315" t="s">
        <v>5335</v>
      </c>
      <c r="B2315">
        <v>1</v>
      </c>
      <c r="C2315" t="s">
        <v>1774</v>
      </c>
      <c r="G2315" s="3">
        <v>4464.5263451000974</v>
      </c>
      <c r="H2315" t="s">
        <v>1755</v>
      </c>
      <c r="I2315" t="s">
        <v>5335</v>
      </c>
      <c r="M2315" t="s">
        <v>1757</v>
      </c>
    </row>
    <row r="2316" spans="1:13" x14ac:dyDescent="0.45">
      <c r="A2316" t="s">
        <v>5336</v>
      </c>
      <c r="B2316">
        <v>1</v>
      </c>
      <c r="C2316" t="s">
        <v>1774</v>
      </c>
      <c r="G2316" s="3">
        <v>1035.341020732699</v>
      </c>
      <c r="H2316" t="s">
        <v>1755</v>
      </c>
      <c r="I2316" t="s">
        <v>5336</v>
      </c>
      <c r="M2316" t="s">
        <v>1757</v>
      </c>
    </row>
    <row r="2317" spans="1:13" x14ac:dyDescent="0.45">
      <c r="A2317" t="s">
        <v>5337</v>
      </c>
      <c r="B2317">
        <v>1</v>
      </c>
      <c r="C2317" t="s">
        <v>1774</v>
      </c>
      <c r="H2317" t="s">
        <v>1755</v>
      </c>
      <c r="I2317" t="s">
        <v>5337</v>
      </c>
      <c r="M2317" t="s">
        <v>1757</v>
      </c>
    </row>
    <row r="2318" spans="1:13" x14ac:dyDescent="0.45">
      <c r="A2318" t="s">
        <v>5338</v>
      </c>
      <c r="B2318">
        <v>1</v>
      </c>
      <c r="C2318" t="s">
        <v>1774</v>
      </c>
      <c r="G2318" s="3">
        <v>1096.178969868203</v>
      </c>
      <c r="H2318" t="s">
        <v>1755</v>
      </c>
      <c r="I2318" t="s">
        <v>5338</v>
      </c>
      <c r="M2318" t="s">
        <v>1757</v>
      </c>
    </row>
    <row r="2319" spans="1:13" x14ac:dyDescent="0.45">
      <c r="A2319" t="s">
        <v>5339</v>
      </c>
      <c r="B2319">
        <v>2</v>
      </c>
      <c r="C2319" t="s">
        <v>1774</v>
      </c>
      <c r="G2319" s="3">
        <v>2249.8723553829759</v>
      </c>
      <c r="H2319" t="s">
        <v>1755</v>
      </c>
      <c r="I2319" t="s">
        <v>5339</v>
      </c>
      <c r="M2319" t="s">
        <v>1757</v>
      </c>
    </row>
    <row r="2320" spans="1:13" x14ac:dyDescent="0.45">
      <c r="A2320" t="s">
        <v>5340</v>
      </c>
      <c r="B2320">
        <v>1</v>
      </c>
      <c r="C2320" t="s">
        <v>1774</v>
      </c>
      <c r="G2320" s="3">
        <v>1080.2723233269569</v>
      </c>
      <c r="H2320" t="s">
        <v>1755</v>
      </c>
      <c r="I2320" t="s">
        <v>5340</v>
      </c>
      <c r="M2320" t="s">
        <v>1757</v>
      </c>
    </row>
    <row r="2321" spans="1:13" x14ac:dyDescent="0.45">
      <c r="A2321" t="s">
        <v>5341</v>
      </c>
      <c r="B2321">
        <v>1</v>
      </c>
      <c r="C2321" t="s">
        <v>1774</v>
      </c>
      <c r="G2321" s="3">
        <v>4259.5696773428963</v>
      </c>
      <c r="H2321" t="s">
        <v>1755</v>
      </c>
      <c r="I2321" t="s">
        <v>5341</v>
      </c>
      <c r="M2321" t="s">
        <v>1757</v>
      </c>
    </row>
    <row r="2322" spans="1:13" x14ac:dyDescent="0.45">
      <c r="A2322" t="s">
        <v>5342</v>
      </c>
      <c r="B2322">
        <v>1</v>
      </c>
      <c r="C2322" t="s">
        <v>1774</v>
      </c>
      <c r="G2322" s="3">
        <v>2337.7584529225301</v>
      </c>
      <c r="H2322" t="s">
        <v>1755</v>
      </c>
      <c r="I2322" t="s">
        <v>5342</v>
      </c>
      <c r="M2322" t="s">
        <v>1757</v>
      </c>
    </row>
    <row r="2323" spans="1:13" x14ac:dyDescent="0.45">
      <c r="A2323" t="s">
        <v>5343</v>
      </c>
      <c r="B2323">
        <v>1</v>
      </c>
      <c r="C2323" t="s">
        <v>1774</v>
      </c>
      <c r="G2323" s="3">
        <v>3636.3500708017432</v>
      </c>
      <c r="H2323" t="s">
        <v>1755</v>
      </c>
      <c r="I2323" t="s">
        <v>5343</v>
      </c>
      <c r="M2323" t="s">
        <v>1757</v>
      </c>
    </row>
    <row r="2324" spans="1:13" x14ac:dyDescent="0.45">
      <c r="A2324" t="s">
        <v>5344</v>
      </c>
      <c r="B2324">
        <v>1</v>
      </c>
      <c r="C2324" t="s">
        <v>1774</v>
      </c>
      <c r="G2324" s="3">
        <v>2013.490520632766</v>
      </c>
      <c r="H2324" t="s">
        <v>1755</v>
      </c>
      <c r="I2324" t="s">
        <v>5344</v>
      </c>
      <c r="M2324" t="s">
        <v>1757</v>
      </c>
    </row>
    <row r="2325" spans="1:13" x14ac:dyDescent="0.45">
      <c r="A2325" t="s">
        <v>5345</v>
      </c>
      <c r="B2325">
        <v>1</v>
      </c>
      <c r="C2325" t="s">
        <v>1774</v>
      </c>
      <c r="G2325" s="3">
        <v>3488.079381491712</v>
      </c>
      <c r="H2325" t="s">
        <v>1755</v>
      </c>
      <c r="I2325" t="s">
        <v>5345</v>
      </c>
      <c r="M2325" t="s">
        <v>1757</v>
      </c>
    </row>
    <row r="2326" spans="1:13" x14ac:dyDescent="0.45">
      <c r="A2326" t="s">
        <v>5346</v>
      </c>
      <c r="B2326">
        <v>1</v>
      </c>
      <c r="C2326" t="s">
        <v>1774</v>
      </c>
      <c r="G2326" s="3">
        <v>6352.0259185846626</v>
      </c>
      <c r="H2326" t="s">
        <v>1755</v>
      </c>
      <c r="I2326" t="s">
        <v>5346</v>
      </c>
      <c r="M2326" t="s">
        <v>1757</v>
      </c>
    </row>
    <row r="2327" spans="1:13" x14ac:dyDescent="0.45">
      <c r="A2327" t="s">
        <v>5347</v>
      </c>
      <c r="B2327">
        <v>1</v>
      </c>
      <c r="C2327" t="s">
        <v>1774</v>
      </c>
      <c r="G2327" s="3">
        <v>1849.916574080265</v>
      </c>
      <c r="H2327" t="s">
        <v>1755</v>
      </c>
      <c r="I2327" t="s">
        <v>5347</v>
      </c>
      <c r="M2327" t="s">
        <v>1757</v>
      </c>
    </row>
    <row r="2328" spans="1:13" x14ac:dyDescent="0.45">
      <c r="A2328" t="s">
        <v>5348</v>
      </c>
      <c r="B2328">
        <v>1</v>
      </c>
      <c r="C2328" t="s">
        <v>1774</v>
      </c>
      <c r="G2328" s="3">
        <v>4975.5807733444626</v>
      </c>
      <c r="H2328" t="s">
        <v>1755</v>
      </c>
      <c r="I2328" t="s">
        <v>5348</v>
      </c>
      <c r="M2328" t="s">
        <v>1757</v>
      </c>
    </row>
    <row r="2329" spans="1:13" x14ac:dyDescent="0.45">
      <c r="A2329" t="s">
        <v>5349</v>
      </c>
      <c r="B2329">
        <v>1</v>
      </c>
      <c r="C2329" t="s">
        <v>1774</v>
      </c>
      <c r="G2329" s="3">
        <v>3363.683339030546</v>
      </c>
      <c r="H2329" t="s">
        <v>1755</v>
      </c>
      <c r="I2329" t="s">
        <v>5349</v>
      </c>
      <c r="M2329" t="s">
        <v>1757</v>
      </c>
    </row>
    <row r="2330" spans="1:13" x14ac:dyDescent="0.45">
      <c r="A2330" t="s">
        <v>5350</v>
      </c>
      <c r="B2330">
        <v>4</v>
      </c>
      <c r="C2330" t="s">
        <v>1774</v>
      </c>
      <c r="G2330" s="3">
        <v>2905.2640270221091</v>
      </c>
      <c r="H2330" t="s">
        <v>1755</v>
      </c>
      <c r="I2330" t="s">
        <v>5350</v>
      </c>
      <c r="M2330" t="s">
        <v>1757</v>
      </c>
    </row>
    <row r="2331" spans="1:13" x14ac:dyDescent="0.45">
      <c r="A2331" t="s">
        <v>5351</v>
      </c>
      <c r="B2331">
        <v>1</v>
      </c>
      <c r="C2331" t="s">
        <v>1774</v>
      </c>
      <c r="G2331" s="3">
        <v>6065.7910815004489</v>
      </c>
      <c r="H2331" t="s">
        <v>1755</v>
      </c>
      <c r="I2331" t="s">
        <v>5351</v>
      </c>
      <c r="M2331" t="s">
        <v>1757</v>
      </c>
    </row>
    <row r="2332" spans="1:13" x14ac:dyDescent="0.45">
      <c r="A2332" t="s">
        <v>5352</v>
      </c>
      <c r="B2332">
        <v>2</v>
      </c>
      <c r="C2332" t="s">
        <v>1774</v>
      </c>
      <c r="G2332" s="3">
        <v>2806.151626961544</v>
      </c>
      <c r="H2332" t="s">
        <v>1755</v>
      </c>
      <c r="I2332" t="s">
        <v>5352</v>
      </c>
      <c r="M2332" t="s">
        <v>1757</v>
      </c>
    </row>
    <row r="2333" spans="1:13" x14ac:dyDescent="0.45">
      <c r="A2333" t="s">
        <v>5353</v>
      </c>
      <c r="B2333">
        <v>2</v>
      </c>
      <c r="C2333" t="s">
        <v>1774</v>
      </c>
      <c r="G2333" s="3">
        <v>1349.8731851476171</v>
      </c>
      <c r="H2333" t="s">
        <v>1755</v>
      </c>
      <c r="I2333" t="s">
        <v>5353</v>
      </c>
      <c r="M2333" t="s">
        <v>1757</v>
      </c>
    </row>
    <row r="2334" spans="1:13" x14ac:dyDescent="0.45">
      <c r="A2334" t="s">
        <v>5354</v>
      </c>
      <c r="B2334">
        <v>1</v>
      </c>
      <c r="C2334" t="s">
        <v>1774</v>
      </c>
      <c r="G2334" s="3">
        <v>1114.7176983776219</v>
      </c>
      <c r="H2334" t="s">
        <v>1755</v>
      </c>
      <c r="I2334" t="s">
        <v>5354</v>
      </c>
      <c r="M2334" t="s">
        <v>1757</v>
      </c>
    </row>
    <row r="2335" spans="1:13" x14ac:dyDescent="0.45">
      <c r="A2335" t="s">
        <v>5355</v>
      </c>
      <c r="B2335">
        <v>1</v>
      </c>
      <c r="C2335" t="s">
        <v>1774</v>
      </c>
      <c r="G2335" s="3">
        <v>2052.4042380581509</v>
      </c>
      <c r="H2335" t="s">
        <v>1755</v>
      </c>
      <c r="I2335" t="s">
        <v>5355</v>
      </c>
      <c r="M2335" t="s">
        <v>1757</v>
      </c>
    </row>
    <row r="2336" spans="1:13" x14ac:dyDescent="0.45">
      <c r="A2336" t="s">
        <v>5356</v>
      </c>
      <c r="B2336">
        <v>1</v>
      </c>
      <c r="C2336" t="s">
        <v>1774</v>
      </c>
      <c r="G2336" s="3">
        <v>3921.9325951305241</v>
      </c>
      <c r="H2336" t="s">
        <v>1755</v>
      </c>
      <c r="I2336" t="s">
        <v>5356</v>
      </c>
      <c r="M2336" t="s">
        <v>1757</v>
      </c>
    </row>
    <row r="2337" spans="1:13" x14ac:dyDescent="0.45">
      <c r="A2337" t="s">
        <v>5357</v>
      </c>
      <c r="B2337">
        <v>1</v>
      </c>
      <c r="C2337" t="s">
        <v>1774</v>
      </c>
      <c r="G2337" s="3">
        <v>416.14618389256998</v>
      </c>
      <c r="H2337" t="s">
        <v>1755</v>
      </c>
      <c r="I2337" t="s">
        <v>5357</v>
      </c>
      <c r="M2337" t="s">
        <v>1757</v>
      </c>
    </row>
    <row r="2338" spans="1:13" x14ac:dyDescent="0.45">
      <c r="A2338" t="s">
        <v>5358</v>
      </c>
      <c r="B2338">
        <v>1</v>
      </c>
      <c r="C2338" t="s">
        <v>1774</v>
      </c>
      <c r="G2338" s="3">
        <v>3954.4830016266551</v>
      </c>
      <c r="H2338" t="s">
        <v>1755</v>
      </c>
      <c r="I2338" t="s">
        <v>5358</v>
      </c>
      <c r="M2338" t="s">
        <v>1757</v>
      </c>
    </row>
    <row r="2339" spans="1:13" x14ac:dyDescent="0.45">
      <c r="A2339" t="s">
        <v>5359</v>
      </c>
      <c r="B2339">
        <v>2</v>
      </c>
      <c r="C2339" t="s">
        <v>1774</v>
      </c>
      <c r="G2339" s="3">
        <v>300.68780464997599</v>
      </c>
      <c r="H2339" t="s">
        <v>1755</v>
      </c>
      <c r="I2339" t="s">
        <v>5359</v>
      </c>
      <c r="M2339" t="s">
        <v>1757</v>
      </c>
    </row>
    <row r="2340" spans="1:13" x14ac:dyDescent="0.45">
      <c r="A2340" t="s">
        <v>5360</v>
      </c>
      <c r="B2340">
        <v>2</v>
      </c>
      <c r="C2340" t="s">
        <v>1774</v>
      </c>
      <c r="G2340" s="3">
        <v>1829.362199156556</v>
      </c>
      <c r="H2340" t="s">
        <v>1755</v>
      </c>
      <c r="I2340" t="s">
        <v>5360</v>
      </c>
      <c r="M2340" t="s">
        <v>1757</v>
      </c>
    </row>
    <row r="2341" spans="1:13" x14ac:dyDescent="0.45">
      <c r="A2341" t="s">
        <v>5361</v>
      </c>
      <c r="B2341">
        <v>1</v>
      </c>
      <c r="C2341" t="s">
        <v>1774</v>
      </c>
      <c r="G2341" s="3">
        <v>438.34438695997147</v>
      </c>
      <c r="H2341" t="s">
        <v>1755</v>
      </c>
      <c r="I2341" t="s">
        <v>5361</v>
      </c>
      <c r="M2341" t="s">
        <v>1757</v>
      </c>
    </row>
    <row r="2342" spans="1:13" x14ac:dyDescent="0.45">
      <c r="A2342" t="s">
        <v>5362</v>
      </c>
      <c r="B2342">
        <v>1</v>
      </c>
      <c r="C2342" t="s">
        <v>1774</v>
      </c>
      <c r="G2342" s="3">
        <v>216.59197037586861</v>
      </c>
      <c r="H2342" t="s">
        <v>1755</v>
      </c>
      <c r="I2342" t="s">
        <v>5362</v>
      </c>
      <c r="M2342" t="s">
        <v>1757</v>
      </c>
    </row>
    <row r="2343" spans="1:13" x14ac:dyDescent="0.45">
      <c r="A2343" t="s">
        <v>5363</v>
      </c>
      <c r="B2343">
        <v>1</v>
      </c>
      <c r="C2343" t="s">
        <v>1774</v>
      </c>
      <c r="H2343" t="s">
        <v>1755</v>
      </c>
      <c r="I2343" t="s">
        <v>5363</v>
      </c>
      <c r="M2343" t="s">
        <v>1757</v>
      </c>
    </row>
    <row r="2344" spans="1:13" x14ac:dyDescent="0.45">
      <c r="A2344" t="s">
        <v>5364</v>
      </c>
      <c r="B2344">
        <v>1</v>
      </c>
      <c r="C2344" t="s">
        <v>1774</v>
      </c>
      <c r="H2344" t="s">
        <v>1755</v>
      </c>
      <c r="I2344" t="s">
        <v>5364</v>
      </c>
      <c r="M2344" t="s">
        <v>1757</v>
      </c>
    </row>
    <row r="2345" spans="1:13" x14ac:dyDescent="0.45">
      <c r="A2345" t="s">
        <v>5365</v>
      </c>
      <c r="B2345">
        <v>1</v>
      </c>
      <c r="C2345" t="s">
        <v>1774</v>
      </c>
      <c r="G2345" s="3">
        <v>1852.9498283930311</v>
      </c>
      <c r="H2345" t="s">
        <v>1755</v>
      </c>
      <c r="I2345" t="s">
        <v>5365</v>
      </c>
      <c r="M2345" t="s">
        <v>1757</v>
      </c>
    </row>
    <row r="2346" spans="1:13" x14ac:dyDescent="0.45">
      <c r="A2346" t="s">
        <v>5366</v>
      </c>
      <c r="B2346">
        <v>1</v>
      </c>
      <c r="C2346" t="s">
        <v>1774</v>
      </c>
      <c r="G2346" s="3">
        <v>695.56109111872684</v>
      </c>
      <c r="H2346" t="s">
        <v>1755</v>
      </c>
      <c r="I2346" t="s">
        <v>5366</v>
      </c>
      <c r="M2346" t="s">
        <v>1757</v>
      </c>
    </row>
    <row r="2347" spans="1:13" x14ac:dyDescent="0.45">
      <c r="A2347" t="s">
        <v>5367</v>
      </c>
      <c r="B2347">
        <v>2</v>
      </c>
      <c r="C2347" t="s">
        <v>1774</v>
      </c>
      <c r="G2347" s="3">
        <v>606.24316708099661</v>
      </c>
      <c r="H2347" t="s">
        <v>1755</v>
      </c>
      <c r="I2347" t="s">
        <v>5367</v>
      </c>
      <c r="M2347" t="s">
        <v>1757</v>
      </c>
    </row>
    <row r="2348" spans="1:13" x14ac:dyDescent="0.45">
      <c r="A2348" t="s">
        <v>5368</v>
      </c>
      <c r="B2348">
        <v>3</v>
      </c>
      <c r="C2348" t="s">
        <v>1774</v>
      </c>
      <c r="G2348" s="3">
        <v>1968.4515864338609</v>
      </c>
      <c r="H2348" t="s">
        <v>1755</v>
      </c>
      <c r="I2348" t="s">
        <v>5368</v>
      </c>
      <c r="M2348" t="s">
        <v>1757</v>
      </c>
    </row>
    <row r="2349" spans="1:13" x14ac:dyDescent="0.45">
      <c r="A2349" t="s">
        <v>5369</v>
      </c>
      <c r="B2349">
        <v>1</v>
      </c>
      <c r="C2349" t="s">
        <v>1774</v>
      </c>
      <c r="G2349" s="3">
        <v>3876.4990117145808</v>
      </c>
      <c r="H2349" t="s">
        <v>1755</v>
      </c>
      <c r="I2349" t="s">
        <v>5369</v>
      </c>
      <c r="M2349" t="s">
        <v>1757</v>
      </c>
    </row>
    <row r="2350" spans="1:13" x14ac:dyDescent="0.45">
      <c r="A2350" t="s">
        <v>5370</v>
      </c>
      <c r="B2350">
        <v>1</v>
      </c>
      <c r="C2350" t="s">
        <v>1774</v>
      </c>
      <c r="G2350" s="3">
        <v>1339.2209178513881</v>
      </c>
      <c r="H2350" t="s">
        <v>1755</v>
      </c>
      <c r="I2350" t="s">
        <v>5370</v>
      </c>
      <c r="M2350" t="s">
        <v>1757</v>
      </c>
    </row>
    <row r="2351" spans="1:13" x14ac:dyDescent="0.45">
      <c r="A2351" t="s">
        <v>5371</v>
      </c>
      <c r="B2351">
        <v>1</v>
      </c>
      <c r="C2351" t="s">
        <v>1774</v>
      </c>
      <c r="G2351" s="3">
        <v>1102.167200963082</v>
      </c>
      <c r="H2351" t="s">
        <v>1755</v>
      </c>
      <c r="I2351" t="s">
        <v>5371</v>
      </c>
      <c r="M2351" t="s">
        <v>1757</v>
      </c>
    </row>
    <row r="2352" spans="1:13" x14ac:dyDescent="0.45">
      <c r="A2352" t="s">
        <v>5372</v>
      </c>
      <c r="B2352">
        <v>1</v>
      </c>
      <c r="C2352" t="s">
        <v>1774</v>
      </c>
      <c r="G2352" s="3">
        <v>2043.9926650768359</v>
      </c>
      <c r="H2352" t="s">
        <v>1755</v>
      </c>
      <c r="I2352" t="s">
        <v>5372</v>
      </c>
      <c r="M2352" t="s">
        <v>1757</v>
      </c>
    </row>
    <row r="2353" spans="1:13" x14ac:dyDescent="0.45">
      <c r="A2353" t="s">
        <v>5373</v>
      </c>
      <c r="B2353">
        <v>1</v>
      </c>
      <c r="C2353" t="s">
        <v>1774</v>
      </c>
      <c r="G2353" s="3">
        <v>1094.303570696331</v>
      </c>
      <c r="H2353" t="s">
        <v>1755</v>
      </c>
      <c r="I2353" t="s">
        <v>5373</v>
      </c>
      <c r="M2353" t="s">
        <v>1757</v>
      </c>
    </row>
    <row r="2354" spans="1:13" x14ac:dyDescent="0.45">
      <c r="A2354" t="s">
        <v>5374</v>
      </c>
      <c r="B2354">
        <v>2</v>
      </c>
      <c r="C2354" t="s">
        <v>1774</v>
      </c>
      <c r="G2354" s="3">
        <v>4498.9032273114417</v>
      </c>
      <c r="H2354" t="s">
        <v>1755</v>
      </c>
      <c r="I2354" t="s">
        <v>5374</v>
      </c>
      <c r="M2354" t="s">
        <v>1757</v>
      </c>
    </row>
    <row r="2355" spans="1:13" x14ac:dyDescent="0.45">
      <c r="A2355" t="s">
        <v>5375</v>
      </c>
      <c r="B2355">
        <v>1</v>
      </c>
      <c r="C2355" t="s">
        <v>1774</v>
      </c>
      <c r="G2355" s="3">
        <v>2044.4101452403131</v>
      </c>
      <c r="H2355" t="s">
        <v>1755</v>
      </c>
      <c r="I2355" t="s">
        <v>5375</v>
      </c>
      <c r="M2355" t="s">
        <v>1757</v>
      </c>
    </row>
    <row r="2356" spans="1:13" x14ac:dyDescent="0.45">
      <c r="A2356" t="s">
        <v>5376</v>
      </c>
      <c r="B2356">
        <v>1</v>
      </c>
      <c r="C2356" t="s">
        <v>1774</v>
      </c>
      <c r="G2356" s="3">
        <v>4356.2750433359106</v>
      </c>
      <c r="H2356" t="s">
        <v>1755</v>
      </c>
      <c r="I2356" t="s">
        <v>5376</v>
      </c>
      <c r="M2356" t="s">
        <v>1757</v>
      </c>
    </row>
    <row r="2357" spans="1:13" x14ac:dyDescent="0.45">
      <c r="A2357" t="s">
        <v>5377</v>
      </c>
      <c r="B2357">
        <v>3</v>
      </c>
      <c r="C2357" t="s">
        <v>1774</v>
      </c>
      <c r="G2357" s="3">
        <v>1772.477265318978</v>
      </c>
      <c r="H2357" t="s">
        <v>1755</v>
      </c>
      <c r="I2357" t="s">
        <v>5377</v>
      </c>
      <c r="M2357" t="s">
        <v>1757</v>
      </c>
    </row>
    <row r="2358" spans="1:13" x14ac:dyDescent="0.45">
      <c r="A2358" t="s">
        <v>5378</v>
      </c>
      <c r="B2358">
        <v>4</v>
      </c>
      <c r="C2358" t="s">
        <v>1774</v>
      </c>
      <c r="G2358" s="3">
        <v>1115.1547479237629</v>
      </c>
      <c r="H2358" t="s">
        <v>1755</v>
      </c>
      <c r="I2358" t="s">
        <v>5378</v>
      </c>
      <c r="M2358" t="s">
        <v>1757</v>
      </c>
    </row>
    <row r="2359" spans="1:13" x14ac:dyDescent="0.45">
      <c r="A2359" t="s">
        <v>5379</v>
      </c>
      <c r="B2359">
        <v>1</v>
      </c>
      <c r="C2359" t="s">
        <v>1774</v>
      </c>
      <c r="G2359" s="3">
        <v>6738.3255323523736</v>
      </c>
      <c r="H2359" t="s">
        <v>1755</v>
      </c>
      <c r="I2359" t="s">
        <v>5379</v>
      </c>
      <c r="M2359" t="s">
        <v>1757</v>
      </c>
    </row>
    <row r="2360" spans="1:13" x14ac:dyDescent="0.45">
      <c r="A2360" t="s">
        <v>5380</v>
      </c>
      <c r="B2360">
        <v>1</v>
      </c>
      <c r="C2360" t="s">
        <v>1774</v>
      </c>
      <c r="G2360" s="3">
        <v>1164.5707007116271</v>
      </c>
      <c r="H2360" t="s">
        <v>1755</v>
      </c>
      <c r="I2360" t="s">
        <v>5380</v>
      </c>
      <c r="M2360" t="s">
        <v>1757</v>
      </c>
    </row>
    <row r="2361" spans="1:13" x14ac:dyDescent="0.45">
      <c r="A2361" t="s">
        <v>5381</v>
      </c>
      <c r="B2361">
        <v>1</v>
      </c>
      <c r="C2361" t="s">
        <v>1774</v>
      </c>
      <c r="G2361" s="3">
        <v>1275.8617799161341</v>
      </c>
      <c r="H2361" t="s">
        <v>1755</v>
      </c>
      <c r="I2361" t="s">
        <v>5381</v>
      </c>
      <c r="M2361" t="s">
        <v>1757</v>
      </c>
    </row>
    <row r="2362" spans="1:13" x14ac:dyDescent="0.45">
      <c r="A2362" t="s">
        <v>5382</v>
      </c>
      <c r="B2362">
        <v>1</v>
      </c>
      <c r="C2362" t="s">
        <v>1774</v>
      </c>
      <c r="G2362" s="3">
        <v>2371.7667784270539</v>
      </c>
      <c r="H2362" t="s">
        <v>1755</v>
      </c>
      <c r="I2362" t="s">
        <v>5382</v>
      </c>
      <c r="M2362" t="s">
        <v>1757</v>
      </c>
    </row>
    <row r="2363" spans="1:13" x14ac:dyDescent="0.45">
      <c r="A2363" t="s">
        <v>5383</v>
      </c>
      <c r="B2363">
        <v>1</v>
      </c>
      <c r="C2363" t="s">
        <v>1774</v>
      </c>
      <c r="G2363" s="3">
        <v>3302.2680931064829</v>
      </c>
      <c r="H2363" t="s">
        <v>1755</v>
      </c>
      <c r="I2363" t="s">
        <v>5383</v>
      </c>
      <c r="M2363" t="s">
        <v>1757</v>
      </c>
    </row>
    <row r="2364" spans="1:13" x14ac:dyDescent="0.45">
      <c r="A2364" t="s">
        <v>5384</v>
      </c>
      <c r="B2364">
        <v>1</v>
      </c>
      <c r="C2364" t="s">
        <v>1774</v>
      </c>
      <c r="G2364" s="3">
        <v>2123.659621897928</v>
      </c>
      <c r="H2364" t="s">
        <v>1755</v>
      </c>
      <c r="I2364" t="s">
        <v>5384</v>
      </c>
      <c r="M2364" t="s">
        <v>1757</v>
      </c>
    </row>
    <row r="2365" spans="1:13" x14ac:dyDescent="0.45">
      <c r="A2365" t="s">
        <v>5385</v>
      </c>
      <c r="B2365">
        <v>1</v>
      </c>
      <c r="C2365" t="s">
        <v>1774</v>
      </c>
      <c r="H2365" t="s">
        <v>1755</v>
      </c>
      <c r="I2365" t="s">
        <v>5385</v>
      </c>
      <c r="M2365" t="s">
        <v>1757</v>
      </c>
    </row>
    <row r="2366" spans="1:13" x14ac:dyDescent="0.45">
      <c r="A2366" t="s">
        <v>5386</v>
      </c>
      <c r="B2366">
        <v>1</v>
      </c>
      <c r="C2366" t="s">
        <v>1774</v>
      </c>
      <c r="G2366" s="3">
        <v>2398.4528932518378</v>
      </c>
      <c r="H2366" t="s">
        <v>1755</v>
      </c>
      <c r="I2366" t="s">
        <v>5386</v>
      </c>
      <c r="M2366" t="s">
        <v>1757</v>
      </c>
    </row>
    <row r="2367" spans="1:13" x14ac:dyDescent="0.45">
      <c r="A2367" t="s">
        <v>5387</v>
      </c>
      <c r="B2367">
        <v>1</v>
      </c>
      <c r="C2367" t="s">
        <v>1774</v>
      </c>
      <c r="G2367" s="3">
        <v>2763.650189381276</v>
      </c>
      <c r="H2367" t="s">
        <v>1755</v>
      </c>
      <c r="I2367" t="s">
        <v>5387</v>
      </c>
      <c r="M2367" t="s">
        <v>1757</v>
      </c>
    </row>
    <row r="2368" spans="1:13" x14ac:dyDescent="0.45">
      <c r="A2368" t="s">
        <v>5388</v>
      </c>
      <c r="B2368">
        <v>1</v>
      </c>
      <c r="C2368" t="s">
        <v>1774</v>
      </c>
      <c r="G2368" s="3">
        <v>2965.6747113028041</v>
      </c>
      <c r="H2368" t="s">
        <v>1755</v>
      </c>
      <c r="I2368" t="s">
        <v>5388</v>
      </c>
      <c r="M2368" t="s">
        <v>1757</v>
      </c>
    </row>
    <row r="2369" spans="1:13" x14ac:dyDescent="0.45">
      <c r="A2369" t="s">
        <v>5389</v>
      </c>
      <c r="B2369">
        <v>2</v>
      </c>
      <c r="C2369" t="s">
        <v>1774</v>
      </c>
      <c r="G2369" s="3">
        <v>4382.2370910021627</v>
      </c>
      <c r="H2369" t="s">
        <v>1755</v>
      </c>
      <c r="I2369" t="s">
        <v>5389</v>
      </c>
      <c r="M2369" t="s">
        <v>1757</v>
      </c>
    </row>
    <row r="2370" spans="1:13" x14ac:dyDescent="0.45">
      <c r="A2370" t="s">
        <v>5390</v>
      </c>
      <c r="B2370">
        <v>1</v>
      </c>
      <c r="C2370" t="s">
        <v>1774</v>
      </c>
      <c r="G2370" s="3">
        <v>1012.112163511712</v>
      </c>
      <c r="H2370" t="s">
        <v>1755</v>
      </c>
      <c r="I2370" t="s">
        <v>5390</v>
      </c>
      <c r="M2370" t="s">
        <v>1757</v>
      </c>
    </row>
    <row r="2371" spans="1:13" x14ac:dyDescent="0.45">
      <c r="A2371" t="s">
        <v>5391</v>
      </c>
      <c r="B2371">
        <v>1</v>
      </c>
      <c r="C2371" t="s">
        <v>1774</v>
      </c>
      <c r="G2371" s="3">
        <v>2473.2438122260651</v>
      </c>
      <c r="H2371" t="s">
        <v>1755</v>
      </c>
      <c r="I2371" t="s">
        <v>5391</v>
      </c>
      <c r="M2371" t="s">
        <v>1757</v>
      </c>
    </row>
    <row r="2372" spans="1:13" x14ac:dyDescent="0.45">
      <c r="A2372" t="s">
        <v>5392</v>
      </c>
      <c r="B2372">
        <v>1</v>
      </c>
      <c r="C2372" t="s">
        <v>1774</v>
      </c>
      <c r="G2372" s="3">
        <v>3782.9247469476468</v>
      </c>
      <c r="H2372" t="s">
        <v>1755</v>
      </c>
      <c r="I2372" t="s">
        <v>5392</v>
      </c>
      <c r="M2372" t="s">
        <v>1757</v>
      </c>
    </row>
    <row r="2373" spans="1:13" x14ac:dyDescent="0.45">
      <c r="A2373" t="s">
        <v>5393</v>
      </c>
      <c r="B2373">
        <v>1</v>
      </c>
      <c r="C2373" t="s">
        <v>1774</v>
      </c>
      <c r="G2373" s="3">
        <v>2391.192652283863</v>
      </c>
      <c r="H2373" t="s">
        <v>1755</v>
      </c>
      <c r="I2373" t="s">
        <v>5393</v>
      </c>
      <c r="M2373" t="s">
        <v>1757</v>
      </c>
    </row>
    <row r="2374" spans="1:13" x14ac:dyDescent="0.45">
      <c r="A2374" t="s">
        <v>5394</v>
      </c>
      <c r="B2374">
        <v>1</v>
      </c>
      <c r="C2374" t="s">
        <v>1774</v>
      </c>
      <c r="G2374" s="3">
        <v>2028.6796231430351</v>
      </c>
      <c r="H2374" t="s">
        <v>1755</v>
      </c>
      <c r="I2374" t="s">
        <v>5394</v>
      </c>
      <c r="M2374" t="s">
        <v>1757</v>
      </c>
    </row>
    <row r="2375" spans="1:13" x14ac:dyDescent="0.45">
      <c r="A2375" t="s">
        <v>5395</v>
      </c>
      <c r="B2375">
        <v>1</v>
      </c>
      <c r="C2375" t="s">
        <v>1774</v>
      </c>
      <c r="G2375" s="3">
        <v>3724.3470615097208</v>
      </c>
      <c r="H2375" t="s">
        <v>1755</v>
      </c>
      <c r="I2375" t="s">
        <v>5395</v>
      </c>
      <c r="M2375" t="s">
        <v>1757</v>
      </c>
    </row>
    <row r="2376" spans="1:13" x14ac:dyDescent="0.45">
      <c r="A2376" t="s">
        <v>5396</v>
      </c>
      <c r="B2376">
        <v>1</v>
      </c>
      <c r="C2376" t="s">
        <v>1774</v>
      </c>
      <c r="G2376" s="3">
        <v>2380.364260543668</v>
      </c>
      <c r="H2376" t="s">
        <v>1755</v>
      </c>
      <c r="I2376" t="s">
        <v>5396</v>
      </c>
      <c r="M2376" t="s">
        <v>1757</v>
      </c>
    </row>
    <row r="2377" spans="1:13" x14ac:dyDescent="0.45">
      <c r="A2377" t="s">
        <v>5397</v>
      </c>
      <c r="B2377">
        <v>1</v>
      </c>
      <c r="C2377" t="s">
        <v>1774</v>
      </c>
      <c r="G2377" s="3">
        <v>1360.1177569716999</v>
      </c>
      <c r="H2377" t="s">
        <v>1755</v>
      </c>
      <c r="I2377" t="s">
        <v>5397</v>
      </c>
      <c r="M2377" t="s">
        <v>1757</v>
      </c>
    </row>
    <row r="2378" spans="1:13" x14ac:dyDescent="0.45">
      <c r="A2378" t="s">
        <v>5398</v>
      </c>
      <c r="B2378">
        <v>1</v>
      </c>
      <c r="C2378" t="s">
        <v>1774</v>
      </c>
      <c r="H2378" t="s">
        <v>1755</v>
      </c>
      <c r="I2378" t="s">
        <v>5398</v>
      </c>
      <c r="M2378" t="s">
        <v>1757</v>
      </c>
    </row>
    <row r="2379" spans="1:13" x14ac:dyDescent="0.45">
      <c r="A2379" t="s">
        <v>5399</v>
      </c>
      <c r="B2379">
        <v>1</v>
      </c>
      <c r="C2379" t="s">
        <v>1774</v>
      </c>
      <c r="G2379" s="3">
        <v>959.29766126803986</v>
      </c>
      <c r="H2379" t="s">
        <v>1755</v>
      </c>
      <c r="I2379" t="s">
        <v>5399</v>
      </c>
      <c r="M2379" t="s">
        <v>1757</v>
      </c>
    </row>
    <row r="2380" spans="1:13" x14ac:dyDescent="0.45">
      <c r="A2380" t="s">
        <v>5400</v>
      </c>
      <c r="B2380">
        <v>5</v>
      </c>
      <c r="C2380" t="s">
        <v>1774</v>
      </c>
      <c r="G2380" s="3">
        <v>1325.9202607681</v>
      </c>
      <c r="H2380" t="s">
        <v>1755</v>
      </c>
      <c r="I2380" t="s">
        <v>5400</v>
      </c>
      <c r="M2380" t="s">
        <v>1757</v>
      </c>
    </row>
    <row r="2381" spans="1:13" x14ac:dyDescent="0.45">
      <c r="A2381" t="s">
        <v>5401</v>
      </c>
      <c r="B2381">
        <v>1</v>
      </c>
      <c r="C2381" t="s">
        <v>1774</v>
      </c>
      <c r="G2381" s="3">
        <v>2295.452709168891</v>
      </c>
      <c r="H2381" t="s">
        <v>1755</v>
      </c>
      <c r="I2381" t="s">
        <v>5401</v>
      </c>
      <c r="M2381" t="s">
        <v>1757</v>
      </c>
    </row>
    <row r="2382" spans="1:13" x14ac:dyDescent="0.45">
      <c r="A2382" t="s">
        <v>5402</v>
      </c>
      <c r="B2382">
        <v>1</v>
      </c>
      <c r="C2382" t="s">
        <v>1774</v>
      </c>
      <c r="G2382" s="3">
        <v>4134.5865534018403</v>
      </c>
      <c r="H2382" t="s">
        <v>1755</v>
      </c>
      <c r="I2382" t="s">
        <v>5402</v>
      </c>
      <c r="M2382" t="s">
        <v>1757</v>
      </c>
    </row>
    <row r="2383" spans="1:13" x14ac:dyDescent="0.45">
      <c r="A2383" t="s">
        <v>5403</v>
      </c>
      <c r="B2383">
        <v>1</v>
      </c>
      <c r="C2383" t="s">
        <v>1774</v>
      </c>
      <c r="G2383" s="3">
        <v>1927.646162017719</v>
      </c>
      <c r="H2383" t="s">
        <v>1755</v>
      </c>
      <c r="I2383" t="s">
        <v>5403</v>
      </c>
      <c r="M2383" t="s">
        <v>1757</v>
      </c>
    </row>
    <row r="2384" spans="1:13" x14ac:dyDescent="0.45">
      <c r="A2384" t="s">
        <v>5404</v>
      </c>
      <c r="B2384">
        <v>2</v>
      </c>
      <c r="C2384" t="s">
        <v>1774</v>
      </c>
      <c r="G2384" s="3">
        <v>2479.0004722927652</v>
      </c>
      <c r="H2384" t="s">
        <v>1755</v>
      </c>
      <c r="I2384" t="s">
        <v>5404</v>
      </c>
      <c r="M2384" t="s">
        <v>1757</v>
      </c>
    </row>
    <row r="2385" spans="1:13" x14ac:dyDescent="0.45">
      <c r="A2385" t="s">
        <v>5405</v>
      </c>
      <c r="B2385">
        <v>1</v>
      </c>
      <c r="C2385" t="s">
        <v>1774</v>
      </c>
      <c r="G2385" s="3">
        <v>1674.2552721695811</v>
      </c>
      <c r="H2385" t="s">
        <v>1755</v>
      </c>
      <c r="I2385" t="s">
        <v>5405</v>
      </c>
      <c r="M2385" t="s">
        <v>1757</v>
      </c>
    </row>
    <row r="2386" spans="1:13" x14ac:dyDescent="0.45">
      <c r="A2386" t="s">
        <v>5406</v>
      </c>
      <c r="B2386">
        <v>1</v>
      </c>
      <c r="C2386" t="s">
        <v>1774</v>
      </c>
      <c r="G2386" s="3">
        <v>2580.4677214004441</v>
      </c>
      <c r="H2386" t="s">
        <v>1755</v>
      </c>
      <c r="I2386" t="s">
        <v>5406</v>
      </c>
      <c r="M2386" t="s">
        <v>1757</v>
      </c>
    </row>
    <row r="2387" spans="1:13" x14ac:dyDescent="0.45">
      <c r="A2387" t="s">
        <v>5407</v>
      </c>
      <c r="B2387">
        <v>1</v>
      </c>
      <c r="C2387" t="s">
        <v>1774</v>
      </c>
      <c r="G2387" s="3">
        <v>4913.0892113739346</v>
      </c>
      <c r="H2387" t="s">
        <v>1755</v>
      </c>
      <c r="I2387" t="s">
        <v>5407</v>
      </c>
      <c r="M2387" t="s">
        <v>1757</v>
      </c>
    </row>
    <row r="2388" spans="1:13" x14ac:dyDescent="0.45">
      <c r="A2388" t="s">
        <v>5408</v>
      </c>
      <c r="B2388">
        <v>1</v>
      </c>
      <c r="C2388" t="s">
        <v>1774</v>
      </c>
      <c r="G2388" s="3">
        <v>808.12091863255205</v>
      </c>
      <c r="H2388" t="s">
        <v>1755</v>
      </c>
      <c r="I2388" t="s">
        <v>5408</v>
      </c>
      <c r="M2388" t="s">
        <v>1757</v>
      </c>
    </row>
    <row r="2389" spans="1:13" x14ac:dyDescent="0.45">
      <c r="A2389" t="s">
        <v>5409</v>
      </c>
      <c r="B2389">
        <v>1</v>
      </c>
      <c r="C2389" t="s">
        <v>1774</v>
      </c>
      <c r="G2389" s="3">
        <v>725.19239803429298</v>
      </c>
      <c r="H2389" t="s">
        <v>1755</v>
      </c>
      <c r="I2389" t="s">
        <v>5409</v>
      </c>
      <c r="M2389" t="s">
        <v>1757</v>
      </c>
    </row>
    <row r="2390" spans="1:13" x14ac:dyDescent="0.45">
      <c r="A2390" t="s">
        <v>5410</v>
      </c>
      <c r="B2390">
        <v>1</v>
      </c>
      <c r="C2390" t="s">
        <v>1774</v>
      </c>
      <c r="G2390" s="3">
        <v>2670.4346966298299</v>
      </c>
      <c r="H2390" t="s">
        <v>1755</v>
      </c>
      <c r="I2390" t="s">
        <v>5410</v>
      </c>
      <c r="M2390" t="s">
        <v>1757</v>
      </c>
    </row>
    <row r="2391" spans="1:13" x14ac:dyDescent="0.45">
      <c r="A2391" t="s">
        <v>5411</v>
      </c>
      <c r="B2391">
        <v>1</v>
      </c>
      <c r="C2391" t="s">
        <v>1774</v>
      </c>
      <c r="G2391" s="3">
        <v>2350.7818770847589</v>
      </c>
      <c r="H2391" t="s">
        <v>1755</v>
      </c>
      <c r="I2391" t="s">
        <v>5411</v>
      </c>
      <c r="M2391" t="s">
        <v>1757</v>
      </c>
    </row>
    <row r="2392" spans="1:13" x14ac:dyDescent="0.45">
      <c r="A2392" t="s">
        <v>5412</v>
      </c>
      <c r="B2392">
        <v>2</v>
      </c>
      <c r="C2392" t="s">
        <v>1774</v>
      </c>
      <c r="G2392" s="3">
        <v>2409.1769149511651</v>
      </c>
      <c r="H2392" t="s">
        <v>1755</v>
      </c>
      <c r="I2392" t="s">
        <v>5412</v>
      </c>
      <c r="M2392" t="s">
        <v>1757</v>
      </c>
    </row>
    <row r="2393" spans="1:13" x14ac:dyDescent="0.45">
      <c r="A2393" t="s">
        <v>5413</v>
      </c>
      <c r="B2393">
        <v>1</v>
      </c>
      <c r="C2393" t="s">
        <v>1774</v>
      </c>
      <c r="G2393" s="3">
        <v>2340.488381804018</v>
      </c>
      <c r="H2393" t="s">
        <v>1755</v>
      </c>
      <c r="I2393" t="s">
        <v>5413</v>
      </c>
      <c r="M2393" t="s">
        <v>1757</v>
      </c>
    </row>
    <row r="2394" spans="1:13" x14ac:dyDescent="0.45">
      <c r="A2394" t="s">
        <v>5414</v>
      </c>
      <c r="B2394">
        <v>1</v>
      </c>
      <c r="C2394" t="s">
        <v>1774</v>
      </c>
      <c r="G2394" s="3">
        <v>1905.2163879221389</v>
      </c>
      <c r="H2394" t="s">
        <v>1755</v>
      </c>
      <c r="I2394" t="s">
        <v>5414</v>
      </c>
      <c r="M2394" t="s">
        <v>1757</v>
      </c>
    </row>
    <row r="2395" spans="1:13" x14ac:dyDescent="0.45">
      <c r="A2395" t="s">
        <v>5415</v>
      </c>
      <c r="B2395">
        <v>1</v>
      </c>
      <c r="C2395" t="s">
        <v>1774</v>
      </c>
      <c r="G2395" s="3">
        <v>2795.616775961294</v>
      </c>
      <c r="H2395" t="s">
        <v>1755</v>
      </c>
      <c r="I2395" t="s">
        <v>5415</v>
      </c>
      <c r="M2395" t="s">
        <v>1757</v>
      </c>
    </row>
    <row r="2396" spans="1:13" x14ac:dyDescent="0.45">
      <c r="A2396" t="s">
        <v>5416</v>
      </c>
      <c r="B2396">
        <v>1</v>
      </c>
      <c r="C2396" t="s">
        <v>1774</v>
      </c>
      <c r="G2396" s="3">
        <v>2724.889765453418</v>
      </c>
      <c r="H2396" t="s">
        <v>1755</v>
      </c>
      <c r="I2396" t="s">
        <v>5416</v>
      </c>
      <c r="M2396" t="s">
        <v>1757</v>
      </c>
    </row>
    <row r="2397" spans="1:13" x14ac:dyDescent="0.45">
      <c r="A2397" t="s">
        <v>5417</v>
      </c>
      <c r="B2397">
        <v>2</v>
      </c>
      <c r="C2397" t="s">
        <v>1774</v>
      </c>
      <c r="G2397" s="3">
        <v>5327.731814365231</v>
      </c>
      <c r="H2397" t="s">
        <v>1755</v>
      </c>
      <c r="I2397" t="s">
        <v>5417</v>
      </c>
      <c r="M2397" t="s">
        <v>1757</v>
      </c>
    </row>
    <row r="2398" spans="1:13" x14ac:dyDescent="0.45">
      <c r="A2398" t="s">
        <v>5418</v>
      </c>
      <c r="B2398">
        <v>1</v>
      </c>
      <c r="C2398" t="s">
        <v>1774</v>
      </c>
      <c r="G2398" s="3">
        <v>5436.0157317671892</v>
      </c>
      <c r="H2398" t="s">
        <v>1755</v>
      </c>
      <c r="I2398" t="s">
        <v>5418</v>
      </c>
      <c r="M2398" t="s">
        <v>1757</v>
      </c>
    </row>
    <row r="2399" spans="1:13" x14ac:dyDescent="0.45">
      <c r="A2399" t="s">
        <v>5419</v>
      </c>
      <c r="B2399">
        <v>1</v>
      </c>
      <c r="C2399" t="s">
        <v>1774</v>
      </c>
      <c r="G2399" s="3">
        <v>893.49235049990978</v>
      </c>
      <c r="H2399" t="s">
        <v>1755</v>
      </c>
      <c r="I2399" t="s">
        <v>5419</v>
      </c>
      <c r="M2399" t="s">
        <v>1757</v>
      </c>
    </row>
    <row r="2400" spans="1:13" x14ac:dyDescent="0.45">
      <c r="A2400" t="s">
        <v>5420</v>
      </c>
      <c r="B2400">
        <v>3</v>
      </c>
      <c r="C2400" t="s">
        <v>1774</v>
      </c>
      <c r="G2400" s="3">
        <v>2817.5181767249728</v>
      </c>
      <c r="H2400" t="s">
        <v>1755</v>
      </c>
      <c r="I2400" t="s">
        <v>5420</v>
      </c>
      <c r="M2400" t="s">
        <v>1757</v>
      </c>
    </row>
    <row r="2401" spans="1:13" x14ac:dyDescent="0.45">
      <c r="A2401" t="s">
        <v>5421</v>
      </c>
      <c r="B2401">
        <v>1</v>
      </c>
      <c r="C2401" t="s">
        <v>1774</v>
      </c>
      <c r="G2401" s="3">
        <v>995.40643384506041</v>
      </c>
      <c r="H2401" t="s">
        <v>1755</v>
      </c>
      <c r="I2401" t="s">
        <v>5421</v>
      </c>
      <c r="M2401" t="s">
        <v>1757</v>
      </c>
    </row>
    <row r="2402" spans="1:13" x14ac:dyDescent="0.45">
      <c r="A2402" t="s">
        <v>5422</v>
      </c>
      <c r="B2402">
        <v>1</v>
      </c>
      <c r="C2402" t="s">
        <v>1774</v>
      </c>
      <c r="G2402" s="3">
        <v>1925.1967276210671</v>
      </c>
      <c r="H2402" t="s">
        <v>1755</v>
      </c>
      <c r="I2402" t="s">
        <v>5422</v>
      </c>
      <c r="M2402" t="s">
        <v>1757</v>
      </c>
    </row>
    <row r="2403" spans="1:13" x14ac:dyDescent="0.45">
      <c r="A2403" t="s">
        <v>5423</v>
      </c>
      <c r="B2403">
        <v>1</v>
      </c>
      <c r="C2403" t="s">
        <v>1774</v>
      </c>
      <c r="G2403" s="3">
        <v>509.66500207529191</v>
      </c>
      <c r="H2403" t="s">
        <v>1755</v>
      </c>
      <c r="I2403" t="s">
        <v>5423</v>
      </c>
      <c r="M2403" t="s">
        <v>1757</v>
      </c>
    </row>
    <row r="2404" spans="1:13" x14ac:dyDescent="0.45">
      <c r="A2404" t="s">
        <v>5424</v>
      </c>
      <c r="B2404">
        <v>1</v>
      </c>
      <c r="C2404" t="s">
        <v>1774</v>
      </c>
      <c r="G2404" s="3">
        <v>963.11695245110286</v>
      </c>
      <c r="H2404" t="s">
        <v>1755</v>
      </c>
      <c r="I2404" t="s">
        <v>5424</v>
      </c>
      <c r="M2404" t="s">
        <v>1757</v>
      </c>
    </row>
    <row r="2405" spans="1:13" x14ac:dyDescent="0.45">
      <c r="A2405" t="s">
        <v>5425</v>
      </c>
      <c r="B2405">
        <v>1</v>
      </c>
      <c r="C2405" t="s">
        <v>1774</v>
      </c>
      <c r="G2405" s="3">
        <v>1335.479904198977</v>
      </c>
      <c r="H2405" t="s">
        <v>1755</v>
      </c>
      <c r="I2405" t="s">
        <v>5425</v>
      </c>
      <c r="M2405" t="s">
        <v>1757</v>
      </c>
    </row>
    <row r="2406" spans="1:13" x14ac:dyDescent="0.45">
      <c r="A2406" t="s">
        <v>5426</v>
      </c>
      <c r="B2406">
        <v>1</v>
      </c>
      <c r="C2406" t="s">
        <v>1774</v>
      </c>
      <c r="G2406" s="3">
        <v>1704.5095377665871</v>
      </c>
      <c r="H2406" t="s">
        <v>1755</v>
      </c>
      <c r="I2406" t="s">
        <v>5426</v>
      </c>
      <c r="M2406" t="s">
        <v>1757</v>
      </c>
    </row>
    <row r="2407" spans="1:13" x14ac:dyDescent="0.45">
      <c r="A2407" t="s">
        <v>5427</v>
      </c>
      <c r="B2407">
        <v>1</v>
      </c>
      <c r="C2407" t="s">
        <v>1774</v>
      </c>
      <c r="G2407" s="3">
        <v>637.43676304582596</v>
      </c>
      <c r="H2407" t="s">
        <v>1755</v>
      </c>
      <c r="I2407" t="s">
        <v>5427</v>
      </c>
      <c r="M2407" t="s">
        <v>1757</v>
      </c>
    </row>
    <row r="2408" spans="1:13" x14ac:dyDescent="0.45">
      <c r="A2408" t="s">
        <v>5428</v>
      </c>
      <c r="B2408">
        <v>1</v>
      </c>
      <c r="C2408" t="s">
        <v>1774</v>
      </c>
      <c r="G2408" s="3">
        <v>3290.2329227687351</v>
      </c>
      <c r="H2408" t="s">
        <v>1755</v>
      </c>
      <c r="I2408" t="s">
        <v>5428</v>
      </c>
      <c r="M2408" t="s">
        <v>1757</v>
      </c>
    </row>
    <row r="2409" spans="1:13" x14ac:dyDescent="0.45">
      <c r="A2409" t="s">
        <v>5429</v>
      </c>
      <c r="B2409">
        <v>1</v>
      </c>
      <c r="C2409" t="s">
        <v>1774</v>
      </c>
      <c r="G2409" s="3">
        <v>1224.788952729469</v>
      </c>
      <c r="H2409" t="s">
        <v>1755</v>
      </c>
      <c r="I2409" t="s">
        <v>5429</v>
      </c>
      <c r="M2409" t="s">
        <v>1757</v>
      </c>
    </row>
    <row r="2410" spans="1:13" x14ac:dyDescent="0.45">
      <c r="A2410" t="s">
        <v>5430</v>
      </c>
      <c r="B2410">
        <v>1</v>
      </c>
      <c r="C2410" t="s">
        <v>1774</v>
      </c>
      <c r="G2410" s="3">
        <v>2953.0394132300571</v>
      </c>
      <c r="H2410" t="s">
        <v>1755</v>
      </c>
      <c r="I2410" t="s">
        <v>5430</v>
      </c>
      <c r="M2410" t="s">
        <v>1757</v>
      </c>
    </row>
    <row r="2411" spans="1:13" x14ac:dyDescent="0.45">
      <c r="A2411" t="s">
        <v>5431</v>
      </c>
      <c r="B2411">
        <v>4</v>
      </c>
      <c r="C2411" t="s">
        <v>1774</v>
      </c>
      <c r="G2411" s="3">
        <v>2702.5056532507178</v>
      </c>
      <c r="H2411" t="s">
        <v>1755</v>
      </c>
      <c r="I2411" t="s">
        <v>5431</v>
      </c>
      <c r="M2411" t="s">
        <v>1757</v>
      </c>
    </row>
    <row r="2412" spans="1:13" x14ac:dyDescent="0.45">
      <c r="A2412" t="s">
        <v>5432</v>
      </c>
      <c r="B2412">
        <v>1</v>
      </c>
      <c r="C2412" t="s">
        <v>1774</v>
      </c>
      <c r="G2412" s="3">
        <v>2052.9750117191552</v>
      </c>
      <c r="H2412" t="s">
        <v>1755</v>
      </c>
      <c r="I2412" t="s">
        <v>5432</v>
      </c>
      <c r="M2412" t="s">
        <v>1757</v>
      </c>
    </row>
    <row r="2413" spans="1:13" x14ac:dyDescent="0.45">
      <c r="A2413" t="s">
        <v>5433</v>
      </c>
      <c r="B2413">
        <v>1</v>
      </c>
      <c r="C2413" t="s">
        <v>1774</v>
      </c>
      <c r="G2413" s="3">
        <v>2091.882206016985</v>
      </c>
      <c r="H2413" t="s">
        <v>1755</v>
      </c>
      <c r="I2413" t="s">
        <v>5433</v>
      </c>
      <c r="M2413" t="s">
        <v>1757</v>
      </c>
    </row>
    <row r="2414" spans="1:13" x14ac:dyDescent="0.45">
      <c r="A2414" t="s">
        <v>5434</v>
      </c>
      <c r="B2414">
        <v>1</v>
      </c>
      <c r="C2414" t="s">
        <v>1774</v>
      </c>
      <c r="G2414" s="3">
        <v>2518.8502585221968</v>
      </c>
      <c r="H2414" t="s">
        <v>1755</v>
      </c>
      <c r="I2414" t="s">
        <v>5434</v>
      </c>
      <c r="M2414" t="s">
        <v>1757</v>
      </c>
    </row>
    <row r="2415" spans="1:13" x14ac:dyDescent="0.45">
      <c r="A2415" t="s">
        <v>5435</v>
      </c>
      <c r="B2415">
        <v>1</v>
      </c>
      <c r="C2415" t="s">
        <v>1774</v>
      </c>
      <c r="G2415" s="3">
        <v>2646.0349380128409</v>
      </c>
      <c r="H2415" t="s">
        <v>1755</v>
      </c>
      <c r="I2415" t="s">
        <v>5435</v>
      </c>
      <c r="M2415" t="s">
        <v>1757</v>
      </c>
    </row>
    <row r="2416" spans="1:13" x14ac:dyDescent="0.45">
      <c r="A2416" t="s">
        <v>5436</v>
      </c>
      <c r="B2416">
        <v>1</v>
      </c>
      <c r="C2416" t="s">
        <v>1774</v>
      </c>
      <c r="G2416" s="3">
        <v>3459.769007905898</v>
      </c>
      <c r="H2416" t="s">
        <v>1755</v>
      </c>
      <c r="I2416" t="s">
        <v>5436</v>
      </c>
      <c r="M2416" t="s">
        <v>1757</v>
      </c>
    </row>
    <row r="2417" spans="1:13" x14ac:dyDescent="0.45">
      <c r="A2417" t="s">
        <v>5437</v>
      </c>
      <c r="B2417">
        <v>1</v>
      </c>
      <c r="C2417" t="s">
        <v>1774</v>
      </c>
      <c r="G2417" s="3">
        <v>1822.0791272421411</v>
      </c>
      <c r="H2417" t="s">
        <v>1755</v>
      </c>
      <c r="I2417" t="s">
        <v>5437</v>
      </c>
      <c r="M2417" t="s">
        <v>1757</v>
      </c>
    </row>
    <row r="2418" spans="1:13" x14ac:dyDescent="0.45">
      <c r="A2418" t="s">
        <v>5438</v>
      </c>
      <c r="B2418">
        <v>1</v>
      </c>
      <c r="C2418" t="s">
        <v>1774</v>
      </c>
      <c r="G2418" s="3">
        <v>1273.810256300296</v>
      </c>
      <c r="H2418" t="s">
        <v>1755</v>
      </c>
      <c r="I2418" t="s">
        <v>5438</v>
      </c>
      <c r="M2418" t="s">
        <v>1757</v>
      </c>
    </row>
    <row r="2419" spans="1:13" x14ac:dyDescent="0.45">
      <c r="A2419" t="s">
        <v>5439</v>
      </c>
      <c r="B2419">
        <v>1</v>
      </c>
      <c r="C2419" t="s">
        <v>1774</v>
      </c>
      <c r="G2419" s="3">
        <v>2916.4479292140159</v>
      </c>
      <c r="H2419" t="s">
        <v>1755</v>
      </c>
      <c r="I2419" t="s">
        <v>5439</v>
      </c>
      <c r="M2419" t="s">
        <v>1757</v>
      </c>
    </row>
    <row r="2420" spans="1:13" x14ac:dyDescent="0.45">
      <c r="A2420" t="s">
        <v>5440</v>
      </c>
      <c r="B2420">
        <v>1</v>
      </c>
      <c r="C2420" t="s">
        <v>1774</v>
      </c>
      <c r="G2420" s="3">
        <v>2125.8318233735208</v>
      </c>
      <c r="H2420" t="s">
        <v>1755</v>
      </c>
      <c r="I2420" t="s">
        <v>5440</v>
      </c>
      <c r="M2420" t="s">
        <v>1757</v>
      </c>
    </row>
    <row r="2421" spans="1:13" x14ac:dyDescent="0.45">
      <c r="A2421" t="s">
        <v>5441</v>
      </c>
      <c r="B2421">
        <v>1</v>
      </c>
      <c r="C2421" t="s">
        <v>1774</v>
      </c>
      <c r="G2421" s="3">
        <v>1879.2510786921091</v>
      </c>
      <c r="H2421" t="s">
        <v>1755</v>
      </c>
      <c r="I2421" t="s">
        <v>5441</v>
      </c>
      <c r="M2421" t="s">
        <v>1757</v>
      </c>
    </row>
    <row r="2422" spans="1:13" x14ac:dyDescent="0.45">
      <c r="A2422" t="s">
        <v>5442</v>
      </c>
      <c r="B2422">
        <v>2</v>
      </c>
      <c r="C2422" t="s">
        <v>1774</v>
      </c>
      <c r="G2422" s="3">
        <v>2717.4207844037051</v>
      </c>
      <c r="H2422" t="s">
        <v>1755</v>
      </c>
      <c r="I2422" t="s">
        <v>5442</v>
      </c>
      <c r="M2422" t="s">
        <v>1757</v>
      </c>
    </row>
    <row r="2423" spans="1:13" x14ac:dyDescent="0.45">
      <c r="A2423" t="s">
        <v>5443</v>
      </c>
      <c r="B2423">
        <v>1</v>
      </c>
      <c r="C2423" t="s">
        <v>1774</v>
      </c>
      <c r="G2423" s="3">
        <v>4654.5124351201002</v>
      </c>
      <c r="H2423" t="s">
        <v>1755</v>
      </c>
      <c r="I2423" t="s">
        <v>5443</v>
      </c>
      <c r="M2423" t="s">
        <v>1757</v>
      </c>
    </row>
    <row r="2424" spans="1:13" x14ac:dyDescent="0.45">
      <c r="A2424" t="s">
        <v>5444</v>
      </c>
      <c r="B2424">
        <v>1</v>
      </c>
      <c r="C2424" t="s">
        <v>1774</v>
      </c>
      <c r="G2424" s="3">
        <v>554.29624080205099</v>
      </c>
      <c r="H2424" t="s">
        <v>1755</v>
      </c>
      <c r="I2424" t="s">
        <v>5444</v>
      </c>
      <c r="M2424" t="s">
        <v>1757</v>
      </c>
    </row>
    <row r="2425" spans="1:13" x14ac:dyDescent="0.45">
      <c r="A2425" t="s">
        <v>5445</v>
      </c>
      <c r="B2425">
        <v>1</v>
      </c>
      <c r="C2425" t="s">
        <v>1774</v>
      </c>
      <c r="G2425" s="3">
        <v>4205.4929499174596</v>
      </c>
      <c r="H2425" t="s">
        <v>1755</v>
      </c>
      <c r="I2425" t="s">
        <v>5445</v>
      </c>
      <c r="M2425" t="s">
        <v>1757</v>
      </c>
    </row>
    <row r="2426" spans="1:13" x14ac:dyDescent="0.45">
      <c r="A2426" t="s">
        <v>5446</v>
      </c>
      <c r="B2426">
        <v>1</v>
      </c>
      <c r="C2426" t="s">
        <v>1774</v>
      </c>
      <c r="G2426" s="3">
        <v>6785.7160540346176</v>
      </c>
      <c r="H2426" t="s">
        <v>1755</v>
      </c>
      <c r="I2426" t="s">
        <v>5446</v>
      </c>
      <c r="M2426" t="s">
        <v>1757</v>
      </c>
    </row>
    <row r="2427" spans="1:13" x14ac:dyDescent="0.45">
      <c r="A2427" t="s">
        <v>5447</v>
      </c>
      <c r="B2427">
        <v>1</v>
      </c>
      <c r="C2427" t="s">
        <v>1774</v>
      </c>
      <c r="G2427" s="3">
        <v>4836.344615697185</v>
      </c>
      <c r="H2427" t="s">
        <v>1755</v>
      </c>
      <c r="I2427" t="s">
        <v>5447</v>
      </c>
      <c r="M2427" t="s">
        <v>1757</v>
      </c>
    </row>
    <row r="2428" spans="1:13" x14ac:dyDescent="0.45">
      <c r="A2428" t="s">
        <v>5448</v>
      </c>
      <c r="B2428">
        <v>1</v>
      </c>
      <c r="C2428" t="s">
        <v>1774</v>
      </c>
      <c r="G2428" s="3">
        <v>800.07137923050288</v>
      </c>
      <c r="H2428" t="s">
        <v>1755</v>
      </c>
      <c r="I2428" t="s">
        <v>5448</v>
      </c>
      <c r="M2428" t="s">
        <v>1757</v>
      </c>
    </row>
    <row r="2429" spans="1:13" x14ac:dyDescent="0.45">
      <c r="A2429" t="s">
        <v>5449</v>
      </c>
      <c r="B2429">
        <v>1</v>
      </c>
      <c r="C2429" t="s">
        <v>1774</v>
      </c>
      <c r="G2429" s="3">
        <v>4664.0362013494296</v>
      </c>
      <c r="H2429" t="s">
        <v>1755</v>
      </c>
      <c r="I2429" t="s">
        <v>5449</v>
      </c>
      <c r="M2429" t="s">
        <v>1757</v>
      </c>
    </row>
    <row r="2430" spans="1:13" x14ac:dyDescent="0.45">
      <c r="A2430" t="s">
        <v>5450</v>
      </c>
      <c r="B2430">
        <v>1</v>
      </c>
      <c r="C2430" t="s">
        <v>1774</v>
      </c>
      <c r="H2430" t="s">
        <v>1755</v>
      </c>
      <c r="I2430" t="s">
        <v>5450</v>
      </c>
      <c r="M2430" t="s">
        <v>1757</v>
      </c>
    </row>
    <row r="2431" spans="1:13" x14ac:dyDescent="0.45">
      <c r="A2431" t="s">
        <v>5451</v>
      </c>
      <c r="B2431">
        <v>1</v>
      </c>
      <c r="C2431" t="s">
        <v>1774</v>
      </c>
      <c r="G2431" s="3">
        <v>4249.3935983581332</v>
      </c>
      <c r="H2431" t="s">
        <v>1755</v>
      </c>
      <c r="I2431" t="s">
        <v>5451</v>
      </c>
      <c r="M2431" t="s">
        <v>1757</v>
      </c>
    </row>
    <row r="2432" spans="1:13" x14ac:dyDescent="0.45">
      <c r="A2432" t="s">
        <v>5452</v>
      </c>
      <c r="B2432">
        <v>1</v>
      </c>
      <c r="C2432" t="s">
        <v>1774</v>
      </c>
      <c r="G2432" s="3">
        <v>2555.976638997694</v>
      </c>
      <c r="H2432" t="s">
        <v>1755</v>
      </c>
      <c r="I2432" t="s">
        <v>5452</v>
      </c>
      <c r="M2432" t="s">
        <v>1757</v>
      </c>
    </row>
    <row r="2433" spans="1:13" x14ac:dyDescent="0.45">
      <c r="A2433" t="s">
        <v>5453</v>
      </c>
      <c r="B2433">
        <v>3</v>
      </c>
      <c r="C2433" t="s">
        <v>1774</v>
      </c>
      <c r="G2433" s="3">
        <v>1254.9094942116101</v>
      </c>
      <c r="H2433" t="s">
        <v>1755</v>
      </c>
      <c r="I2433" t="s">
        <v>5453</v>
      </c>
      <c r="M2433" t="s">
        <v>1757</v>
      </c>
    </row>
    <row r="2434" spans="1:13" x14ac:dyDescent="0.45">
      <c r="A2434" t="s">
        <v>5454</v>
      </c>
      <c r="B2434">
        <v>1</v>
      </c>
      <c r="C2434" t="s">
        <v>1774</v>
      </c>
      <c r="G2434" s="3">
        <v>3463.0305716830658</v>
      </c>
      <c r="H2434" t="s">
        <v>1755</v>
      </c>
      <c r="I2434" t="s">
        <v>5454</v>
      </c>
      <c r="M2434" t="s">
        <v>1757</v>
      </c>
    </row>
    <row r="2435" spans="1:13" x14ac:dyDescent="0.45">
      <c r="A2435" t="s">
        <v>5455</v>
      </c>
      <c r="B2435">
        <v>1</v>
      </c>
      <c r="C2435" t="s">
        <v>1774</v>
      </c>
      <c r="G2435" s="3">
        <v>883.0325154665336</v>
      </c>
      <c r="H2435" t="s">
        <v>1755</v>
      </c>
      <c r="I2435" t="s">
        <v>5455</v>
      </c>
      <c r="M2435" t="s">
        <v>1757</v>
      </c>
    </row>
    <row r="2436" spans="1:13" x14ac:dyDescent="0.45">
      <c r="A2436" t="s">
        <v>5456</v>
      </c>
      <c r="B2436">
        <v>1</v>
      </c>
      <c r="C2436" t="s">
        <v>1774</v>
      </c>
      <c r="G2436" s="3">
        <v>2183.85504296933</v>
      </c>
      <c r="H2436" t="s">
        <v>1755</v>
      </c>
      <c r="I2436" t="s">
        <v>5456</v>
      </c>
      <c r="M2436" t="s">
        <v>1757</v>
      </c>
    </row>
    <row r="2437" spans="1:13" x14ac:dyDescent="0.45">
      <c r="A2437" t="s">
        <v>5457</v>
      </c>
      <c r="B2437">
        <v>1</v>
      </c>
      <c r="C2437" t="s">
        <v>1774</v>
      </c>
      <c r="G2437" s="3">
        <v>1757.3533940842531</v>
      </c>
      <c r="H2437" t="s">
        <v>1755</v>
      </c>
      <c r="I2437" t="s">
        <v>5457</v>
      </c>
      <c r="M2437" t="s">
        <v>1757</v>
      </c>
    </row>
    <row r="2438" spans="1:13" x14ac:dyDescent="0.45">
      <c r="A2438" t="s">
        <v>5458</v>
      </c>
      <c r="B2438">
        <v>1</v>
      </c>
      <c r="C2438" t="s">
        <v>1774</v>
      </c>
      <c r="G2438" s="3">
        <v>3560.4208660692861</v>
      </c>
      <c r="H2438" t="s">
        <v>1755</v>
      </c>
      <c r="I2438" t="s">
        <v>5458</v>
      </c>
      <c r="M2438" t="s">
        <v>1757</v>
      </c>
    </row>
    <row r="2439" spans="1:13" x14ac:dyDescent="0.45">
      <c r="A2439" t="s">
        <v>5459</v>
      </c>
      <c r="B2439">
        <v>1</v>
      </c>
      <c r="C2439" t="s">
        <v>1774</v>
      </c>
      <c r="G2439" s="3">
        <v>3248.859986255366</v>
      </c>
      <c r="H2439" t="s">
        <v>1755</v>
      </c>
      <c r="I2439" t="s">
        <v>5459</v>
      </c>
      <c r="M2439" t="s">
        <v>1757</v>
      </c>
    </row>
    <row r="2440" spans="1:13" x14ac:dyDescent="0.45">
      <c r="A2440" t="s">
        <v>5460</v>
      </c>
      <c r="B2440">
        <v>1</v>
      </c>
      <c r="C2440" t="s">
        <v>1774</v>
      </c>
      <c r="G2440" s="3">
        <v>3194.8354438503652</v>
      </c>
      <c r="H2440" t="s">
        <v>1755</v>
      </c>
      <c r="I2440" t="s">
        <v>5460</v>
      </c>
      <c r="M2440" t="s">
        <v>1757</v>
      </c>
    </row>
    <row r="2441" spans="1:13" x14ac:dyDescent="0.45">
      <c r="A2441" t="s">
        <v>5461</v>
      </c>
      <c r="B2441">
        <v>1</v>
      </c>
      <c r="C2441" t="s">
        <v>1774</v>
      </c>
      <c r="G2441" s="3">
        <v>4309.7651438735038</v>
      </c>
      <c r="H2441" t="s">
        <v>1755</v>
      </c>
      <c r="I2441" t="s">
        <v>5461</v>
      </c>
      <c r="M2441" t="s">
        <v>1757</v>
      </c>
    </row>
    <row r="2442" spans="1:13" x14ac:dyDescent="0.45">
      <c r="A2442" t="s">
        <v>5462</v>
      </c>
      <c r="B2442">
        <v>1</v>
      </c>
      <c r="C2442" t="s">
        <v>1774</v>
      </c>
      <c r="G2442" s="3">
        <v>3533.186808529937</v>
      </c>
      <c r="H2442" t="s">
        <v>1755</v>
      </c>
      <c r="I2442" t="s">
        <v>5462</v>
      </c>
      <c r="M2442" t="s">
        <v>1757</v>
      </c>
    </row>
    <row r="2443" spans="1:13" x14ac:dyDescent="0.45">
      <c r="A2443" t="s">
        <v>5463</v>
      </c>
      <c r="B2443">
        <v>1</v>
      </c>
      <c r="C2443" t="s">
        <v>1774</v>
      </c>
      <c r="G2443" s="3">
        <v>874.75140503630553</v>
      </c>
      <c r="H2443" t="s">
        <v>1755</v>
      </c>
      <c r="I2443" t="s">
        <v>5463</v>
      </c>
      <c r="M2443" t="s">
        <v>1757</v>
      </c>
    </row>
    <row r="2444" spans="1:13" x14ac:dyDescent="0.45">
      <c r="A2444" t="s">
        <v>5464</v>
      </c>
      <c r="B2444">
        <v>2</v>
      </c>
      <c r="C2444" t="s">
        <v>1774</v>
      </c>
      <c r="G2444" s="3">
        <v>4280.2806073279089</v>
      </c>
      <c r="H2444" t="s">
        <v>1755</v>
      </c>
      <c r="I2444" t="s">
        <v>5464</v>
      </c>
      <c r="M2444" t="s">
        <v>1757</v>
      </c>
    </row>
    <row r="2445" spans="1:13" x14ac:dyDescent="0.45">
      <c r="A2445" t="s">
        <v>5465</v>
      </c>
      <c r="B2445">
        <v>1</v>
      </c>
      <c r="C2445" t="s">
        <v>1774</v>
      </c>
      <c r="G2445" s="3">
        <v>4883.637290466113</v>
      </c>
      <c r="H2445" t="s">
        <v>1755</v>
      </c>
      <c r="I2445" t="s">
        <v>5465</v>
      </c>
      <c r="M2445" t="s">
        <v>1757</v>
      </c>
    </row>
    <row r="2446" spans="1:13" x14ac:dyDescent="0.45">
      <c r="A2446" t="s">
        <v>5466</v>
      </c>
      <c r="B2446">
        <v>1</v>
      </c>
      <c r="C2446" t="s">
        <v>1774</v>
      </c>
      <c r="G2446" s="3">
        <v>4212.2117712984254</v>
      </c>
      <c r="H2446" t="s">
        <v>1755</v>
      </c>
      <c r="I2446" t="s">
        <v>5466</v>
      </c>
      <c r="M2446" t="s">
        <v>1757</v>
      </c>
    </row>
    <row r="2447" spans="1:13" x14ac:dyDescent="0.45">
      <c r="A2447" t="s">
        <v>5467</v>
      </c>
      <c r="B2447">
        <v>1</v>
      </c>
      <c r="C2447" t="s">
        <v>1774</v>
      </c>
      <c r="G2447" s="3">
        <v>3140.520622269195</v>
      </c>
      <c r="H2447" t="s">
        <v>1755</v>
      </c>
      <c r="I2447" t="s">
        <v>5467</v>
      </c>
      <c r="M2447" t="s">
        <v>1757</v>
      </c>
    </row>
    <row r="2448" spans="1:13" x14ac:dyDescent="0.45">
      <c r="A2448" t="s">
        <v>5468</v>
      </c>
      <c r="B2448">
        <v>1</v>
      </c>
      <c r="C2448" t="s">
        <v>1774</v>
      </c>
      <c r="G2448" s="3">
        <v>2308.169546336067</v>
      </c>
      <c r="H2448" t="s">
        <v>1755</v>
      </c>
      <c r="I2448" t="s">
        <v>5468</v>
      </c>
      <c r="M2448" t="s">
        <v>1757</v>
      </c>
    </row>
    <row r="2449" spans="1:13" x14ac:dyDescent="0.45">
      <c r="A2449" t="s">
        <v>5469</v>
      </c>
      <c r="B2449">
        <v>1</v>
      </c>
      <c r="C2449" t="s">
        <v>1774</v>
      </c>
      <c r="G2449" s="3">
        <v>2344.88496977564</v>
      </c>
      <c r="H2449" t="s">
        <v>1755</v>
      </c>
      <c r="I2449" t="s">
        <v>5469</v>
      </c>
      <c r="M2449" t="s">
        <v>1757</v>
      </c>
    </row>
    <row r="2450" spans="1:13" x14ac:dyDescent="0.45">
      <c r="A2450" t="s">
        <v>5470</v>
      </c>
      <c r="B2450">
        <v>1</v>
      </c>
      <c r="C2450" t="s">
        <v>1774</v>
      </c>
      <c r="G2450" s="3">
        <v>3204.1048081050749</v>
      </c>
      <c r="H2450" t="s">
        <v>1755</v>
      </c>
      <c r="I2450" t="s">
        <v>5470</v>
      </c>
      <c r="M2450" t="s">
        <v>1757</v>
      </c>
    </row>
    <row r="2451" spans="1:13" x14ac:dyDescent="0.45">
      <c r="A2451" t="s">
        <v>5471</v>
      </c>
      <c r="B2451">
        <v>1</v>
      </c>
      <c r="C2451" t="s">
        <v>1774</v>
      </c>
      <c r="H2451" t="s">
        <v>1755</v>
      </c>
      <c r="I2451" t="s">
        <v>5471</v>
      </c>
      <c r="M2451" t="s">
        <v>1757</v>
      </c>
    </row>
    <row r="2452" spans="1:13" x14ac:dyDescent="0.45">
      <c r="A2452" t="s">
        <v>5472</v>
      </c>
      <c r="B2452">
        <v>1</v>
      </c>
      <c r="C2452" t="s">
        <v>1774</v>
      </c>
      <c r="G2452" s="3">
        <v>2633.0865298174858</v>
      </c>
      <c r="H2452" t="s">
        <v>1755</v>
      </c>
      <c r="I2452" t="s">
        <v>5472</v>
      </c>
      <c r="M2452" t="s">
        <v>1757</v>
      </c>
    </row>
    <row r="2453" spans="1:13" x14ac:dyDescent="0.45">
      <c r="A2453" t="s">
        <v>5473</v>
      </c>
      <c r="B2453">
        <v>1</v>
      </c>
      <c r="C2453" t="s">
        <v>1774</v>
      </c>
      <c r="G2453" s="3">
        <v>5180.7005192905226</v>
      </c>
      <c r="H2453" t="s">
        <v>1755</v>
      </c>
      <c r="I2453" t="s">
        <v>5473</v>
      </c>
      <c r="M2453" t="s">
        <v>1757</v>
      </c>
    </row>
    <row r="2454" spans="1:13" x14ac:dyDescent="0.45">
      <c r="A2454" t="s">
        <v>5474</v>
      </c>
      <c r="B2454">
        <v>1</v>
      </c>
      <c r="C2454" t="s">
        <v>1774</v>
      </c>
      <c r="G2454" s="3">
        <v>1256.8370784039159</v>
      </c>
      <c r="H2454" t="s">
        <v>1755</v>
      </c>
      <c r="I2454" t="s">
        <v>5474</v>
      </c>
      <c r="M2454" t="s">
        <v>1757</v>
      </c>
    </row>
    <row r="2455" spans="1:13" x14ac:dyDescent="0.45">
      <c r="A2455" t="s">
        <v>5475</v>
      </c>
      <c r="B2455">
        <v>4</v>
      </c>
      <c r="C2455" t="s">
        <v>1774</v>
      </c>
      <c r="G2455" s="3">
        <v>1719.8910725397079</v>
      </c>
      <c r="H2455" t="s">
        <v>1755</v>
      </c>
      <c r="I2455" t="s">
        <v>5475</v>
      </c>
      <c r="M2455" t="s">
        <v>1757</v>
      </c>
    </row>
    <row r="2456" spans="1:13" x14ac:dyDescent="0.45">
      <c r="A2456" t="s">
        <v>5476</v>
      </c>
      <c r="B2456">
        <v>1</v>
      </c>
      <c r="C2456" t="s">
        <v>1774</v>
      </c>
      <c r="H2456" t="s">
        <v>1755</v>
      </c>
      <c r="I2456" t="s">
        <v>5476</v>
      </c>
      <c r="M2456" t="s">
        <v>1757</v>
      </c>
    </row>
    <row r="2457" spans="1:13" x14ac:dyDescent="0.45">
      <c r="A2457" t="s">
        <v>5477</v>
      </c>
      <c r="B2457">
        <v>1</v>
      </c>
      <c r="C2457" t="s">
        <v>1774</v>
      </c>
      <c r="G2457" s="3">
        <v>721.41224561655588</v>
      </c>
      <c r="H2457" t="s">
        <v>1755</v>
      </c>
      <c r="I2457" t="s">
        <v>5477</v>
      </c>
      <c r="M2457" t="s">
        <v>1757</v>
      </c>
    </row>
    <row r="2458" spans="1:13" x14ac:dyDescent="0.45">
      <c r="A2458" t="s">
        <v>5478</v>
      </c>
      <c r="B2458">
        <v>1</v>
      </c>
      <c r="C2458" t="s">
        <v>1774</v>
      </c>
      <c r="G2458" s="3">
        <v>5426.3941186245456</v>
      </c>
      <c r="H2458" t="s">
        <v>1755</v>
      </c>
      <c r="I2458" t="s">
        <v>5478</v>
      </c>
      <c r="M2458" t="s">
        <v>1757</v>
      </c>
    </row>
    <row r="2459" spans="1:13" x14ac:dyDescent="0.45">
      <c r="A2459" t="s">
        <v>5479</v>
      </c>
      <c r="B2459">
        <v>1</v>
      </c>
      <c r="C2459" t="s">
        <v>1774</v>
      </c>
      <c r="G2459" s="3">
        <v>2467.3273355342831</v>
      </c>
      <c r="H2459" t="s">
        <v>1755</v>
      </c>
      <c r="I2459" t="s">
        <v>5479</v>
      </c>
      <c r="M2459" t="s">
        <v>1757</v>
      </c>
    </row>
    <row r="2460" spans="1:13" x14ac:dyDescent="0.45">
      <c r="A2460" t="s">
        <v>5480</v>
      </c>
      <c r="B2460">
        <v>1</v>
      </c>
      <c r="C2460" t="s">
        <v>1774</v>
      </c>
      <c r="G2460" s="3">
        <v>5030.8968950052222</v>
      </c>
      <c r="H2460" t="s">
        <v>1755</v>
      </c>
      <c r="I2460" t="s">
        <v>5480</v>
      </c>
      <c r="M2460" t="s">
        <v>1757</v>
      </c>
    </row>
    <row r="2461" spans="1:13" x14ac:dyDescent="0.45">
      <c r="A2461" t="s">
        <v>5481</v>
      </c>
      <c r="B2461">
        <v>1</v>
      </c>
      <c r="C2461" t="s">
        <v>1774</v>
      </c>
      <c r="G2461" s="3">
        <v>2493.321998838308</v>
      </c>
      <c r="H2461" t="s">
        <v>1755</v>
      </c>
      <c r="I2461" t="s">
        <v>5481</v>
      </c>
      <c r="M2461" t="s">
        <v>1757</v>
      </c>
    </row>
    <row r="2462" spans="1:13" x14ac:dyDescent="0.45">
      <c r="A2462" t="s">
        <v>5482</v>
      </c>
      <c r="B2462">
        <v>1</v>
      </c>
      <c r="C2462" t="s">
        <v>1774</v>
      </c>
      <c r="G2462" s="3">
        <v>1634.790350465855</v>
      </c>
      <c r="H2462" t="s">
        <v>1755</v>
      </c>
      <c r="I2462" t="s">
        <v>5482</v>
      </c>
      <c r="M2462" t="s">
        <v>1757</v>
      </c>
    </row>
    <row r="2463" spans="1:13" x14ac:dyDescent="0.45">
      <c r="A2463" t="s">
        <v>5483</v>
      </c>
      <c r="B2463">
        <v>1</v>
      </c>
      <c r="C2463" t="s">
        <v>1774</v>
      </c>
      <c r="G2463" s="3">
        <v>2676.132648548542</v>
      </c>
      <c r="H2463" t="s">
        <v>1755</v>
      </c>
      <c r="I2463" t="s">
        <v>5483</v>
      </c>
      <c r="M2463" t="s">
        <v>1757</v>
      </c>
    </row>
    <row r="2464" spans="1:13" x14ac:dyDescent="0.45">
      <c r="A2464" t="s">
        <v>5484</v>
      </c>
      <c r="B2464">
        <v>1</v>
      </c>
      <c r="C2464" t="s">
        <v>1774</v>
      </c>
      <c r="G2464" s="3">
        <v>2063.8066650231281</v>
      </c>
      <c r="H2464" t="s">
        <v>1755</v>
      </c>
      <c r="I2464" t="s">
        <v>5484</v>
      </c>
      <c r="M2464" t="s">
        <v>1757</v>
      </c>
    </row>
    <row r="2465" spans="1:13" x14ac:dyDescent="0.45">
      <c r="A2465" t="s">
        <v>5485</v>
      </c>
      <c r="B2465">
        <v>1</v>
      </c>
      <c r="C2465" t="s">
        <v>1774</v>
      </c>
      <c r="G2465" s="3">
        <v>1429.908698675529</v>
      </c>
      <c r="H2465" t="s">
        <v>1755</v>
      </c>
      <c r="I2465" t="s">
        <v>5485</v>
      </c>
      <c r="M2465" t="s">
        <v>1757</v>
      </c>
    </row>
    <row r="2466" spans="1:13" x14ac:dyDescent="0.45">
      <c r="A2466" t="s">
        <v>5486</v>
      </c>
      <c r="B2466">
        <v>2</v>
      </c>
      <c r="C2466" t="s">
        <v>1774</v>
      </c>
      <c r="G2466" s="3">
        <v>4681.7791082972208</v>
      </c>
      <c r="H2466" t="s">
        <v>1755</v>
      </c>
      <c r="I2466" t="s">
        <v>5486</v>
      </c>
      <c r="M2466" t="s">
        <v>1757</v>
      </c>
    </row>
    <row r="2467" spans="1:13" x14ac:dyDescent="0.45">
      <c r="A2467" t="s">
        <v>5487</v>
      </c>
      <c r="B2467">
        <v>1</v>
      </c>
      <c r="C2467" t="s">
        <v>1774</v>
      </c>
      <c r="G2467" s="3">
        <v>1901.302511389538</v>
      </c>
      <c r="H2467" t="s">
        <v>1755</v>
      </c>
      <c r="I2467" t="s">
        <v>5487</v>
      </c>
      <c r="M2467" t="s">
        <v>1757</v>
      </c>
    </row>
    <row r="2468" spans="1:13" x14ac:dyDescent="0.45">
      <c r="A2468" t="s">
        <v>5488</v>
      </c>
      <c r="B2468">
        <v>1</v>
      </c>
      <c r="C2468" t="s">
        <v>1774</v>
      </c>
      <c r="G2468" s="3">
        <v>1845.23623006003</v>
      </c>
      <c r="H2468" t="s">
        <v>1755</v>
      </c>
      <c r="I2468" t="s">
        <v>5488</v>
      </c>
      <c r="M2468" t="s">
        <v>1757</v>
      </c>
    </row>
    <row r="2469" spans="1:13" x14ac:dyDescent="0.45">
      <c r="A2469" t="s">
        <v>5489</v>
      </c>
      <c r="B2469">
        <v>1</v>
      </c>
      <c r="C2469" t="s">
        <v>1774</v>
      </c>
      <c r="G2469" s="3">
        <v>2842.6615718831572</v>
      </c>
      <c r="H2469" t="s">
        <v>1755</v>
      </c>
      <c r="I2469" t="s">
        <v>5489</v>
      </c>
      <c r="M2469" t="s">
        <v>1757</v>
      </c>
    </row>
    <row r="2470" spans="1:13" x14ac:dyDescent="0.45">
      <c r="A2470" t="s">
        <v>5490</v>
      </c>
      <c r="B2470">
        <v>1</v>
      </c>
      <c r="C2470" t="s">
        <v>1774</v>
      </c>
      <c r="G2470" s="3">
        <v>2221.9566310142</v>
      </c>
      <c r="H2470" t="s">
        <v>1755</v>
      </c>
      <c r="I2470" t="s">
        <v>5490</v>
      </c>
      <c r="M2470" t="s">
        <v>1757</v>
      </c>
    </row>
    <row r="2471" spans="1:13" x14ac:dyDescent="0.45">
      <c r="A2471" t="s">
        <v>5491</v>
      </c>
      <c r="B2471">
        <v>1</v>
      </c>
      <c r="C2471" t="s">
        <v>1774</v>
      </c>
      <c r="G2471" s="3">
        <v>2663.366887924708</v>
      </c>
      <c r="H2471" t="s">
        <v>1755</v>
      </c>
      <c r="I2471" t="s">
        <v>5491</v>
      </c>
      <c r="M2471" t="s">
        <v>1757</v>
      </c>
    </row>
    <row r="2472" spans="1:13" x14ac:dyDescent="0.45">
      <c r="A2472" t="s">
        <v>5492</v>
      </c>
      <c r="B2472">
        <v>1</v>
      </c>
      <c r="C2472" t="s">
        <v>1774</v>
      </c>
      <c r="G2472" s="3">
        <v>2142.9224175658792</v>
      </c>
      <c r="H2472" t="s">
        <v>1755</v>
      </c>
      <c r="I2472" t="s">
        <v>5492</v>
      </c>
      <c r="M2472" t="s">
        <v>1757</v>
      </c>
    </row>
    <row r="2473" spans="1:13" x14ac:dyDescent="0.45">
      <c r="A2473" t="s">
        <v>5493</v>
      </c>
      <c r="B2473">
        <v>1</v>
      </c>
      <c r="C2473" t="s">
        <v>1774</v>
      </c>
      <c r="G2473" s="3">
        <v>2251.574891674657</v>
      </c>
      <c r="H2473" t="s">
        <v>1755</v>
      </c>
      <c r="I2473" t="s">
        <v>5493</v>
      </c>
      <c r="M2473" t="s">
        <v>1757</v>
      </c>
    </row>
    <row r="2474" spans="1:13" x14ac:dyDescent="0.45">
      <c r="A2474" t="s">
        <v>5494</v>
      </c>
      <c r="B2474">
        <v>1</v>
      </c>
      <c r="C2474" t="s">
        <v>1774</v>
      </c>
      <c r="G2474" s="3">
        <v>2019.384166378107</v>
      </c>
      <c r="H2474" t="s">
        <v>1755</v>
      </c>
      <c r="I2474" t="s">
        <v>5494</v>
      </c>
      <c r="M2474" t="s">
        <v>1757</v>
      </c>
    </row>
    <row r="2475" spans="1:13" x14ac:dyDescent="0.45">
      <c r="A2475" t="s">
        <v>5495</v>
      </c>
      <c r="B2475">
        <v>1</v>
      </c>
      <c r="C2475" t="s">
        <v>1774</v>
      </c>
      <c r="G2475" s="3">
        <v>4162.7012331610231</v>
      </c>
      <c r="H2475" t="s">
        <v>1755</v>
      </c>
      <c r="I2475" t="s">
        <v>5495</v>
      </c>
      <c r="M2475" t="s">
        <v>1757</v>
      </c>
    </row>
    <row r="2476" spans="1:13" x14ac:dyDescent="0.45">
      <c r="A2476" t="s">
        <v>5496</v>
      </c>
      <c r="B2476">
        <v>1</v>
      </c>
      <c r="C2476" t="s">
        <v>1774</v>
      </c>
      <c r="G2476" s="3">
        <v>2963.1339531203898</v>
      </c>
      <c r="H2476" t="s">
        <v>1755</v>
      </c>
      <c r="I2476" t="s">
        <v>5496</v>
      </c>
      <c r="M2476" t="s">
        <v>1757</v>
      </c>
    </row>
    <row r="2477" spans="1:13" x14ac:dyDescent="0.45">
      <c r="A2477" t="s">
        <v>5497</v>
      </c>
      <c r="B2477">
        <v>3</v>
      </c>
      <c r="C2477" t="s">
        <v>1774</v>
      </c>
      <c r="G2477" s="3">
        <v>2335.361203546312</v>
      </c>
      <c r="H2477" t="s">
        <v>1755</v>
      </c>
      <c r="I2477" t="s">
        <v>5497</v>
      </c>
      <c r="M2477" t="s">
        <v>1757</v>
      </c>
    </row>
    <row r="2478" spans="1:13" x14ac:dyDescent="0.45">
      <c r="A2478" t="s">
        <v>5498</v>
      </c>
      <c r="B2478">
        <v>1</v>
      </c>
      <c r="C2478" t="s">
        <v>1774</v>
      </c>
      <c r="G2478" s="3">
        <v>2578.31835087129</v>
      </c>
      <c r="H2478" t="s">
        <v>1755</v>
      </c>
      <c r="I2478" t="s">
        <v>5498</v>
      </c>
      <c r="M2478" t="s">
        <v>1757</v>
      </c>
    </row>
    <row r="2479" spans="1:13" x14ac:dyDescent="0.45">
      <c r="A2479" t="s">
        <v>5499</v>
      </c>
      <c r="B2479">
        <v>1</v>
      </c>
      <c r="C2479" t="s">
        <v>1774</v>
      </c>
      <c r="G2479" s="3">
        <v>3139.6791388146862</v>
      </c>
      <c r="H2479" t="s">
        <v>1755</v>
      </c>
      <c r="I2479" t="s">
        <v>5499</v>
      </c>
      <c r="M2479" t="s">
        <v>1757</v>
      </c>
    </row>
    <row r="2480" spans="1:13" x14ac:dyDescent="0.45">
      <c r="A2480" t="s">
        <v>5500</v>
      </c>
      <c r="B2480">
        <v>1</v>
      </c>
      <c r="C2480" t="s">
        <v>1774</v>
      </c>
      <c r="G2480" s="3">
        <v>997.36011054758364</v>
      </c>
      <c r="H2480" t="s">
        <v>1755</v>
      </c>
      <c r="I2480" t="s">
        <v>5500</v>
      </c>
      <c r="M2480" t="s">
        <v>1757</v>
      </c>
    </row>
    <row r="2481" spans="1:13" x14ac:dyDescent="0.45">
      <c r="A2481" t="s">
        <v>5501</v>
      </c>
      <c r="B2481">
        <v>1</v>
      </c>
      <c r="C2481" t="s">
        <v>1774</v>
      </c>
      <c r="G2481" s="3">
        <v>861.30723914682142</v>
      </c>
      <c r="H2481" t="s">
        <v>1755</v>
      </c>
      <c r="I2481" t="s">
        <v>5501</v>
      </c>
      <c r="M2481" t="s">
        <v>1757</v>
      </c>
    </row>
    <row r="2482" spans="1:13" x14ac:dyDescent="0.45">
      <c r="A2482" t="s">
        <v>5502</v>
      </c>
      <c r="B2482">
        <v>1</v>
      </c>
      <c r="C2482" t="s">
        <v>1774</v>
      </c>
      <c r="G2482" s="3">
        <v>2880.107585608816</v>
      </c>
      <c r="H2482" t="s">
        <v>1755</v>
      </c>
      <c r="I2482" t="s">
        <v>5502</v>
      </c>
      <c r="M2482" t="s">
        <v>1757</v>
      </c>
    </row>
    <row r="2483" spans="1:13" x14ac:dyDescent="0.45">
      <c r="A2483" t="s">
        <v>5503</v>
      </c>
      <c r="B2483">
        <v>1</v>
      </c>
      <c r="C2483" t="s">
        <v>1774</v>
      </c>
      <c r="G2483" s="3">
        <v>2432.2785711848419</v>
      </c>
      <c r="H2483" t="s">
        <v>1755</v>
      </c>
      <c r="I2483" t="s">
        <v>5503</v>
      </c>
      <c r="M2483" t="s">
        <v>1757</v>
      </c>
    </row>
    <row r="2484" spans="1:13" x14ac:dyDescent="0.45">
      <c r="A2484" t="s">
        <v>5504</v>
      </c>
      <c r="B2484">
        <v>1</v>
      </c>
      <c r="C2484" t="s">
        <v>1774</v>
      </c>
      <c r="G2484" s="3">
        <v>2817.69430116894</v>
      </c>
      <c r="H2484" t="s">
        <v>1755</v>
      </c>
      <c r="I2484" t="s">
        <v>5504</v>
      </c>
      <c r="M2484" t="s">
        <v>1757</v>
      </c>
    </row>
    <row r="2485" spans="1:13" x14ac:dyDescent="0.45">
      <c r="A2485" t="s">
        <v>5505</v>
      </c>
      <c r="B2485">
        <v>1</v>
      </c>
      <c r="C2485" t="s">
        <v>1774</v>
      </c>
      <c r="G2485" s="3">
        <v>2539.4600800301182</v>
      </c>
      <c r="H2485" t="s">
        <v>1755</v>
      </c>
      <c r="I2485" t="s">
        <v>5505</v>
      </c>
      <c r="M2485" t="s">
        <v>1757</v>
      </c>
    </row>
    <row r="2486" spans="1:13" x14ac:dyDescent="0.45">
      <c r="A2486" t="s">
        <v>5506</v>
      </c>
      <c r="B2486">
        <v>1</v>
      </c>
      <c r="C2486" t="s">
        <v>1774</v>
      </c>
      <c r="G2486" s="3">
        <v>1827.927111094602</v>
      </c>
      <c r="H2486" t="s">
        <v>1755</v>
      </c>
      <c r="I2486" t="s">
        <v>5506</v>
      </c>
      <c r="M2486" t="s">
        <v>1757</v>
      </c>
    </row>
    <row r="2487" spans="1:13" x14ac:dyDescent="0.45">
      <c r="A2487" t="s">
        <v>5507</v>
      </c>
      <c r="B2487">
        <v>1</v>
      </c>
      <c r="C2487" t="s">
        <v>1774</v>
      </c>
      <c r="G2487" s="3">
        <v>1994.319048750576</v>
      </c>
      <c r="H2487" t="s">
        <v>1755</v>
      </c>
      <c r="I2487" t="s">
        <v>5507</v>
      </c>
      <c r="M2487" t="s">
        <v>1757</v>
      </c>
    </row>
    <row r="2488" spans="1:13" x14ac:dyDescent="0.45">
      <c r="A2488" t="s">
        <v>5508</v>
      </c>
      <c r="B2488">
        <v>2</v>
      </c>
      <c r="C2488" t="s">
        <v>1774</v>
      </c>
      <c r="G2488" s="3">
        <v>1975.4639485547709</v>
      </c>
      <c r="H2488" t="s">
        <v>1755</v>
      </c>
      <c r="I2488" t="s">
        <v>5508</v>
      </c>
      <c r="M2488" t="s">
        <v>1757</v>
      </c>
    </row>
    <row r="2489" spans="1:13" x14ac:dyDescent="0.45">
      <c r="A2489" t="s">
        <v>5509</v>
      </c>
      <c r="B2489">
        <v>1</v>
      </c>
      <c r="C2489" t="s">
        <v>1774</v>
      </c>
      <c r="G2489" s="3">
        <v>3490.427707411272</v>
      </c>
      <c r="H2489" t="s">
        <v>1755</v>
      </c>
      <c r="I2489" t="s">
        <v>5509</v>
      </c>
      <c r="M2489" t="s">
        <v>1757</v>
      </c>
    </row>
    <row r="2490" spans="1:13" x14ac:dyDescent="0.45">
      <c r="A2490" t="s">
        <v>5510</v>
      </c>
      <c r="B2490">
        <v>1</v>
      </c>
      <c r="C2490" t="s">
        <v>1774</v>
      </c>
      <c r="G2490" s="3">
        <v>1964.172414758217</v>
      </c>
      <c r="H2490" t="s">
        <v>1755</v>
      </c>
      <c r="I2490" t="s">
        <v>5510</v>
      </c>
      <c r="M2490" t="s">
        <v>1757</v>
      </c>
    </row>
    <row r="2491" spans="1:13" x14ac:dyDescent="0.45">
      <c r="A2491" t="s">
        <v>5511</v>
      </c>
      <c r="B2491">
        <v>1</v>
      </c>
      <c r="C2491" t="s">
        <v>1774</v>
      </c>
      <c r="G2491" s="3">
        <v>1960.2944154271649</v>
      </c>
      <c r="H2491" t="s">
        <v>1755</v>
      </c>
      <c r="I2491" t="s">
        <v>5511</v>
      </c>
      <c r="M2491" t="s">
        <v>1757</v>
      </c>
    </row>
    <row r="2492" spans="1:13" x14ac:dyDescent="0.45">
      <c r="A2492" t="s">
        <v>5512</v>
      </c>
      <c r="B2492">
        <v>1</v>
      </c>
      <c r="C2492" t="s">
        <v>1774</v>
      </c>
      <c r="G2492" s="3">
        <v>3880.8695071759862</v>
      </c>
      <c r="H2492" t="s">
        <v>1755</v>
      </c>
      <c r="I2492" t="s">
        <v>5512</v>
      </c>
      <c r="M2492" t="s">
        <v>1757</v>
      </c>
    </row>
    <row r="2493" spans="1:13" x14ac:dyDescent="0.45">
      <c r="A2493" t="s">
        <v>5513</v>
      </c>
      <c r="B2493">
        <v>1</v>
      </c>
      <c r="C2493" t="s">
        <v>1774</v>
      </c>
      <c r="G2493" s="3">
        <v>1830.484177095901</v>
      </c>
      <c r="H2493" t="s">
        <v>1755</v>
      </c>
      <c r="I2493" t="s">
        <v>5513</v>
      </c>
      <c r="M2493" t="s">
        <v>1757</v>
      </c>
    </row>
    <row r="2494" spans="1:13" x14ac:dyDescent="0.45">
      <c r="A2494" t="s">
        <v>5514</v>
      </c>
      <c r="B2494">
        <v>1</v>
      </c>
      <c r="C2494" t="s">
        <v>1774</v>
      </c>
      <c r="H2494" t="s">
        <v>1755</v>
      </c>
      <c r="I2494" t="s">
        <v>5514</v>
      </c>
      <c r="M2494" t="s">
        <v>1757</v>
      </c>
    </row>
    <row r="2495" spans="1:13" x14ac:dyDescent="0.45">
      <c r="A2495" t="s">
        <v>5515</v>
      </c>
      <c r="B2495">
        <v>1</v>
      </c>
      <c r="C2495" t="s">
        <v>1774</v>
      </c>
      <c r="G2495" s="3">
        <v>2693.670076978372</v>
      </c>
      <c r="H2495" t="s">
        <v>1755</v>
      </c>
      <c r="I2495" t="s">
        <v>5515</v>
      </c>
      <c r="M2495" t="s">
        <v>1757</v>
      </c>
    </row>
    <row r="2496" spans="1:13" x14ac:dyDescent="0.45">
      <c r="A2496" t="s">
        <v>5516</v>
      </c>
      <c r="B2496">
        <v>1</v>
      </c>
      <c r="C2496" t="s">
        <v>1774</v>
      </c>
      <c r="G2496" s="3">
        <v>4365.5705001008382</v>
      </c>
      <c r="H2496" t="s">
        <v>1755</v>
      </c>
      <c r="I2496" t="s">
        <v>5516</v>
      </c>
      <c r="M2496" t="s">
        <v>1757</v>
      </c>
    </row>
    <row r="2497" spans="1:13" x14ac:dyDescent="0.45">
      <c r="A2497" t="s">
        <v>5517</v>
      </c>
      <c r="B2497">
        <v>1</v>
      </c>
      <c r="C2497" t="s">
        <v>1774</v>
      </c>
      <c r="G2497" s="3">
        <v>1288.956958481461</v>
      </c>
      <c r="H2497" t="s">
        <v>1755</v>
      </c>
      <c r="I2497" t="s">
        <v>5517</v>
      </c>
      <c r="M2497" t="s">
        <v>1757</v>
      </c>
    </row>
    <row r="2498" spans="1:13" x14ac:dyDescent="0.45">
      <c r="A2498" t="s">
        <v>5518</v>
      </c>
      <c r="B2498">
        <v>1</v>
      </c>
      <c r="C2498" t="s">
        <v>1774</v>
      </c>
      <c r="G2498" s="3">
        <v>7353.8152327416401</v>
      </c>
      <c r="H2498" t="s">
        <v>1755</v>
      </c>
      <c r="I2498" t="s">
        <v>5518</v>
      </c>
      <c r="M2498" t="s">
        <v>1757</v>
      </c>
    </row>
    <row r="2499" spans="1:13" x14ac:dyDescent="0.45">
      <c r="A2499" t="s">
        <v>5519</v>
      </c>
      <c r="B2499">
        <v>3</v>
      </c>
      <c r="C2499" t="s">
        <v>1774</v>
      </c>
      <c r="G2499" s="3">
        <v>1412.4104090110261</v>
      </c>
      <c r="H2499" t="s">
        <v>1755</v>
      </c>
      <c r="I2499" t="s">
        <v>5519</v>
      </c>
      <c r="M2499" t="s">
        <v>1757</v>
      </c>
    </row>
    <row r="2500" spans="1:13" x14ac:dyDescent="0.45">
      <c r="A2500" t="s">
        <v>5520</v>
      </c>
      <c r="B2500">
        <v>2</v>
      </c>
      <c r="C2500" t="s">
        <v>1774</v>
      </c>
      <c r="G2500" s="3">
        <v>2268.9068415865249</v>
      </c>
      <c r="H2500" t="s">
        <v>1755</v>
      </c>
      <c r="I2500" t="s">
        <v>5520</v>
      </c>
      <c r="M2500" t="s">
        <v>1757</v>
      </c>
    </row>
    <row r="2501" spans="1:13" x14ac:dyDescent="0.45">
      <c r="A2501" t="s">
        <v>5521</v>
      </c>
      <c r="B2501">
        <v>1</v>
      </c>
      <c r="C2501" t="s">
        <v>1774</v>
      </c>
      <c r="G2501" s="3">
        <v>1143.0313335272131</v>
      </c>
      <c r="H2501" t="s">
        <v>1755</v>
      </c>
      <c r="I2501" t="s">
        <v>5521</v>
      </c>
      <c r="M2501" t="s">
        <v>1757</v>
      </c>
    </row>
    <row r="2502" spans="1:13" x14ac:dyDescent="0.45">
      <c r="A2502" t="s">
        <v>5522</v>
      </c>
      <c r="B2502">
        <v>2</v>
      </c>
      <c r="C2502" t="s">
        <v>1774</v>
      </c>
      <c r="G2502" s="3">
        <v>2737.5348482174959</v>
      </c>
      <c r="H2502" t="s">
        <v>1755</v>
      </c>
      <c r="I2502" t="s">
        <v>5522</v>
      </c>
      <c r="M2502" t="s">
        <v>1757</v>
      </c>
    </row>
    <row r="2503" spans="1:13" x14ac:dyDescent="0.45">
      <c r="A2503" t="s">
        <v>5523</v>
      </c>
      <c r="B2503">
        <v>2</v>
      </c>
      <c r="C2503" t="s">
        <v>1774</v>
      </c>
      <c r="G2503" s="3">
        <v>2076.6180875398418</v>
      </c>
      <c r="H2503" t="s">
        <v>1755</v>
      </c>
      <c r="I2503" t="s">
        <v>5523</v>
      </c>
      <c r="M2503" t="s">
        <v>1757</v>
      </c>
    </row>
    <row r="2504" spans="1:13" x14ac:dyDescent="0.45">
      <c r="A2504" t="s">
        <v>5524</v>
      </c>
      <c r="B2504">
        <v>1</v>
      </c>
      <c r="C2504" t="s">
        <v>1774</v>
      </c>
      <c r="G2504" s="3">
        <v>1417.005952373054</v>
      </c>
      <c r="H2504" t="s">
        <v>1755</v>
      </c>
      <c r="I2504" t="s">
        <v>5524</v>
      </c>
      <c r="M2504" t="s">
        <v>1757</v>
      </c>
    </row>
    <row r="2505" spans="1:13" x14ac:dyDescent="0.45">
      <c r="A2505" t="s">
        <v>5525</v>
      </c>
      <c r="B2505">
        <v>1</v>
      </c>
      <c r="C2505" t="s">
        <v>1774</v>
      </c>
      <c r="G2505" s="3">
        <v>722.88973400761279</v>
      </c>
      <c r="H2505" t="s">
        <v>1755</v>
      </c>
      <c r="I2505" t="s">
        <v>5525</v>
      </c>
      <c r="M2505" t="s">
        <v>1757</v>
      </c>
    </row>
    <row r="2506" spans="1:13" x14ac:dyDescent="0.45">
      <c r="A2506" t="s">
        <v>5526</v>
      </c>
      <c r="B2506">
        <v>1</v>
      </c>
      <c r="C2506" t="s">
        <v>1774</v>
      </c>
      <c r="G2506" s="3">
        <v>3190.024637279043</v>
      </c>
      <c r="H2506" t="s">
        <v>1755</v>
      </c>
      <c r="I2506" t="s">
        <v>5526</v>
      </c>
      <c r="M2506" t="s">
        <v>1757</v>
      </c>
    </row>
    <row r="2507" spans="1:13" x14ac:dyDescent="0.45">
      <c r="A2507" t="s">
        <v>5527</v>
      </c>
      <c r="B2507">
        <v>1</v>
      </c>
      <c r="C2507" t="s">
        <v>1774</v>
      </c>
      <c r="G2507" s="3">
        <v>4237.8150469491893</v>
      </c>
      <c r="H2507" t="s">
        <v>1755</v>
      </c>
      <c r="I2507" t="s">
        <v>5527</v>
      </c>
      <c r="M2507" t="s">
        <v>1757</v>
      </c>
    </row>
    <row r="2508" spans="1:13" x14ac:dyDescent="0.45">
      <c r="A2508" t="s">
        <v>5528</v>
      </c>
      <c r="B2508">
        <v>1</v>
      </c>
      <c r="C2508" t="s">
        <v>1774</v>
      </c>
      <c r="G2508" s="3">
        <v>3333.350795902888</v>
      </c>
      <c r="H2508" t="s">
        <v>1755</v>
      </c>
      <c r="I2508" t="s">
        <v>5528</v>
      </c>
      <c r="M2508" t="s">
        <v>1757</v>
      </c>
    </row>
    <row r="2509" spans="1:13" x14ac:dyDescent="0.45">
      <c r="A2509" t="s">
        <v>5529</v>
      </c>
      <c r="B2509">
        <v>1</v>
      </c>
      <c r="C2509" t="s">
        <v>1774</v>
      </c>
      <c r="G2509" s="3">
        <v>1335.943046255335</v>
      </c>
      <c r="H2509" t="s">
        <v>1755</v>
      </c>
      <c r="I2509" t="s">
        <v>5529</v>
      </c>
      <c r="M2509" t="s">
        <v>1757</v>
      </c>
    </row>
    <row r="2510" spans="1:13" x14ac:dyDescent="0.45">
      <c r="A2510" t="s">
        <v>5530</v>
      </c>
      <c r="B2510">
        <v>2</v>
      </c>
      <c r="C2510" t="s">
        <v>1774</v>
      </c>
      <c r="G2510" s="3">
        <v>1987.215362843905</v>
      </c>
      <c r="H2510" t="s">
        <v>1755</v>
      </c>
      <c r="I2510" t="s">
        <v>5530</v>
      </c>
      <c r="M2510" t="s">
        <v>1757</v>
      </c>
    </row>
    <row r="2511" spans="1:13" x14ac:dyDescent="0.45">
      <c r="A2511" t="s">
        <v>5531</v>
      </c>
      <c r="B2511">
        <v>1</v>
      </c>
      <c r="C2511" t="s">
        <v>1774</v>
      </c>
      <c r="G2511" s="3">
        <v>3293.755411648076</v>
      </c>
      <c r="H2511" t="s">
        <v>1755</v>
      </c>
      <c r="I2511" t="s">
        <v>5531</v>
      </c>
      <c r="M2511" t="s">
        <v>1757</v>
      </c>
    </row>
    <row r="2512" spans="1:13" x14ac:dyDescent="0.45">
      <c r="A2512" t="s">
        <v>5532</v>
      </c>
      <c r="B2512">
        <v>1</v>
      </c>
      <c r="C2512" t="s">
        <v>1774</v>
      </c>
      <c r="G2512" s="3">
        <v>4535.4001259779461</v>
      </c>
      <c r="H2512" t="s">
        <v>1755</v>
      </c>
      <c r="I2512" t="s">
        <v>5532</v>
      </c>
      <c r="M2512" t="s">
        <v>1757</v>
      </c>
    </row>
    <row r="2513" spans="1:13" x14ac:dyDescent="0.45">
      <c r="A2513" t="s">
        <v>5533</v>
      </c>
      <c r="B2513">
        <v>1</v>
      </c>
      <c r="C2513" t="s">
        <v>1774</v>
      </c>
      <c r="G2513" s="3">
        <v>4596.1630591465764</v>
      </c>
      <c r="H2513" t="s">
        <v>1755</v>
      </c>
      <c r="I2513" t="s">
        <v>5533</v>
      </c>
      <c r="M2513" t="s">
        <v>1757</v>
      </c>
    </row>
    <row r="2514" spans="1:13" x14ac:dyDescent="0.45">
      <c r="A2514" t="s">
        <v>5534</v>
      </c>
      <c r="B2514">
        <v>1</v>
      </c>
      <c r="C2514" t="s">
        <v>1774</v>
      </c>
      <c r="H2514" t="s">
        <v>1755</v>
      </c>
      <c r="I2514" t="s">
        <v>5534</v>
      </c>
      <c r="M2514" t="s">
        <v>1757</v>
      </c>
    </row>
    <row r="2515" spans="1:13" x14ac:dyDescent="0.45">
      <c r="A2515" t="s">
        <v>5535</v>
      </c>
      <c r="B2515">
        <v>2</v>
      </c>
      <c r="C2515" t="s">
        <v>1774</v>
      </c>
      <c r="G2515" s="3">
        <v>2369.0238032904572</v>
      </c>
      <c r="H2515" t="s">
        <v>1755</v>
      </c>
      <c r="I2515" t="s">
        <v>5535</v>
      </c>
      <c r="M2515" t="s">
        <v>1757</v>
      </c>
    </row>
    <row r="2516" spans="1:13" x14ac:dyDescent="0.45">
      <c r="A2516" t="s">
        <v>5536</v>
      </c>
      <c r="B2516">
        <v>1</v>
      </c>
      <c r="C2516" t="s">
        <v>1774</v>
      </c>
      <c r="G2516" s="3">
        <v>3283.1879450100532</v>
      </c>
      <c r="H2516" t="s">
        <v>1755</v>
      </c>
      <c r="I2516" t="s">
        <v>5536</v>
      </c>
      <c r="M2516" t="s">
        <v>1757</v>
      </c>
    </row>
    <row r="2517" spans="1:13" x14ac:dyDescent="0.45">
      <c r="A2517" t="s">
        <v>5537</v>
      </c>
      <c r="B2517">
        <v>1</v>
      </c>
      <c r="C2517" t="s">
        <v>1774</v>
      </c>
      <c r="G2517" s="3">
        <v>1427.987637610777</v>
      </c>
      <c r="H2517" t="s">
        <v>1755</v>
      </c>
      <c r="I2517" t="s">
        <v>5537</v>
      </c>
      <c r="M2517" t="s">
        <v>1757</v>
      </c>
    </row>
    <row r="2518" spans="1:13" x14ac:dyDescent="0.45">
      <c r="A2518" t="s">
        <v>5538</v>
      </c>
      <c r="B2518">
        <v>1</v>
      </c>
      <c r="C2518" t="s">
        <v>1774</v>
      </c>
      <c r="G2518" s="3">
        <v>2441.5055351104479</v>
      </c>
      <c r="H2518" t="s">
        <v>1755</v>
      </c>
      <c r="I2518" t="s">
        <v>5538</v>
      </c>
      <c r="M2518" t="s">
        <v>1757</v>
      </c>
    </row>
    <row r="2519" spans="1:13" x14ac:dyDescent="0.45">
      <c r="A2519" t="s">
        <v>5539</v>
      </c>
      <c r="B2519">
        <v>1</v>
      </c>
      <c r="C2519" t="s">
        <v>1774</v>
      </c>
      <c r="G2519" s="3">
        <v>3374.381268219654</v>
      </c>
      <c r="H2519" t="s">
        <v>1755</v>
      </c>
      <c r="I2519" t="s">
        <v>5539</v>
      </c>
      <c r="M2519" t="s">
        <v>1757</v>
      </c>
    </row>
    <row r="2520" spans="1:13" x14ac:dyDescent="0.45">
      <c r="A2520" t="s">
        <v>5540</v>
      </c>
      <c r="B2520">
        <v>1</v>
      </c>
      <c r="C2520" t="s">
        <v>1774</v>
      </c>
      <c r="G2520" s="3">
        <v>4446.1311253968734</v>
      </c>
      <c r="H2520" t="s">
        <v>1755</v>
      </c>
      <c r="I2520" t="s">
        <v>5540</v>
      </c>
      <c r="M2520" t="s">
        <v>1757</v>
      </c>
    </row>
    <row r="2521" spans="1:13" x14ac:dyDescent="0.45">
      <c r="A2521" t="s">
        <v>5541</v>
      </c>
      <c r="B2521">
        <v>2</v>
      </c>
      <c r="C2521" t="s">
        <v>1774</v>
      </c>
      <c r="G2521" s="3">
        <v>5052.4558315722988</v>
      </c>
      <c r="H2521" t="s">
        <v>1755</v>
      </c>
      <c r="I2521" t="s">
        <v>5541</v>
      </c>
      <c r="M2521" t="s">
        <v>1757</v>
      </c>
    </row>
    <row r="2522" spans="1:13" x14ac:dyDescent="0.45">
      <c r="A2522" t="s">
        <v>5542</v>
      </c>
      <c r="B2522">
        <v>1</v>
      </c>
      <c r="C2522" t="s">
        <v>1774</v>
      </c>
      <c r="G2522" s="3">
        <v>4649.0003923366876</v>
      </c>
      <c r="H2522" t="s">
        <v>1755</v>
      </c>
      <c r="I2522" t="s">
        <v>5542</v>
      </c>
      <c r="M2522" t="s">
        <v>1757</v>
      </c>
    </row>
    <row r="2523" spans="1:13" x14ac:dyDescent="0.45">
      <c r="A2523" t="s">
        <v>5543</v>
      </c>
      <c r="B2523">
        <v>1</v>
      </c>
      <c r="C2523" t="s">
        <v>1774</v>
      </c>
      <c r="G2523" s="3">
        <v>2608.2692910370188</v>
      </c>
      <c r="H2523" t="s">
        <v>1755</v>
      </c>
      <c r="I2523" t="s">
        <v>5543</v>
      </c>
      <c r="M2523" t="s">
        <v>1757</v>
      </c>
    </row>
    <row r="2524" spans="1:13" x14ac:dyDescent="0.45">
      <c r="A2524" t="s">
        <v>5544</v>
      </c>
      <c r="B2524">
        <v>1</v>
      </c>
      <c r="C2524" t="s">
        <v>1774</v>
      </c>
      <c r="G2524" s="3">
        <v>2927.5698616941572</v>
      </c>
      <c r="H2524" t="s">
        <v>1755</v>
      </c>
      <c r="I2524" t="s">
        <v>5544</v>
      </c>
      <c r="M2524" t="s">
        <v>1757</v>
      </c>
    </row>
    <row r="2525" spans="1:13" x14ac:dyDescent="0.45">
      <c r="A2525" t="s">
        <v>5545</v>
      </c>
      <c r="B2525">
        <v>1</v>
      </c>
      <c r="C2525" t="s">
        <v>1774</v>
      </c>
      <c r="G2525" s="3">
        <v>2364.5391530968509</v>
      </c>
      <c r="H2525" t="s">
        <v>1755</v>
      </c>
      <c r="I2525" t="s">
        <v>5545</v>
      </c>
      <c r="M2525" t="s">
        <v>1757</v>
      </c>
    </row>
    <row r="2526" spans="1:13" x14ac:dyDescent="0.45">
      <c r="A2526" t="s">
        <v>5546</v>
      </c>
      <c r="B2526">
        <v>1</v>
      </c>
      <c r="C2526" t="s">
        <v>1774</v>
      </c>
      <c r="G2526" s="3">
        <v>3392.3524846318469</v>
      </c>
      <c r="H2526" t="s">
        <v>1755</v>
      </c>
      <c r="I2526" t="s">
        <v>5546</v>
      </c>
      <c r="M2526" t="s">
        <v>1757</v>
      </c>
    </row>
    <row r="2527" spans="1:13" x14ac:dyDescent="0.45">
      <c r="A2527" t="s">
        <v>5547</v>
      </c>
      <c r="B2527">
        <v>1</v>
      </c>
      <c r="C2527" t="s">
        <v>1774</v>
      </c>
      <c r="G2527" s="3">
        <v>1403.300861381397</v>
      </c>
      <c r="H2527" t="s">
        <v>1755</v>
      </c>
      <c r="I2527" t="s">
        <v>5547</v>
      </c>
      <c r="M2527" t="s">
        <v>1757</v>
      </c>
    </row>
    <row r="2528" spans="1:13" x14ac:dyDescent="0.45">
      <c r="A2528" t="s">
        <v>5548</v>
      </c>
      <c r="B2528">
        <v>1</v>
      </c>
      <c r="C2528" t="s">
        <v>1774</v>
      </c>
      <c r="G2528" s="3">
        <v>1098.9904378441211</v>
      </c>
      <c r="H2528" t="s">
        <v>1755</v>
      </c>
      <c r="I2528" t="s">
        <v>5548</v>
      </c>
      <c r="M2528" t="s">
        <v>1757</v>
      </c>
    </row>
    <row r="2529" spans="1:13" x14ac:dyDescent="0.45">
      <c r="A2529" t="s">
        <v>5549</v>
      </c>
      <c r="B2529">
        <v>1</v>
      </c>
      <c r="C2529" t="s">
        <v>1774</v>
      </c>
      <c r="G2529" s="3">
        <v>2238.936332038134</v>
      </c>
      <c r="H2529" t="s">
        <v>1755</v>
      </c>
      <c r="I2529" t="s">
        <v>5549</v>
      </c>
      <c r="M2529" t="s">
        <v>1757</v>
      </c>
    </row>
    <row r="2530" spans="1:13" x14ac:dyDescent="0.45">
      <c r="A2530" t="s">
        <v>5550</v>
      </c>
      <c r="B2530">
        <v>1</v>
      </c>
      <c r="C2530" t="s">
        <v>1774</v>
      </c>
      <c r="G2530" s="3">
        <v>2843.4639165723402</v>
      </c>
      <c r="H2530" t="s">
        <v>1755</v>
      </c>
      <c r="I2530" t="s">
        <v>5550</v>
      </c>
      <c r="M2530" t="s">
        <v>1757</v>
      </c>
    </row>
    <row r="2531" spans="1:13" x14ac:dyDescent="0.45">
      <c r="A2531" t="s">
        <v>5551</v>
      </c>
      <c r="B2531">
        <v>1</v>
      </c>
      <c r="C2531" t="s">
        <v>1774</v>
      </c>
      <c r="G2531" s="3">
        <v>2217.605704935459</v>
      </c>
      <c r="H2531" t="s">
        <v>1755</v>
      </c>
      <c r="I2531" t="s">
        <v>5551</v>
      </c>
      <c r="M2531" t="s">
        <v>1757</v>
      </c>
    </row>
    <row r="2532" spans="1:13" x14ac:dyDescent="0.45">
      <c r="A2532" t="s">
        <v>5552</v>
      </c>
      <c r="B2532">
        <v>2</v>
      </c>
      <c r="C2532" t="s">
        <v>1774</v>
      </c>
      <c r="G2532" s="3">
        <v>3426.729366843193</v>
      </c>
      <c r="H2532" t="s">
        <v>1755</v>
      </c>
      <c r="I2532" t="s">
        <v>5552</v>
      </c>
      <c r="M2532" t="s">
        <v>1757</v>
      </c>
    </row>
    <row r="2533" spans="1:13" x14ac:dyDescent="0.45">
      <c r="A2533" t="s">
        <v>5553</v>
      </c>
      <c r="B2533">
        <v>1</v>
      </c>
      <c r="C2533" t="s">
        <v>1774</v>
      </c>
      <c r="G2533" s="3">
        <v>3447.0815248127169</v>
      </c>
      <c r="H2533" t="s">
        <v>1755</v>
      </c>
      <c r="I2533" t="s">
        <v>5553</v>
      </c>
      <c r="M2533" t="s">
        <v>1757</v>
      </c>
    </row>
    <row r="2534" spans="1:13" x14ac:dyDescent="0.45">
      <c r="A2534" t="s">
        <v>5554</v>
      </c>
      <c r="B2534">
        <v>1</v>
      </c>
      <c r="C2534" t="s">
        <v>1774</v>
      </c>
      <c r="G2534" s="3">
        <v>3436.0248236081188</v>
      </c>
      <c r="H2534" t="s">
        <v>1755</v>
      </c>
      <c r="I2534" t="s">
        <v>5554</v>
      </c>
      <c r="M2534" t="s">
        <v>1757</v>
      </c>
    </row>
    <row r="2535" spans="1:13" x14ac:dyDescent="0.45">
      <c r="A2535" t="s">
        <v>5555</v>
      </c>
      <c r="B2535">
        <v>1</v>
      </c>
      <c r="C2535" t="s">
        <v>1774</v>
      </c>
      <c r="G2535" s="3">
        <v>1585.6875078006001</v>
      </c>
      <c r="H2535" t="s">
        <v>1755</v>
      </c>
      <c r="I2535" t="s">
        <v>5555</v>
      </c>
      <c r="M2535" t="s">
        <v>1757</v>
      </c>
    </row>
    <row r="2536" spans="1:13" x14ac:dyDescent="0.45">
      <c r="A2536" t="s">
        <v>5556</v>
      </c>
      <c r="B2536">
        <v>1</v>
      </c>
      <c r="C2536" t="s">
        <v>1774</v>
      </c>
      <c r="G2536" s="3">
        <v>1929.5476536998081</v>
      </c>
      <c r="H2536" t="s">
        <v>1755</v>
      </c>
      <c r="I2536" t="s">
        <v>5556</v>
      </c>
      <c r="M2536" t="s">
        <v>1757</v>
      </c>
    </row>
    <row r="2537" spans="1:13" x14ac:dyDescent="0.45">
      <c r="A2537" t="s">
        <v>5557</v>
      </c>
      <c r="B2537">
        <v>2</v>
      </c>
      <c r="C2537" t="s">
        <v>1774</v>
      </c>
      <c r="G2537" s="3">
        <v>1632.070206275698</v>
      </c>
      <c r="H2537" t="s">
        <v>1755</v>
      </c>
      <c r="I2537" t="s">
        <v>5557</v>
      </c>
      <c r="M2537" t="s">
        <v>1757</v>
      </c>
    </row>
    <row r="2538" spans="1:13" x14ac:dyDescent="0.45">
      <c r="A2538" t="s">
        <v>5558</v>
      </c>
      <c r="B2538">
        <v>1</v>
      </c>
      <c r="C2538" t="s">
        <v>1774</v>
      </c>
      <c r="G2538" s="3">
        <v>4580.4749373784007</v>
      </c>
      <c r="H2538" t="s">
        <v>1755</v>
      </c>
      <c r="I2538" t="s">
        <v>5558</v>
      </c>
      <c r="M2538" t="s">
        <v>1757</v>
      </c>
    </row>
    <row r="2539" spans="1:13" x14ac:dyDescent="0.45">
      <c r="A2539" t="s">
        <v>5559</v>
      </c>
      <c r="B2539">
        <v>1</v>
      </c>
      <c r="C2539" t="s">
        <v>1774</v>
      </c>
      <c r="G2539" s="3">
        <v>4803.0440495323064</v>
      </c>
      <c r="H2539" t="s">
        <v>1755</v>
      </c>
      <c r="I2539" t="s">
        <v>5559</v>
      </c>
      <c r="M2539" t="s">
        <v>1757</v>
      </c>
    </row>
    <row r="2540" spans="1:13" x14ac:dyDescent="0.45">
      <c r="A2540" t="s">
        <v>5560</v>
      </c>
      <c r="B2540">
        <v>1</v>
      </c>
      <c r="C2540" t="s">
        <v>1774</v>
      </c>
      <c r="G2540" s="3">
        <v>4009.0489636186662</v>
      </c>
      <c r="H2540" t="s">
        <v>1755</v>
      </c>
      <c r="I2540" t="s">
        <v>5560</v>
      </c>
      <c r="M2540" t="s">
        <v>1757</v>
      </c>
    </row>
    <row r="2541" spans="1:13" x14ac:dyDescent="0.45">
      <c r="A2541" t="s">
        <v>5561</v>
      </c>
      <c r="B2541">
        <v>1</v>
      </c>
      <c r="C2541" t="s">
        <v>1774</v>
      </c>
      <c r="G2541" s="3">
        <v>1471.7545619365869</v>
      </c>
      <c r="H2541" t="s">
        <v>1755</v>
      </c>
      <c r="I2541" t="s">
        <v>5561</v>
      </c>
      <c r="M2541" t="s">
        <v>1757</v>
      </c>
    </row>
    <row r="2542" spans="1:13" x14ac:dyDescent="0.45">
      <c r="A2542" t="s">
        <v>5562</v>
      </c>
      <c r="B2542">
        <v>1</v>
      </c>
      <c r="C2542" t="s">
        <v>1774</v>
      </c>
      <c r="G2542" s="3">
        <v>3707.093389128504</v>
      </c>
      <c r="H2542" t="s">
        <v>1755</v>
      </c>
      <c r="I2542" t="s">
        <v>5562</v>
      </c>
      <c r="M2542" t="s">
        <v>1757</v>
      </c>
    </row>
    <row r="2543" spans="1:13" x14ac:dyDescent="0.45">
      <c r="A2543" t="s">
        <v>5563</v>
      </c>
      <c r="B2543">
        <v>3</v>
      </c>
      <c r="C2543" t="s">
        <v>1774</v>
      </c>
      <c r="G2543" s="3">
        <v>1990.617173863491</v>
      </c>
      <c r="H2543" t="s">
        <v>1755</v>
      </c>
      <c r="I2543" t="s">
        <v>5563</v>
      </c>
      <c r="M2543" t="s">
        <v>1757</v>
      </c>
    </row>
    <row r="2544" spans="1:13" x14ac:dyDescent="0.45">
      <c r="A2544" t="s">
        <v>5564</v>
      </c>
      <c r="B2544">
        <v>1</v>
      </c>
      <c r="C2544" t="s">
        <v>1774</v>
      </c>
      <c r="G2544" s="3">
        <v>1673.5312050110499</v>
      </c>
      <c r="H2544" t="s">
        <v>1755</v>
      </c>
      <c r="I2544" t="s">
        <v>5564</v>
      </c>
      <c r="M2544" t="s">
        <v>1757</v>
      </c>
    </row>
    <row r="2545" spans="1:13" x14ac:dyDescent="0.45">
      <c r="A2545" t="s">
        <v>5565</v>
      </c>
      <c r="B2545">
        <v>1</v>
      </c>
      <c r="C2545" t="s">
        <v>1774</v>
      </c>
      <c r="G2545" s="3">
        <v>2060.3298380366682</v>
      </c>
      <c r="H2545" t="s">
        <v>1755</v>
      </c>
      <c r="I2545" t="s">
        <v>5565</v>
      </c>
      <c r="M2545" t="s">
        <v>1757</v>
      </c>
    </row>
    <row r="2546" spans="1:13" x14ac:dyDescent="0.45">
      <c r="A2546" t="s">
        <v>5566</v>
      </c>
      <c r="B2546">
        <v>1</v>
      </c>
      <c r="C2546" t="s">
        <v>1774</v>
      </c>
      <c r="G2546" s="3">
        <v>3012.2204879667602</v>
      </c>
      <c r="H2546" t="s">
        <v>1755</v>
      </c>
      <c r="I2546" t="s">
        <v>5566</v>
      </c>
      <c r="M2546" t="s">
        <v>1757</v>
      </c>
    </row>
    <row r="2547" spans="1:13" x14ac:dyDescent="0.45">
      <c r="A2547" t="s">
        <v>5567</v>
      </c>
      <c r="B2547">
        <v>1</v>
      </c>
      <c r="C2547" t="s">
        <v>1774</v>
      </c>
      <c r="G2547" s="3">
        <v>2559.1044786599969</v>
      </c>
      <c r="H2547" t="s">
        <v>1755</v>
      </c>
      <c r="I2547" t="s">
        <v>5567</v>
      </c>
      <c r="M2547" t="s">
        <v>1757</v>
      </c>
    </row>
    <row r="2548" spans="1:13" x14ac:dyDescent="0.45">
      <c r="A2548" t="s">
        <v>5568</v>
      </c>
      <c r="B2548">
        <v>1</v>
      </c>
      <c r="C2548" t="s">
        <v>1774</v>
      </c>
      <c r="G2548" s="3">
        <v>5885.0352169698299</v>
      </c>
      <c r="H2548" t="s">
        <v>1755</v>
      </c>
      <c r="I2548" t="s">
        <v>5568</v>
      </c>
      <c r="M2548" t="s">
        <v>1757</v>
      </c>
    </row>
    <row r="2549" spans="1:13" x14ac:dyDescent="0.45">
      <c r="A2549" t="s">
        <v>5569</v>
      </c>
      <c r="B2549">
        <v>1</v>
      </c>
      <c r="C2549" t="s">
        <v>1774</v>
      </c>
      <c r="G2549" s="3">
        <v>2318.0716539635469</v>
      </c>
      <c r="H2549" t="s">
        <v>1755</v>
      </c>
      <c r="I2549" t="s">
        <v>5569</v>
      </c>
      <c r="M2549" t="s">
        <v>1757</v>
      </c>
    </row>
    <row r="2550" spans="1:13" x14ac:dyDescent="0.45">
      <c r="A2550" t="s">
        <v>5570</v>
      </c>
      <c r="B2550">
        <v>1</v>
      </c>
      <c r="C2550" t="s">
        <v>1774</v>
      </c>
      <c r="G2550" s="3">
        <v>1221.830714383578</v>
      </c>
      <c r="H2550" t="s">
        <v>1755</v>
      </c>
      <c r="I2550" t="s">
        <v>5570</v>
      </c>
      <c r="M2550" t="s">
        <v>1757</v>
      </c>
    </row>
    <row r="2551" spans="1:13" x14ac:dyDescent="0.45">
      <c r="A2551" t="s">
        <v>5571</v>
      </c>
      <c r="B2551">
        <v>1</v>
      </c>
      <c r="C2551" t="s">
        <v>1774</v>
      </c>
      <c r="G2551" s="3">
        <v>5524.6324195928282</v>
      </c>
      <c r="H2551" t="s">
        <v>1755</v>
      </c>
      <c r="I2551" t="s">
        <v>5571</v>
      </c>
      <c r="M2551" t="s">
        <v>1757</v>
      </c>
    </row>
    <row r="2552" spans="1:13" x14ac:dyDescent="0.45">
      <c r="A2552" t="s">
        <v>5572</v>
      </c>
      <c r="B2552">
        <v>1</v>
      </c>
      <c r="C2552" t="s">
        <v>1774</v>
      </c>
      <c r="G2552" s="3">
        <v>1010.093255533646</v>
      </c>
      <c r="H2552" t="s">
        <v>1755</v>
      </c>
      <c r="I2552" t="s">
        <v>5572</v>
      </c>
      <c r="M2552" t="s">
        <v>1757</v>
      </c>
    </row>
    <row r="2553" spans="1:13" x14ac:dyDescent="0.45">
      <c r="A2553" t="s">
        <v>5573</v>
      </c>
      <c r="B2553">
        <v>1</v>
      </c>
      <c r="C2553" t="s">
        <v>1774</v>
      </c>
      <c r="G2553" s="3">
        <v>2060.929965771667</v>
      </c>
      <c r="H2553" t="s">
        <v>1755</v>
      </c>
      <c r="I2553" t="s">
        <v>5573</v>
      </c>
      <c r="M2553" t="s">
        <v>1757</v>
      </c>
    </row>
    <row r="2554" spans="1:13" x14ac:dyDescent="0.45">
      <c r="A2554" t="s">
        <v>5574</v>
      </c>
      <c r="B2554">
        <v>2</v>
      </c>
      <c r="C2554" t="s">
        <v>1774</v>
      </c>
      <c r="G2554" s="3">
        <v>1522.285969536242</v>
      </c>
      <c r="H2554" t="s">
        <v>1755</v>
      </c>
      <c r="I2554" t="s">
        <v>5574</v>
      </c>
      <c r="M2554" t="s">
        <v>1757</v>
      </c>
    </row>
    <row r="2555" spans="1:13" x14ac:dyDescent="0.45">
      <c r="A2555" t="s">
        <v>5575</v>
      </c>
      <c r="B2555">
        <v>1</v>
      </c>
      <c r="C2555" t="s">
        <v>1774</v>
      </c>
      <c r="G2555" s="3">
        <v>816.03999548351464</v>
      </c>
      <c r="H2555" t="s">
        <v>1755</v>
      </c>
      <c r="I2555" t="s">
        <v>5575</v>
      </c>
      <c r="M2555" t="s">
        <v>1757</v>
      </c>
    </row>
    <row r="2556" spans="1:13" x14ac:dyDescent="0.45">
      <c r="A2556" t="s">
        <v>5576</v>
      </c>
      <c r="B2556">
        <v>1</v>
      </c>
      <c r="C2556" t="s">
        <v>1774</v>
      </c>
      <c r="G2556" s="3">
        <v>5185.266708578557</v>
      </c>
      <c r="H2556" t="s">
        <v>1755</v>
      </c>
      <c r="I2556" t="s">
        <v>5576</v>
      </c>
      <c r="M2556" t="s">
        <v>1757</v>
      </c>
    </row>
    <row r="2557" spans="1:13" x14ac:dyDescent="0.45">
      <c r="A2557" t="s">
        <v>5577</v>
      </c>
      <c r="B2557">
        <v>1</v>
      </c>
      <c r="C2557" t="s">
        <v>1774</v>
      </c>
      <c r="G2557" s="3">
        <v>2519.4960481500761</v>
      </c>
      <c r="H2557" t="s">
        <v>1755</v>
      </c>
      <c r="I2557" t="s">
        <v>5577</v>
      </c>
      <c r="M2557" t="s">
        <v>1757</v>
      </c>
    </row>
    <row r="2558" spans="1:13" x14ac:dyDescent="0.45">
      <c r="A2558" t="s">
        <v>5578</v>
      </c>
      <c r="B2558">
        <v>1</v>
      </c>
      <c r="C2558" t="s">
        <v>1774</v>
      </c>
      <c r="G2558" s="3">
        <v>1834.133866962552</v>
      </c>
      <c r="H2558" t="s">
        <v>1755</v>
      </c>
      <c r="I2558" t="s">
        <v>5578</v>
      </c>
      <c r="M2558" t="s">
        <v>1757</v>
      </c>
    </row>
    <row r="2559" spans="1:13" x14ac:dyDescent="0.45">
      <c r="A2559" t="s">
        <v>5579</v>
      </c>
      <c r="B2559">
        <v>1</v>
      </c>
      <c r="C2559" t="s">
        <v>1774</v>
      </c>
      <c r="G2559" s="3">
        <v>1380.7765019362789</v>
      </c>
      <c r="H2559" t="s">
        <v>1755</v>
      </c>
      <c r="I2559" t="s">
        <v>5579</v>
      </c>
      <c r="M2559" t="s">
        <v>1757</v>
      </c>
    </row>
    <row r="2560" spans="1:13" x14ac:dyDescent="0.45">
      <c r="A2560" t="s">
        <v>5580</v>
      </c>
      <c r="B2560">
        <v>1</v>
      </c>
      <c r="C2560" t="s">
        <v>1774</v>
      </c>
      <c r="H2560" t="s">
        <v>1755</v>
      </c>
      <c r="I2560" t="s">
        <v>5580</v>
      </c>
      <c r="M2560" t="s">
        <v>1757</v>
      </c>
    </row>
    <row r="2561" spans="1:13" x14ac:dyDescent="0.45">
      <c r="A2561" t="s">
        <v>5581</v>
      </c>
      <c r="B2561">
        <v>1</v>
      </c>
      <c r="C2561" t="s">
        <v>1774</v>
      </c>
      <c r="G2561" s="3">
        <v>2768.2848715086311</v>
      </c>
      <c r="H2561" t="s">
        <v>1755</v>
      </c>
      <c r="I2561" t="s">
        <v>5581</v>
      </c>
      <c r="M2561" t="s">
        <v>1757</v>
      </c>
    </row>
    <row r="2562" spans="1:13" x14ac:dyDescent="0.45">
      <c r="A2562" t="s">
        <v>5582</v>
      </c>
      <c r="B2562">
        <v>1</v>
      </c>
      <c r="C2562" t="s">
        <v>1774</v>
      </c>
      <c r="G2562" s="3">
        <v>2783.010831962541</v>
      </c>
      <c r="H2562" t="s">
        <v>1755</v>
      </c>
      <c r="I2562" t="s">
        <v>5582</v>
      </c>
      <c r="M2562" t="s">
        <v>1757</v>
      </c>
    </row>
    <row r="2563" spans="1:13" x14ac:dyDescent="0.45">
      <c r="A2563" t="s">
        <v>5583</v>
      </c>
      <c r="B2563">
        <v>1</v>
      </c>
      <c r="C2563" t="s">
        <v>1774</v>
      </c>
      <c r="G2563" s="3">
        <v>2717.0620123882159</v>
      </c>
      <c r="H2563" t="s">
        <v>1755</v>
      </c>
      <c r="I2563" t="s">
        <v>5583</v>
      </c>
      <c r="M2563" t="s">
        <v>1757</v>
      </c>
    </row>
    <row r="2564" spans="1:13" x14ac:dyDescent="0.45">
      <c r="A2564" t="s">
        <v>5584</v>
      </c>
      <c r="B2564">
        <v>2</v>
      </c>
      <c r="C2564" t="s">
        <v>1774</v>
      </c>
      <c r="G2564" s="3">
        <v>4341.9567783541452</v>
      </c>
      <c r="H2564" t="s">
        <v>1755</v>
      </c>
      <c r="I2564" t="s">
        <v>5584</v>
      </c>
      <c r="M2564" t="s">
        <v>1757</v>
      </c>
    </row>
    <row r="2565" spans="1:13" x14ac:dyDescent="0.45">
      <c r="A2565" t="s">
        <v>5585</v>
      </c>
      <c r="B2565">
        <v>5</v>
      </c>
      <c r="C2565" t="s">
        <v>1774</v>
      </c>
      <c r="G2565" s="3">
        <v>579.23415744227316</v>
      </c>
      <c r="H2565" t="s">
        <v>1755</v>
      </c>
      <c r="I2565" t="s">
        <v>5585</v>
      </c>
      <c r="M2565" t="s">
        <v>1757</v>
      </c>
    </row>
    <row r="2566" spans="1:13" x14ac:dyDescent="0.45">
      <c r="A2566" t="s">
        <v>5586</v>
      </c>
      <c r="B2566">
        <v>1</v>
      </c>
      <c r="C2566" t="s">
        <v>1774</v>
      </c>
      <c r="G2566" s="3">
        <v>1430.857813734684</v>
      </c>
      <c r="H2566" t="s">
        <v>1755</v>
      </c>
      <c r="I2566" t="s">
        <v>5586</v>
      </c>
      <c r="M2566" t="s">
        <v>1757</v>
      </c>
    </row>
    <row r="2567" spans="1:13" x14ac:dyDescent="0.45">
      <c r="A2567" t="s">
        <v>5587</v>
      </c>
      <c r="B2567">
        <v>1</v>
      </c>
      <c r="C2567" t="s">
        <v>1774</v>
      </c>
      <c r="G2567" s="3">
        <v>2707.0490115923121</v>
      </c>
      <c r="H2567" t="s">
        <v>1755</v>
      </c>
      <c r="I2567" t="s">
        <v>5587</v>
      </c>
      <c r="M2567" t="s">
        <v>1757</v>
      </c>
    </row>
    <row r="2568" spans="1:13" x14ac:dyDescent="0.45">
      <c r="A2568" t="s">
        <v>5588</v>
      </c>
      <c r="B2568">
        <v>1</v>
      </c>
      <c r="C2568" t="s">
        <v>1774</v>
      </c>
      <c r="G2568" s="3">
        <v>4018.8662705879401</v>
      </c>
      <c r="H2568" t="s">
        <v>1755</v>
      </c>
      <c r="I2568" t="s">
        <v>5588</v>
      </c>
      <c r="M2568" t="s">
        <v>1757</v>
      </c>
    </row>
    <row r="2569" spans="1:13" x14ac:dyDescent="0.45">
      <c r="A2569" t="s">
        <v>5589</v>
      </c>
      <c r="B2569">
        <v>1</v>
      </c>
      <c r="C2569" t="s">
        <v>1774</v>
      </c>
      <c r="G2569" s="3">
        <v>2823.0334810721629</v>
      </c>
      <c r="H2569" t="s">
        <v>1755</v>
      </c>
      <c r="I2569" t="s">
        <v>5589</v>
      </c>
      <c r="M2569" t="s">
        <v>1757</v>
      </c>
    </row>
    <row r="2570" spans="1:13" x14ac:dyDescent="0.45">
      <c r="A2570" t="s">
        <v>5590</v>
      </c>
      <c r="B2570">
        <v>1</v>
      </c>
      <c r="C2570" t="s">
        <v>1774</v>
      </c>
      <c r="G2570" s="3">
        <v>974.86184361268283</v>
      </c>
      <c r="H2570" t="s">
        <v>1755</v>
      </c>
      <c r="I2570" t="s">
        <v>5590</v>
      </c>
      <c r="M2570" t="s">
        <v>1757</v>
      </c>
    </row>
    <row r="2571" spans="1:13" x14ac:dyDescent="0.45">
      <c r="A2571" t="s">
        <v>5591</v>
      </c>
      <c r="B2571">
        <v>1</v>
      </c>
      <c r="C2571" t="s">
        <v>1774</v>
      </c>
      <c r="G2571" s="3">
        <v>3007.993501311551</v>
      </c>
      <c r="H2571" t="s">
        <v>1755</v>
      </c>
      <c r="I2571" t="s">
        <v>5591</v>
      </c>
      <c r="M2571" t="s">
        <v>1757</v>
      </c>
    </row>
    <row r="2572" spans="1:13" x14ac:dyDescent="0.45">
      <c r="A2572" t="s">
        <v>5592</v>
      </c>
      <c r="B2572">
        <v>1</v>
      </c>
      <c r="C2572" t="s">
        <v>1774</v>
      </c>
      <c r="G2572" s="3">
        <v>3185.6900190191868</v>
      </c>
      <c r="H2572" t="s">
        <v>1755</v>
      </c>
      <c r="I2572" t="s">
        <v>5592</v>
      </c>
      <c r="M2572" t="s">
        <v>1757</v>
      </c>
    </row>
    <row r="2573" spans="1:13" x14ac:dyDescent="0.45">
      <c r="A2573" t="s">
        <v>5593</v>
      </c>
      <c r="B2573">
        <v>1</v>
      </c>
      <c r="C2573" t="s">
        <v>1774</v>
      </c>
      <c r="G2573" s="3">
        <v>2219.7648601559431</v>
      </c>
      <c r="H2573" t="s">
        <v>1755</v>
      </c>
      <c r="I2573" t="s">
        <v>5593</v>
      </c>
      <c r="M2573" t="s">
        <v>1757</v>
      </c>
    </row>
    <row r="2574" spans="1:13" x14ac:dyDescent="0.45">
      <c r="A2574" t="s">
        <v>5594</v>
      </c>
      <c r="B2574">
        <v>1</v>
      </c>
      <c r="C2574" t="s">
        <v>1774</v>
      </c>
      <c r="G2574" s="3">
        <v>894.25555642376685</v>
      </c>
      <c r="H2574" t="s">
        <v>1755</v>
      </c>
      <c r="I2574" t="s">
        <v>5594</v>
      </c>
      <c r="M2574" t="s">
        <v>1757</v>
      </c>
    </row>
    <row r="2575" spans="1:13" x14ac:dyDescent="0.45">
      <c r="A2575" t="s">
        <v>5595</v>
      </c>
      <c r="B2575">
        <v>2</v>
      </c>
      <c r="C2575" t="s">
        <v>1774</v>
      </c>
      <c r="G2575" s="3">
        <v>368.63824591434923</v>
      </c>
      <c r="H2575" t="s">
        <v>1755</v>
      </c>
      <c r="I2575" t="s">
        <v>5595</v>
      </c>
      <c r="M2575" t="s">
        <v>1757</v>
      </c>
    </row>
    <row r="2576" spans="1:13" x14ac:dyDescent="0.45">
      <c r="A2576" t="s">
        <v>5596</v>
      </c>
      <c r="B2576">
        <v>2</v>
      </c>
      <c r="C2576" t="s">
        <v>1774</v>
      </c>
      <c r="G2576" s="3">
        <v>3727.967397302376</v>
      </c>
      <c r="H2576" t="s">
        <v>1755</v>
      </c>
      <c r="I2576" t="s">
        <v>5596</v>
      </c>
      <c r="M2576" t="s">
        <v>1757</v>
      </c>
    </row>
    <row r="2577" spans="1:13" x14ac:dyDescent="0.45">
      <c r="A2577" t="s">
        <v>5597</v>
      </c>
      <c r="B2577">
        <v>1</v>
      </c>
      <c r="C2577" t="s">
        <v>1774</v>
      </c>
      <c r="G2577" s="3">
        <v>1328.160955083014</v>
      </c>
      <c r="H2577" t="s">
        <v>1755</v>
      </c>
      <c r="I2577" t="s">
        <v>5597</v>
      </c>
      <c r="M2577" t="s">
        <v>1757</v>
      </c>
    </row>
    <row r="2578" spans="1:13" x14ac:dyDescent="0.45">
      <c r="A2578" t="s">
        <v>5598</v>
      </c>
      <c r="B2578">
        <v>1</v>
      </c>
      <c r="C2578" t="s">
        <v>1774</v>
      </c>
      <c r="G2578" s="3">
        <v>2787.407419934163</v>
      </c>
      <c r="H2578" t="s">
        <v>1755</v>
      </c>
      <c r="I2578" t="s">
        <v>5598</v>
      </c>
      <c r="M2578" t="s">
        <v>1757</v>
      </c>
    </row>
    <row r="2579" spans="1:13" x14ac:dyDescent="0.45">
      <c r="A2579" t="s">
        <v>5599</v>
      </c>
      <c r="B2579">
        <v>1</v>
      </c>
      <c r="C2579" t="s">
        <v>1774</v>
      </c>
      <c r="G2579" s="3">
        <v>2740.3071774280879</v>
      </c>
      <c r="H2579" t="s">
        <v>1755</v>
      </c>
      <c r="I2579" t="s">
        <v>5599</v>
      </c>
      <c r="M2579" t="s">
        <v>1757</v>
      </c>
    </row>
    <row r="2580" spans="1:13" x14ac:dyDescent="0.45">
      <c r="A2580" t="s">
        <v>5600</v>
      </c>
      <c r="B2580">
        <v>1</v>
      </c>
      <c r="C2580" t="s">
        <v>1774</v>
      </c>
      <c r="G2580" s="3">
        <v>2677.6036138120439</v>
      </c>
      <c r="H2580" t="s">
        <v>1755</v>
      </c>
      <c r="I2580" t="s">
        <v>5600</v>
      </c>
      <c r="M2580" t="s">
        <v>1757</v>
      </c>
    </row>
    <row r="2581" spans="1:13" x14ac:dyDescent="0.45">
      <c r="A2581" t="s">
        <v>5601</v>
      </c>
      <c r="B2581">
        <v>1</v>
      </c>
      <c r="C2581" t="s">
        <v>1774</v>
      </c>
      <c r="G2581" s="3">
        <v>1330.7408520307531</v>
      </c>
      <c r="H2581" t="s">
        <v>1755</v>
      </c>
      <c r="I2581" t="s">
        <v>5601</v>
      </c>
      <c r="M2581" t="s">
        <v>1757</v>
      </c>
    </row>
    <row r="2582" spans="1:13" x14ac:dyDescent="0.45">
      <c r="A2582" t="s">
        <v>5602</v>
      </c>
      <c r="B2582">
        <v>1</v>
      </c>
      <c r="C2582" t="s">
        <v>1774</v>
      </c>
      <c r="G2582" s="3">
        <v>5415.6635737976649</v>
      </c>
      <c r="H2582" t="s">
        <v>1755</v>
      </c>
      <c r="I2582" t="s">
        <v>5602</v>
      </c>
      <c r="M2582" t="s">
        <v>1757</v>
      </c>
    </row>
    <row r="2583" spans="1:13" x14ac:dyDescent="0.45">
      <c r="A2583" t="s">
        <v>5603</v>
      </c>
      <c r="B2583">
        <v>1</v>
      </c>
      <c r="C2583" t="s">
        <v>1774</v>
      </c>
      <c r="G2583" s="3">
        <v>847.79458041801684</v>
      </c>
      <c r="H2583" t="s">
        <v>1755</v>
      </c>
      <c r="I2583" t="s">
        <v>5603</v>
      </c>
      <c r="M2583" t="s">
        <v>1757</v>
      </c>
    </row>
    <row r="2584" spans="1:13" x14ac:dyDescent="0.45">
      <c r="A2584" t="s">
        <v>5604</v>
      </c>
      <c r="B2584">
        <v>1</v>
      </c>
      <c r="C2584" t="s">
        <v>1774</v>
      </c>
      <c r="G2584" s="3">
        <v>930.56328439119477</v>
      </c>
      <c r="H2584" t="s">
        <v>1755</v>
      </c>
      <c r="I2584" t="s">
        <v>5604</v>
      </c>
      <c r="M2584" t="s">
        <v>1757</v>
      </c>
    </row>
    <row r="2585" spans="1:13" x14ac:dyDescent="0.45">
      <c r="A2585" t="s">
        <v>5605</v>
      </c>
      <c r="B2585">
        <v>1</v>
      </c>
      <c r="C2585" t="s">
        <v>1774</v>
      </c>
      <c r="G2585" s="3">
        <v>4873.7547522212953</v>
      </c>
      <c r="H2585" t="s">
        <v>1755</v>
      </c>
      <c r="I2585" t="s">
        <v>5605</v>
      </c>
      <c r="M2585" t="s">
        <v>1757</v>
      </c>
    </row>
    <row r="2586" spans="1:13" x14ac:dyDescent="0.45">
      <c r="A2586" t="s">
        <v>5606</v>
      </c>
      <c r="B2586">
        <v>1</v>
      </c>
      <c r="C2586" t="s">
        <v>1774</v>
      </c>
      <c r="G2586" s="3">
        <v>2045.558215689877</v>
      </c>
      <c r="H2586" t="s">
        <v>1755</v>
      </c>
      <c r="I2586" t="s">
        <v>5606</v>
      </c>
      <c r="M2586" t="s">
        <v>1757</v>
      </c>
    </row>
    <row r="2587" spans="1:13" x14ac:dyDescent="0.45">
      <c r="A2587" t="s">
        <v>5607</v>
      </c>
      <c r="B2587">
        <v>2</v>
      </c>
      <c r="C2587" t="s">
        <v>1774</v>
      </c>
      <c r="G2587" s="3">
        <v>3158.968026992854</v>
      </c>
      <c r="H2587" t="s">
        <v>1755</v>
      </c>
      <c r="I2587" t="s">
        <v>5607</v>
      </c>
      <c r="M2587" t="s">
        <v>1757</v>
      </c>
    </row>
    <row r="2588" spans="1:13" x14ac:dyDescent="0.45">
      <c r="A2588" t="s">
        <v>5608</v>
      </c>
      <c r="B2588">
        <v>1</v>
      </c>
      <c r="C2588" t="s">
        <v>1774</v>
      </c>
      <c r="G2588" s="3">
        <v>1992.9491919641659</v>
      </c>
      <c r="H2588" t="s">
        <v>1755</v>
      </c>
      <c r="I2588" t="s">
        <v>5608</v>
      </c>
      <c r="M2588" t="s">
        <v>1757</v>
      </c>
    </row>
    <row r="2589" spans="1:13" x14ac:dyDescent="0.45">
      <c r="A2589" t="s">
        <v>5609</v>
      </c>
      <c r="B2589">
        <v>1</v>
      </c>
      <c r="C2589" t="s">
        <v>1774</v>
      </c>
      <c r="G2589" s="3">
        <v>3448.1578408591822</v>
      </c>
      <c r="H2589" t="s">
        <v>1755</v>
      </c>
      <c r="I2589" t="s">
        <v>5609</v>
      </c>
      <c r="M2589" t="s">
        <v>1757</v>
      </c>
    </row>
    <row r="2590" spans="1:13" x14ac:dyDescent="0.45">
      <c r="A2590" t="s">
        <v>5610</v>
      </c>
      <c r="B2590">
        <v>1</v>
      </c>
      <c r="C2590" t="s">
        <v>1774</v>
      </c>
      <c r="G2590" s="3">
        <v>1446.0827934465019</v>
      </c>
      <c r="H2590" t="s">
        <v>1755</v>
      </c>
      <c r="I2590" t="s">
        <v>5610</v>
      </c>
      <c r="M2590" t="s">
        <v>1757</v>
      </c>
    </row>
    <row r="2591" spans="1:13" x14ac:dyDescent="0.45">
      <c r="A2591" t="s">
        <v>5611</v>
      </c>
      <c r="B2591">
        <v>1</v>
      </c>
      <c r="C2591" t="s">
        <v>1774</v>
      </c>
      <c r="G2591" s="3">
        <v>4493.1628750636273</v>
      </c>
      <c r="H2591" t="s">
        <v>1755</v>
      </c>
      <c r="I2591" t="s">
        <v>5611</v>
      </c>
      <c r="M2591" t="s">
        <v>1757</v>
      </c>
    </row>
    <row r="2592" spans="1:13" x14ac:dyDescent="0.45">
      <c r="A2592" t="s">
        <v>5612</v>
      </c>
      <c r="B2592">
        <v>1</v>
      </c>
      <c r="C2592" t="s">
        <v>1774</v>
      </c>
      <c r="G2592" s="3">
        <v>4706.7300711925509</v>
      </c>
      <c r="H2592" t="s">
        <v>1755</v>
      </c>
      <c r="I2592" t="s">
        <v>5612</v>
      </c>
      <c r="M2592" t="s">
        <v>1757</v>
      </c>
    </row>
    <row r="2593" spans="1:13" x14ac:dyDescent="0.45">
      <c r="A2593" t="s">
        <v>5613</v>
      </c>
      <c r="B2593">
        <v>1</v>
      </c>
      <c r="C2593" t="s">
        <v>1774</v>
      </c>
      <c r="G2593" s="3">
        <v>2669.5312434635548</v>
      </c>
      <c r="H2593" t="s">
        <v>1755</v>
      </c>
      <c r="I2593" t="s">
        <v>5613</v>
      </c>
      <c r="M2593" t="s">
        <v>1757</v>
      </c>
    </row>
    <row r="2594" spans="1:13" x14ac:dyDescent="0.45">
      <c r="A2594" t="s">
        <v>5614</v>
      </c>
      <c r="B2594">
        <v>1</v>
      </c>
      <c r="C2594" t="s">
        <v>1774</v>
      </c>
      <c r="G2594" s="3">
        <v>3455.659437546667</v>
      </c>
      <c r="H2594" t="s">
        <v>1755</v>
      </c>
      <c r="I2594" t="s">
        <v>5614</v>
      </c>
      <c r="M2594" t="s">
        <v>1757</v>
      </c>
    </row>
    <row r="2595" spans="1:13" x14ac:dyDescent="0.45">
      <c r="A2595" t="s">
        <v>5615</v>
      </c>
      <c r="B2595">
        <v>1</v>
      </c>
      <c r="C2595" t="s">
        <v>1774</v>
      </c>
      <c r="G2595" s="3">
        <v>4455.8832010906044</v>
      </c>
      <c r="H2595" t="s">
        <v>1755</v>
      </c>
      <c r="I2595" t="s">
        <v>5615</v>
      </c>
      <c r="M2595" t="s">
        <v>1757</v>
      </c>
    </row>
    <row r="2596" spans="1:13" x14ac:dyDescent="0.45">
      <c r="A2596" t="s">
        <v>5616</v>
      </c>
      <c r="B2596">
        <v>1</v>
      </c>
      <c r="C2596" t="s">
        <v>1774</v>
      </c>
      <c r="G2596" s="3">
        <v>1314.2373393182861</v>
      </c>
      <c r="H2596" t="s">
        <v>1755</v>
      </c>
      <c r="I2596" t="s">
        <v>5616</v>
      </c>
      <c r="M2596" t="s">
        <v>1757</v>
      </c>
    </row>
    <row r="2597" spans="1:13" x14ac:dyDescent="0.45">
      <c r="A2597" t="s">
        <v>5617</v>
      </c>
      <c r="B2597">
        <v>1</v>
      </c>
      <c r="C2597" t="s">
        <v>1774</v>
      </c>
      <c r="G2597" s="3">
        <v>4550.3054724396025</v>
      </c>
      <c r="H2597" t="s">
        <v>1755</v>
      </c>
      <c r="I2597" t="s">
        <v>5617</v>
      </c>
      <c r="M2597" t="s">
        <v>1757</v>
      </c>
    </row>
    <row r="2598" spans="1:13" x14ac:dyDescent="0.45">
      <c r="A2598" t="s">
        <v>5618</v>
      </c>
      <c r="B2598">
        <v>2</v>
      </c>
      <c r="C2598" t="s">
        <v>1774</v>
      </c>
      <c r="G2598" s="3">
        <v>1929.32586736296</v>
      </c>
      <c r="H2598" t="s">
        <v>1755</v>
      </c>
      <c r="I2598" t="s">
        <v>5618</v>
      </c>
      <c r="M2598" t="s">
        <v>1757</v>
      </c>
    </row>
    <row r="2599" spans="1:13" x14ac:dyDescent="0.45">
      <c r="A2599" t="s">
        <v>5619</v>
      </c>
      <c r="B2599">
        <v>1</v>
      </c>
      <c r="C2599" t="s">
        <v>1774</v>
      </c>
      <c r="G2599" s="3">
        <v>1727.311130132764</v>
      </c>
      <c r="H2599" t="s">
        <v>1755</v>
      </c>
      <c r="I2599" t="s">
        <v>5619</v>
      </c>
      <c r="M2599" t="s">
        <v>1757</v>
      </c>
    </row>
    <row r="2600" spans="1:13" x14ac:dyDescent="0.45">
      <c r="A2600" t="s">
        <v>5620</v>
      </c>
      <c r="B2600">
        <v>1</v>
      </c>
      <c r="C2600" t="s">
        <v>1774</v>
      </c>
      <c r="G2600" s="3">
        <v>1944.6747864983099</v>
      </c>
      <c r="H2600" t="s">
        <v>1755</v>
      </c>
      <c r="I2600" t="s">
        <v>5620</v>
      </c>
      <c r="M2600" t="s">
        <v>1757</v>
      </c>
    </row>
    <row r="2601" spans="1:13" x14ac:dyDescent="0.45">
      <c r="A2601" t="s">
        <v>5621</v>
      </c>
      <c r="B2601">
        <v>1</v>
      </c>
      <c r="C2601" t="s">
        <v>1774</v>
      </c>
      <c r="G2601" s="3">
        <v>2777.5314048168998</v>
      </c>
      <c r="H2601" t="s">
        <v>1755</v>
      </c>
      <c r="I2601" t="s">
        <v>5621</v>
      </c>
      <c r="M2601" t="s">
        <v>1757</v>
      </c>
    </row>
    <row r="2602" spans="1:13" x14ac:dyDescent="0.45">
      <c r="A2602" t="s">
        <v>5622</v>
      </c>
      <c r="B2602">
        <v>1</v>
      </c>
      <c r="C2602" t="s">
        <v>1774</v>
      </c>
      <c r="G2602" s="3">
        <v>3426.9902919453662</v>
      </c>
      <c r="H2602" t="s">
        <v>1755</v>
      </c>
      <c r="I2602" t="s">
        <v>5622</v>
      </c>
      <c r="M2602" t="s">
        <v>1757</v>
      </c>
    </row>
    <row r="2603" spans="1:13" x14ac:dyDescent="0.45">
      <c r="A2603" t="s">
        <v>5623</v>
      </c>
      <c r="B2603">
        <v>2</v>
      </c>
      <c r="C2603" t="s">
        <v>1774</v>
      </c>
      <c r="G2603" s="3">
        <v>3050.1850903329891</v>
      </c>
      <c r="H2603" t="s">
        <v>1755</v>
      </c>
      <c r="I2603" t="s">
        <v>5623</v>
      </c>
      <c r="M2603" t="s">
        <v>1757</v>
      </c>
    </row>
    <row r="2604" spans="1:13" x14ac:dyDescent="0.45">
      <c r="A2604" t="s">
        <v>5624</v>
      </c>
      <c r="B2604">
        <v>1</v>
      </c>
      <c r="C2604" t="s">
        <v>1774</v>
      </c>
      <c r="G2604" s="3">
        <v>3209.988669159085</v>
      </c>
      <c r="H2604" t="s">
        <v>1755</v>
      </c>
      <c r="I2604" t="s">
        <v>5624</v>
      </c>
      <c r="M2604" t="s">
        <v>1757</v>
      </c>
    </row>
    <row r="2605" spans="1:13" x14ac:dyDescent="0.45">
      <c r="A2605" t="s">
        <v>5625</v>
      </c>
      <c r="B2605">
        <v>1</v>
      </c>
      <c r="C2605" t="s">
        <v>1774</v>
      </c>
      <c r="G2605" s="3">
        <v>5651.9964850912174</v>
      </c>
      <c r="H2605" t="s">
        <v>1755</v>
      </c>
      <c r="I2605" t="s">
        <v>5625</v>
      </c>
      <c r="M2605" t="s">
        <v>1757</v>
      </c>
    </row>
    <row r="2606" spans="1:13" x14ac:dyDescent="0.45">
      <c r="A2606" t="s">
        <v>5626</v>
      </c>
      <c r="B2606">
        <v>1</v>
      </c>
      <c r="C2606" t="s">
        <v>1774</v>
      </c>
      <c r="G2606" s="3">
        <v>3206.684705052814</v>
      </c>
      <c r="H2606" t="s">
        <v>1755</v>
      </c>
      <c r="I2606" t="s">
        <v>5626</v>
      </c>
      <c r="M2606" t="s">
        <v>1757</v>
      </c>
    </row>
    <row r="2607" spans="1:13" x14ac:dyDescent="0.45">
      <c r="A2607" t="s">
        <v>5627</v>
      </c>
      <c r="B2607">
        <v>1</v>
      </c>
      <c r="C2607" t="s">
        <v>1774</v>
      </c>
      <c r="G2607" s="3">
        <v>1177.1668600190469</v>
      </c>
      <c r="H2607" t="s">
        <v>1755</v>
      </c>
      <c r="I2607" t="s">
        <v>5627</v>
      </c>
      <c r="M2607" t="s">
        <v>1757</v>
      </c>
    </row>
    <row r="2608" spans="1:13" x14ac:dyDescent="0.45">
      <c r="A2608" t="s">
        <v>5628</v>
      </c>
      <c r="B2608">
        <v>1</v>
      </c>
      <c r="C2608" t="s">
        <v>1774</v>
      </c>
      <c r="G2608" s="3">
        <v>2320.6319815286229</v>
      </c>
      <c r="H2608" t="s">
        <v>1755</v>
      </c>
      <c r="I2608" t="s">
        <v>5628</v>
      </c>
      <c r="M2608" t="s">
        <v>1757</v>
      </c>
    </row>
    <row r="2609" spans="1:13" x14ac:dyDescent="0.45">
      <c r="A2609" t="s">
        <v>5629</v>
      </c>
      <c r="B2609">
        <v>3</v>
      </c>
      <c r="C2609" t="s">
        <v>1774</v>
      </c>
      <c r="G2609" s="3">
        <v>712.85390226526863</v>
      </c>
      <c r="H2609" t="s">
        <v>1755</v>
      </c>
      <c r="I2609" t="s">
        <v>5629</v>
      </c>
      <c r="M2609" t="s">
        <v>1757</v>
      </c>
    </row>
    <row r="2610" spans="1:13" x14ac:dyDescent="0.45">
      <c r="A2610" t="s">
        <v>5630</v>
      </c>
      <c r="B2610">
        <v>2</v>
      </c>
      <c r="C2610" t="s">
        <v>1774</v>
      </c>
      <c r="G2610" s="3">
        <v>1413.5193406952619</v>
      </c>
      <c r="H2610" t="s">
        <v>1755</v>
      </c>
      <c r="I2610" t="s">
        <v>5630</v>
      </c>
      <c r="M2610" t="s">
        <v>1757</v>
      </c>
    </row>
    <row r="2611" spans="1:13" x14ac:dyDescent="0.45">
      <c r="A2611" t="s">
        <v>5631</v>
      </c>
      <c r="B2611">
        <v>1</v>
      </c>
      <c r="C2611" t="s">
        <v>1774</v>
      </c>
      <c r="G2611" s="3">
        <v>5024.2106892620304</v>
      </c>
      <c r="H2611" t="s">
        <v>1755</v>
      </c>
      <c r="I2611" t="s">
        <v>5631</v>
      </c>
      <c r="M2611" t="s">
        <v>1757</v>
      </c>
    </row>
    <row r="2612" spans="1:13" x14ac:dyDescent="0.45">
      <c r="A2612" t="s">
        <v>5632</v>
      </c>
      <c r="B2612">
        <v>1</v>
      </c>
      <c r="C2612" t="s">
        <v>1774</v>
      </c>
      <c r="G2612" s="3">
        <v>3354.0943415256729</v>
      </c>
      <c r="H2612" t="s">
        <v>1755</v>
      </c>
      <c r="I2612" t="s">
        <v>5632</v>
      </c>
      <c r="M2612" t="s">
        <v>1757</v>
      </c>
    </row>
    <row r="2613" spans="1:13" x14ac:dyDescent="0.45">
      <c r="A2613" t="s">
        <v>5633</v>
      </c>
      <c r="B2613">
        <v>1</v>
      </c>
      <c r="C2613" t="s">
        <v>1774</v>
      </c>
      <c r="G2613" s="3">
        <v>1123.0770863385021</v>
      </c>
      <c r="H2613" t="s">
        <v>1755</v>
      </c>
      <c r="I2613" t="s">
        <v>5633</v>
      </c>
      <c r="M2613" t="s">
        <v>1757</v>
      </c>
    </row>
    <row r="2614" spans="1:13" x14ac:dyDescent="0.45">
      <c r="A2614" t="s">
        <v>5634</v>
      </c>
      <c r="B2614">
        <v>1</v>
      </c>
      <c r="C2614" t="s">
        <v>1774</v>
      </c>
      <c r="G2614" s="3">
        <v>5790.7107925341479</v>
      </c>
      <c r="H2614" t="s">
        <v>1755</v>
      </c>
      <c r="I2614" t="s">
        <v>5634</v>
      </c>
      <c r="M2614" t="s">
        <v>1757</v>
      </c>
    </row>
    <row r="2615" spans="1:13" x14ac:dyDescent="0.45">
      <c r="A2615" t="s">
        <v>5635</v>
      </c>
      <c r="B2615">
        <v>1</v>
      </c>
      <c r="C2615" t="s">
        <v>1774</v>
      </c>
      <c r="G2615" s="3">
        <v>883.40759530090793</v>
      </c>
      <c r="H2615" t="s">
        <v>1755</v>
      </c>
      <c r="I2615" t="s">
        <v>5635</v>
      </c>
      <c r="M2615" t="s">
        <v>1757</v>
      </c>
    </row>
    <row r="2616" spans="1:13" x14ac:dyDescent="0.45">
      <c r="A2616" t="s">
        <v>5636</v>
      </c>
      <c r="B2616">
        <v>1</v>
      </c>
      <c r="C2616" t="s">
        <v>1774</v>
      </c>
      <c r="G2616" s="3">
        <v>3429.6321586048712</v>
      </c>
      <c r="H2616" t="s">
        <v>1755</v>
      </c>
      <c r="I2616" t="s">
        <v>5636</v>
      </c>
      <c r="M2616" t="s">
        <v>1757</v>
      </c>
    </row>
    <row r="2617" spans="1:13" x14ac:dyDescent="0.45">
      <c r="A2617" t="s">
        <v>5637</v>
      </c>
      <c r="B2617">
        <v>1</v>
      </c>
      <c r="C2617" t="s">
        <v>1774</v>
      </c>
      <c r="G2617" s="3">
        <v>4437.7815221273249</v>
      </c>
      <c r="H2617" t="s">
        <v>1755</v>
      </c>
      <c r="I2617" t="s">
        <v>5637</v>
      </c>
      <c r="M2617" t="s">
        <v>1757</v>
      </c>
    </row>
    <row r="2618" spans="1:13" x14ac:dyDescent="0.45">
      <c r="A2618" t="s">
        <v>5638</v>
      </c>
      <c r="B2618">
        <v>2</v>
      </c>
      <c r="C2618" t="s">
        <v>1774</v>
      </c>
      <c r="G2618" s="3">
        <v>952.73865651215613</v>
      </c>
      <c r="H2618" t="s">
        <v>1755</v>
      </c>
      <c r="I2618" t="s">
        <v>5638</v>
      </c>
      <c r="M2618" t="s">
        <v>1757</v>
      </c>
    </row>
    <row r="2619" spans="1:13" x14ac:dyDescent="0.45">
      <c r="A2619" t="s">
        <v>5639</v>
      </c>
      <c r="B2619">
        <v>1</v>
      </c>
      <c r="C2619" t="s">
        <v>1774</v>
      </c>
      <c r="G2619" s="3">
        <v>2490.7323171992371</v>
      </c>
      <c r="H2619" t="s">
        <v>1755</v>
      </c>
      <c r="I2619" t="s">
        <v>5639</v>
      </c>
      <c r="M2619" t="s">
        <v>1757</v>
      </c>
    </row>
    <row r="2620" spans="1:13" x14ac:dyDescent="0.45">
      <c r="A2620" t="s">
        <v>5640</v>
      </c>
      <c r="B2620">
        <v>3</v>
      </c>
      <c r="C2620" t="s">
        <v>1774</v>
      </c>
      <c r="G2620" s="3">
        <v>1938.882249230061</v>
      </c>
      <c r="H2620" t="s">
        <v>1755</v>
      </c>
      <c r="I2620" t="s">
        <v>5640</v>
      </c>
      <c r="M2620" t="s">
        <v>1757</v>
      </c>
    </row>
    <row r="2621" spans="1:13" x14ac:dyDescent="0.45">
      <c r="A2621" t="s">
        <v>5641</v>
      </c>
      <c r="B2621">
        <v>1</v>
      </c>
      <c r="C2621" t="s">
        <v>1774</v>
      </c>
      <c r="H2621" t="s">
        <v>1755</v>
      </c>
      <c r="I2621" t="s">
        <v>5641</v>
      </c>
      <c r="M2621" t="s">
        <v>1757</v>
      </c>
    </row>
    <row r="2622" spans="1:13" x14ac:dyDescent="0.45">
      <c r="A2622" t="s">
        <v>5642</v>
      </c>
      <c r="B2622">
        <v>1</v>
      </c>
      <c r="C2622" t="s">
        <v>1774</v>
      </c>
      <c r="G2622" s="3">
        <v>880.33520222281618</v>
      </c>
      <c r="H2622" t="s">
        <v>1755</v>
      </c>
      <c r="I2622" t="s">
        <v>5642</v>
      </c>
      <c r="M2622" t="s">
        <v>1757</v>
      </c>
    </row>
    <row r="2623" spans="1:13" x14ac:dyDescent="0.45">
      <c r="A2623" t="s">
        <v>5643</v>
      </c>
      <c r="B2623">
        <v>1</v>
      </c>
      <c r="C2623" t="s">
        <v>1774</v>
      </c>
      <c r="G2623" s="3">
        <v>968.73988840293953</v>
      </c>
      <c r="H2623" t="s">
        <v>1755</v>
      </c>
      <c r="I2623" t="s">
        <v>5643</v>
      </c>
      <c r="M2623" t="s">
        <v>1757</v>
      </c>
    </row>
    <row r="2624" spans="1:13" x14ac:dyDescent="0.45">
      <c r="A2624" t="s">
        <v>5644</v>
      </c>
      <c r="B2624">
        <v>1</v>
      </c>
      <c r="C2624" t="s">
        <v>1774</v>
      </c>
      <c r="G2624" s="3">
        <v>2858.108337931822</v>
      </c>
      <c r="H2624" t="s">
        <v>1755</v>
      </c>
      <c r="I2624" t="s">
        <v>5644</v>
      </c>
      <c r="M2624" t="s">
        <v>1757</v>
      </c>
    </row>
    <row r="2625" spans="1:13" x14ac:dyDescent="0.45">
      <c r="A2625" t="s">
        <v>5645</v>
      </c>
      <c r="B2625">
        <v>1</v>
      </c>
      <c r="C2625" t="s">
        <v>1774</v>
      </c>
      <c r="G2625" s="3">
        <v>5288.8213585036228</v>
      </c>
      <c r="H2625" t="s">
        <v>1755</v>
      </c>
      <c r="I2625" t="s">
        <v>5645</v>
      </c>
      <c r="M2625" t="s">
        <v>1757</v>
      </c>
    </row>
    <row r="2626" spans="1:13" x14ac:dyDescent="0.45">
      <c r="A2626" t="s">
        <v>5646</v>
      </c>
      <c r="B2626">
        <v>1</v>
      </c>
      <c r="C2626" t="s">
        <v>1774</v>
      </c>
      <c r="G2626" s="3">
        <v>4940.1601907244249</v>
      </c>
      <c r="H2626" t="s">
        <v>1755</v>
      </c>
      <c r="I2626" t="s">
        <v>5646</v>
      </c>
      <c r="M2626" t="s">
        <v>1757</v>
      </c>
    </row>
    <row r="2627" spans="1:13" x14ac:dyDescent="0.45">
      <c r="A2627" t="s">
        <v>5647</v>
      </c>
      <c r="B2627">
        <v>1</v>
      </c>
      <c r="C2627" t="s">
        <v>1774</v>
      </c>
      <c r="G2627" s="3">
        <v>6705.188044376353</v>
      </c>
      <c r="H2627" t="s">
        <v>1755</v>
      </c>
      <c r="I2627" t="s">
        <v>5647</v>
      </c>
      <c r="M2627" t="s">
        <v>1757</v>
      </c>
    </row>
    <row r="2628" spans="1:13" x14ac:dyDescent="0.45">
      <c r="A2628" t="s">
        <v>5648</v>
      </c>
      <c r="B2628">
        <v>1</v>
      </c>
      <c r="C2628" t="s">
        <v>1774</v>
      </c>
      <c r="G2628" s="3">
        <v>2964.882151304952</v>
      </c>
      <c r="H2628" t="s">
        <v>1755</v>
      </c>
      <c r="I2628" t="s">
        <v>5648</v>
      </c>
      <c r="M2628" t="s">
        <v>1757</v>
      </c>
    </row>
    <row r="2629" spans="1:13" x14ac:dyDescent="0.45">
      <c r="A2629" t="s">
        <v>5649</v>
      </c>
      <c r="B2629">
        <v>1</v>
      </c>
      <c r="C2629" t="s">
        <v>1774</v>
      </c>
      <c r="G2629" s="3">
        <v>3359.769462497944</v>
      </c>
      <c r="H2629" t="s">
        <v>1755</v>
      </c>
      <c r="I2629" t="s">
        <v>5649</v>
      </c>
      <c r="M2629" t="s">
        <v>1757</v>
      </c>
    </row>
    <row r="2630" spans="1:13" x14ac:dyDescent="0.45">
      <c r="A2630" t="s">
        <v>5650</v>
      </c>
      <c r="B2630">
        <v>1</v>
      </c>
      <c r="C2630" t="s">
        <v>1774</v>
      </c>
      <c r="G2630" s="3">
        <v>3840.5891945279682</v>
      </c>
      <c r="H2630" t="s">
        <v>1755</v>
      </c>
      <c r="I2630" t="s">
        <v>5650</v>
      </c>
      <c r="M2630" t="s">
        <v>1757</v>
      </c>
    </row>
    <row r="2631" spans="1:13" x14ac:dyDescent="0.45">
      <c r="A2631" t="s">
        <v>5651</v>
      </c>
      <c r="B2631">
        <v>3</v>
      </c>
      <c r="C2631" t="s">
        <v>1774</v>
      </c>
      <c r="G2631" s="3">
        <v>2125.4763129218099</v>
      </c>
      <c r="H2631" t="s">
        <v>1755</v>
      </c>
      <c r="I2631" t="s">
        <v>5651</v>
      </c>
      <c r="M2631" t="s">
        <v>1757</v>
      </c>
    </row>
    <row r="2632" spans="1:13" x14ac:dyDescent="0.45">
      <c r="A2632" t="s">
        <v>5652</v>
      </c>
      <c r="B2632">
        <v>1</v>
      </c>
      <c r="C2632" t="s">
        <v>1774</v>
      </c>
      <c r="G2632" s="3">
        <v>2889.461750521732</v>
      </c>
      <c r="H2632" t="s">
        <v>1755</v>
      </c>
      <c r="I2632" t="s">
        <v>5652</v>
      </c>
      <c r="M2632" t="s">
        <v>1757</v>
      </c>
    </row>
    <row r="2633" spans="1:13" x14ac:dyDescent="0.45">
      <c r="A2633" t="s">
        <v>5653</v>
      </c>
      <c r="B2633">
        <v>2</v>
      </c>
      <c r="C2633" t="s">
        <v>1774</v>
      </c>
      <c r="G2633" s="3">
        <v>3029.956871786997</v>
      </c>
      <c r="H2633" t="s">
        <v>1755</v>
      </c>
      <c r="I2633" t="s">
        <v>5653</v>
      </c>
      <c r="M2633" t="s">
        <v>1757</v>
      </c>
    </row>
    <row r="2634" spans="1:13" x14ac:dyDescent="0.45">
      <c r="A2634" t="s">
        <v>5654</v>
      </c>
      <c r="B2634">
        <v>1</v>
      </c>
      <c r="C2634" t="s">
        <v>1774</v>
      </c>
      <c r="G2634" s="3">
        <v>4384.4875700084094</v>
      </c>
      <c r="H2634" t="s">
        <v>1755</v>
      </c>
      <c r="I2634" t="s">
        <v>5654</v>
      </c>
      <c r="M2634" t="s">
        <v>1757</v>
      </c>
    </row>
    <row r="2635" spans="1:13" x14ac:dyDescent="0.45">
      <c r="A2635" t="s">
        <v>5655</v>
      </c>
      <c r="B2635">
        <v>1</v>
      </c>
      <c r="C2635" t="s">
        <v>1774</v>
      </c>
      <c r="G2635" s="3">
        <v>3231.6813298410252</v>
      </c>
      <c r="H2635" t="s">
        <v>1755</v>
      </c>
      <c r="I2635" t="s">
        <v>5655</v>
      </c>
      <c r="M2635" t="s">
        <v>1757</v>
      </c>
    </row>
    <row r="2636" spans="1:13" x14ac:dyDescent="0.45">
      <c r="A2636" t="s">
        <v>5656</v>
      </c>
      <c r="B2636">
        <v>1</v>
      </c>
      <c r="C2636" t="s">
        <v>1774</v>
      </c>
      <c r="G2636" s="3">
        <v>6232.0982184982167</v>
      </c>
      <c r="H2636" t="s">
        <v>1755</v>
      </c>
      <c r="I2636" t="s">
        <v>5656</v>
      </c>
      <c r="M2636" t="s">
        <v>1757</v>
      </c>
    </row>
    <row r="2637" spans="1:13" x14ac:dyDescent="0.45">
      <c r="A2637" t="s">
        <v>5657</v>
      </c>
      <c r="B2637">
        <v>1</v>
      </c>
      <c r="C2637" t="s">
        <v>1774</v>
      </c>
      <c r="G2637" s="3">
        <v>5777.2405341344456</v>
      </c>
      <c r="H2637" t="s">
        <v>1755</v>
      </c>
      <c r="I2637" t="s">
        <v>5657</v>
      </c>
      <c r="M2637" t="s">
        <v>1757</v>
      </c>
    </row>
    <row r="2638" spans="1:13" x14ac:dyDescent="0.45">
      <c r="A2638" t="s">
        <v>5658</v>
      </c>
      <c r="B2638">
        <v>1</v>
      </c>
      <c r="C2638" t="s">
        <v>1774</v>
      </c>
      <c r="G2638" s="3">
        <v>2176.7839727004311</v>
      </c>
      <c r="H2638" t="s">
        <v>1755</v>
      </c>
      <c r="I2638" t="s">
        <v>5658</v>
      </c>
      <c r="M2638" t="s">
        <v>1757</v>
      </c>
    </row>
    <row r="2639" spans="1:13" x14ac:dyDescent="0.45">
      <c r="A2639" t="s">
        <v>5659</v>
      </c>
      <c r="B2639">
        <v>1</v>
      </c>
      <c r="C2639" t="s">
        <v>1774</v>
      </c>
      <c r="G2639" s="3">
        <v>3558.3660808896698</v>
      </c>
      <c r="H2639" t="s">
        <v>1755</v>
      </c>
      <c r="I2639" t="s">
        <v>5659</v>
      </c>
      <c r="M2639" t="s">
        <v>1757</v>
      </c>
    </row>
    <row r="2640" spans="1:13" x14ac:dyDescent="0.45">
      <c r="A2640" t="s">
        <v>5660</v>
      </c>
      <c r="B2640">
        <v>1</v>
      </c>
      <c r="C2640" t="s">
        <v>1774</v>
      </c>
      <c r="G2640" s="3">
        <v>1064.4504774439181</v>
      </c>
      <c r="H2640" t="s">
        <v>1755</v>
      </c>
      <c r="I2640" t="s">
        <v>5660</v>
      </c>
      <c r="M2640" t="s">
        <v>1757</v>
      </c>
    </row>
    <row r="2641" spans="1:13" x14ac:dyDescent="0.45">
      <c r="A2641" t="s">
        <v>5661</v>
      </c>
      <c r="B2641">
        <v>1</v>
      </c>
      <c r="C2641" t="s">
        <v>1774</v>
      </c>
      <c r="G2641" s="3">
        <v>1657.529973120267</v>
      </c>
      <c r="H2641" t="s">
        <v>1755</v>
      </c>
      <c r="I2641" t="s">
        <v>5661</v>
      </c>
      <c r="M2641" t="s">
        <v>1757</v>
      </c>
    </row>
    <row r="2642" spans="1:13" x14ac:dyDescent="0.45">
      <c r="A2642" t="s">
        <v>5662</v>
      </c>
      <c r="B2642">
        <v>2</v>
      </c>
      <c r="C2642" t="s">
        <v>1774</v>
      </c>
      <c r="G2642" s="3">
        <v>3291.2440075396571</v>
      </c>
      <c r="H2642" t="s">
        <v>1755</v>
      </c>
      <c r="I2642" t="s">
        <v>5662</v>
      </c>
      <c r="M2642" t="s">
        <v>1757</v>
      </c>
    </row>
    <row r="2643" spans="1:13" x14ac:dyDescent="0.45">
      <c r="A2643" t="s">
        <v>5663</v>
      </c>
      <c r="B2643">
        <v>1</v>
      </c>
      <c r="C2643" t="s">
        <v>1774</v>
      </c>
      <c r="G2643" s="3">
        <v>899.19356398239836</v>
      </c>
      <c r="H2643" t="s">
        <v>1755</v>
      </c>
      <c r="I2643" t="s">
        <v>5663</v>
      </c>
      <c r="M2643" t="s">
        <v>1757</v>
      </c>
    </row>
    <row r="2644" spans="1:13" x14ac:dyDescent="0.45">
      <c r="A2644" t="s">
        <v>5664</v>
      </c>
      <c r="B2644">
        <v>1</v>
      </c>
      <c r="C2644" t="s">
        <v>1774</v>
      </c>
      <c r="G2644" s="3">
        <v>2022.4663441475309</v>
      </c>
      <c r="H2644" t="s">
        <v>1755</v>
      </c>
      <c r="I2644" t="s">
        <v>5664</v>
      </c>
      <c r="M2644" t="s">
        <v>1757</v>
      </c>
    </row>
    <row r="2645" spans="1:13" x14ac:dyDescent="0.45">
      <c r="A2645" t="s">
        <v>5665</v>
      </c>
      <c r="B2645">
        <v>1</v>
      </c>
      <c r="C2645" t="s">
        <v>1774</v>
      </c>
      <c r="G2645" s="3">
        <v>2327.8856993690429</v>
      </c>
      <c r="H2645" t="s">
        <v>1755</v>
      </c>
      <c r="I2645" t="s">
        <v>5665</v>
      </c>
      <c r="M2645" t="s">
        <v>1757</v>
      </c>
    </row>
    <row r="2646" spans="1:13" x14ac:dyDescent="0.45">
      <c r="A2646" t="s">
        <v>5666</v>
      </c>
      <c r="B2646">
        <v>1</v>
      </c>
      <c r="C2646" t="s">
        <v>1774</v>
      </c>
      <c r="G2646" s="3">
        <v>1069.815749857358</v>
      </c>
      <c r="H2646" t="s">
        <v>1755</v>
      </c>
      <c r="I2646" t="s">
        <v>5666</v>
      </c>
      <c r="M2646" t="s">
        <v>1757</v>
      </c>
    </row>
    <row r="2647" spans="1:13" x14ac:dyDescent="0.45">
      <c r="A2647" t="s">
        <v>5667</v>
      </c>
      <c r="B2647">
        <v>1</v>
      </c>
      <c r="C2647" t="s">
        <v>1774</v>
      </c>
      <c r="G2647" s="3">
        <v>1397.625740409125</v>
      </c>
      <c r="H2647" t="s">
        <v>1755</v>
      </c>
      <c r="I2647" t="s">
        <v>5667</v>
      </c>
      <c r="M2647" t="s">
        <v>1757</v>
      </c>
    </row>
    <row r="2648" spans="1:13" x14ac:dyDescent="0.45">
      <c r="A2648" t="s">
        <v>5668</v>
      </c>
      <c r="B2648">
        <v>1</v>
      </c>
      <c r="C2648" t="s">
        <v>1774</v>
      </c>
      <c r="G2648" s="3">
        <v>2950.7432723309312</v>
      </c>
      <c r="H2648" t="s">
        <v>1755</v>
      </c>
      <c r="I2648" t="s">
        <v>5668</v>
      </c>
      <c r="M2648" t="s">
        <v>1757</v>
      </c>
    </row>
    <row r="2649" spans="1:13" x14ac:dyDescent="0.45">
      <c r="A2649" t="s">
        <v>5669</v>
      </c>
      <c r="B2649">
        <v>1</v>
      </c>
      <c r="C2649" t="s">
        <v>1774</v>
      </c>
      <c r="G2649" s="3">
        <v>2841.1351600354419</v>
      </c>
      <c r="H2649" t="s">
        <v>1755</v>
      </c>
      <c r="I2649" t="s">
        <v>5669</v>
      </c>
      <c r="M2649" t="s">
        <v>1757</v>
      </c>
    </row>
    <row r="2650" spans="1:13" x14ac:dyDescent="0.45">
      <c r="A2650" t="s">
        <v>5670</v>
      </c>
      <c r="B2650">
        <v>1</v>
      </c>
      <c r="C2650" t="s">
        <v>1774</v>
      </c>
      <c r="G2650" s="3">
        <v>2951.9402662371522</v>
      </c>
      <c r="H2650" t="s">
        <v>1755</v>
      </c>
      <c r="I2650" t="s">
        <v>5670</v>
      </c>
      <c r="M2650" t="s">
        <v>1757</v>
      </c>
    </row>
    <row r="2651" spans="1:13" x14ac:dyDescent="0.45">
      <c r="A2651" t="s">
        <v>5671</v>
      </c>
      <c r="B2651">
        <v>1</v>
      </c>
      <c r="C2651" t="s">
        <v>1774</v>
      </c>
      <c r="G2651" s="3">
        <v>1373.614107881619</v>
      </c>
      <c r="H2651" t="s">
        <v>1755</v>
      </c>
      <c r="I2651" t="s">
        <v>5671</v>
      </c>
      <c r="M2651" t="s">
        <v>1757</v>
      </c>
    </row>
    <row r="2652" spans="1:13" x14ac:dyDescent="0.45">
      <c r="A2652" t="s">
        <v>5672</v>
      </c>
      <c r="B2652">
        <v>1</v>
      </c>
      <c r="C2652" t="s">
        <v>1774</v>
      </c>
      <c r="G2652" s="3">
        <v>619.15243651102537</v>
      </c>
      <c r="H2652" t="s">
        <v>1755</v>
      </c>
      <c r="I2652" t="s">
        <v>5672</v>
      </c>
      <c r="M2652" t="s">
        <v>1757</v>
      </c>
    </row>
    <row r="2653" spans="1:13" x14ac:dyDescent="0.45">
      <c r="A2653" t="s">
        <v>5673</v>
      </c>
      <c r="B2653">
        <v>3</v>
      </c>
      <c r="C2653" t="s">
        <v>1774</v>
      </c>
      <c r="G2653" s="3">
        <v>3581.0991804165269</v>
      </c>
      <c r="H2653" t="s">
        <v>1755</v>
      </c>
      <c r="I2653" t="s">
        <v>5673</v>
      </c>
      <c r="M2653" t="s">
        <v>1757</v>
      </c>
    </row>
    <row r="2654" spans="1:13" x14ac:dyDescent="0.45">
      <c r="A2654" t="s">
        <v>5674</v>
      </c>
      <c r="B2654">
        <v>1</v>
      </c>
      <c r="C2654" t="s">
        <v>1774</v>
      </c>
      <c r="G2654" s="3">
        <v>2604.6685246270258</v>
      </c>
      <c r="H2654" t="s">
        <v>1755</v>
      </c>
      <c r="I2654" t="s">
        <v>5674</v>
      </c>
      <c r="M2654" t="s">
        <v>1757</v>
      </c>
    </row>
    <row r="2655" spans="1:13" x14ac:dyDescent="0.45">
      <c r="A2655" t="s">
        <v>5675</v>
      </c>
      <c r="B2655">
        <v>1</v>
      </c>
      <c r="C2655" t="s">
        <v>1774</v>
      </c>
      <c r="G2655" s="3">
        <v>4874.0482929612408</v>
      </c>
      <c r="H2655" t="s">
        <v>1755</v>
      </c>
      <c r="I2655" t="s">
        <v>5675</v>
      </c>
      <c r="M2655" t="s">
        <v>1757</v>
      </c>
    </row>
    <row r="2656" spans="1:13" x14ac:dyDescent="0.45">
      <c r="A2656" t="s">
        <v>5676</v>
      </c>
      <c r="B2656">
        <v>1</v>
      </c>
      <c r="C2656" t="s">
        <v>1774</v>
      </c>
      <c r="G2656" s="3">
        <v>2747.8413897533451</v>
      </c>
      <c r="H2656" t="s">
        <v>1755</v>
      </c>
      <c r="I2656" t="s">
        <v>5676</v>
      </c>
      <c r="M2656" t="s">
        <v>1757</v>
      </c>
    </row>
    <row r="2657" spans="1:13" x14ac:dyDescent="0.45">
      <c r="A2657" t="s">
        <v>5677</v>
      </c>
      <c r="B2657">
        <v>1</v>
      </c>
      <c r="C2657" t="s">
        <v>1774</v>
      </c>
      <c r="G2657" s="3">
        <v>3276.403892353545</v>
      </c>
      <c r="H2657" t="s">
        <v>1755</v>
      </c>
      <c r="I2657" t="s">
        <v>5677</v>
      </c>
      <c r="M2657" t="s">
        <v>1757</v>
      </c>
    </row>
    <row r="2658" spans="1:13" x14ac:dyDescent="0.45">
      <c r="A2658" t="s">
        <v>5678</v>
      </c>
      <c r="B2658">
        <v>1</v>
      </c>
      <c r="C2658" t="s">
        <v>1774</v>
      </c>
      <c r="G2658" s="3">
        <v>3511.008174845198</v>
      </c>
      <c r="H2658" t="s">
        <v>1755</v>
      </c>
      <c r="I2658" t="s">
        <v>5678</v>
      </c>
      <c r="M2658" t="s">
        <v>1757</v>
      </c>
    </row>
    <row r="2659" spans="1:13" x14ac:dyDescent="0.45">
      <c r="A2659" t="s">
        <v>5679</v>
      </c>
      <c r="B2659">
        <v>1</v>
      </c>
      <c r="C2659" t="s">
        <v>1774</v>
      </c>
      <c r="H2659" t="s">
        <v>1755</v>
      </c>
      <c r="I2659" t="s">
        <v>5679</v>
      </c>
      <c r="M2659" t="s">
        <v>1757</v>
      </c>
    </row>
    <row r="2660" spans="1:13" x14ac:dyDescent="0.45">
      <c r="A2660" t="s">
        <v>5680</v>
      </c>
      <c r="B2660">
        <v>1</v>
      </c>
      <c r="C2660" t="s">
        <v>1774</v>
      </c>
      <c r="G2660" s="3">
        <v>3268.4782923750281</v>
      </c>
      <c r="H2660" t="s">
        <v>1755</v>
      </c>
      <c r="I2660" t="s">
        <v>5680</v>
      </c>
      <c r="M2660" t="s">
        <v>1757</v>
      </c>
    </row>
    <row r="2661" spans="1:13" x14ac:dyDescent="0.45">
      <c r="A2661" t="s">
        <v>5681</v>
      </c>
      <c r="B2661">
        <v>1</v>
      </c>
      <c r="C2661" t="s">
        <v>1774</v>
      </c>
      <c r="G2661" s="3">
        <v>1528.9265133865549</v>
      </c>
      <c r="H2661" t="s">
        <v>1755</v>
      </c>
      <c r="I2661" t="s">
        <v>5681</v>
      </c>
      <c r="M2661" t="s">
        <v>1757</v>
      </c>
    </row>
    <row r="2662" spans="1:13" x14ac:dyDescent="0.45">
      <c r="A2662" t="s">
        <v>5682</v>
      </c>
      <c r="B2662">
        <v>1</v>
      </c>
      <c r="C2662" t="s">
        <v>1774</v>
      </c>
      <c r="G2662" s="3">
        <v>632.42700108409679</v>
      </c>
      <c r="H2662" t="s">
        <v>1755</v>
      </c>
      <c r="I2662" t="s">
        <v>5682</v>
      </c>
      <c r="M2662" t="s">
        <v>1757</v>
      </c>
    </row>
    <row r="2663" spans="1:13" x14ac:dyDescent="0.45">
      <c r="A2663" t="s">
        <v>5683</v>
      </c>
      <c r="B2663">
        <v>1</v>
      </c>
      <c r="C2663" t="s">
        <v>1774</v>
      </c>
      <c r="G2663" s="3">
        <v>8536.6539521691811</v>
      </c>
      <c r="H2663" t="s">
        <v>1755</v>
      </c>
      <c r="I2663" t="s">
        <v>5683</v>
      </c>
      <c r="M2663" t="s">
        <v>1757</v>
      </c>
    </row>
    <row r="2664" spans="1:13" x14ac:dyDescent="0.45">
      <c r="A2664" t="s">
        <v>5684</v>
      </c>
      <c r="B2664">
        <v>2</v>
      </c>
      <c r="C2664" t="s">
        <v>1774</v>
      </c>
      <c r="G2664" s="3">
        <v>2126.7059224658019</v>
      </c>
      <c r="H2664" t="s">
        <v>1755</v>
      </c>
      <c r="I2664" t="s">
        <v>5684</v>
      </c>
      <c r="M2664" t="s">
        <v>1757</v>
      </c>
    </row>
    <row r="2665" spans="1:13" x14ac:dyDescent="0.45">
      <c r="A2665" t="s">
        <v>5685</v>
      </c>
      <c r="B2665">
        <v>1</v>
      </c>
      <c r="C2665" t="s">
        <v>1774</v>
      </c>
      <c r="G2665" s="3">
        <v>2274.1351283213239</v>
      </c>
      <c r="H2665" t="s">
        <v>1755</v>
      </c>
      <c r="I2665" t="s">
        <v>5685</v>
      </c>
      <c r="M2665" t="s">
        <v>1757</v>
      </c>
    </row>
    <row r="2666" spans="1:13" x14ac:dyDescent="0.45">
      <c r="A2666" t="s">
        <v>5686</v>
      </c>
      <c r="B2666">
        <v>1</v>
      </c>
      <c r="C2666" t="s">
        <v>1774</v>
      </c>
      <c r="G2666" s="3">
        <v>4166.060643851506</v>
      </c>
      <c r="H2666" t="s">
        <v>1755</v>
      </c>
      <c r="I2666" t="s">
        <v>5686</v>
      </c>
      <c r="M2666" t="s">
        <v>1757</v>
      </c>
    </row>
    <row r="2667" spans="1:13" x14ac:dyDescent="0.45">
      <c r="A2667" t="s">
        <v>5687</v>
      </c>
      <c r="B2667">
        <v>1</v>
      </c>
      <c r="C2667" t="s">
        <v>1774</v>
      </c>
      <c r="G2667" s="3">
        <v>2779.0545551008381</v>
      </c>
      <c r="H2667" t="s">
        <v>1755</v>
      </c>
      <c r="I2667" t="s">
        <v>5687</v>
      </c>
      <c r="M2667" t="s">
        <v>1757</v>
      </c>
    </row>
    <row r="2668" spans="1:13" x14ac:dyDescent="0.45">
      <c r="A2668" t="s">
        <v>5688</v>
      </c>
      <c r="B2668">
        <v>1</v>
      </c>
      <c r="C2668" t="s">
        <v>1774</v>
      </c>
      <c r="G2668" s="3">
        <v>1975.3041319296899</v>
      </c>
      <c r="H2668" t="s">
        <v>1755</v>
      </c>
      <c r="I2668" t="s">
        <v>5688</v>
      </c>
      <c r="M2668" t="s">
        <v>1757</v>
      </c>
    </row>
    <row r="2669" spans="1:13" x14ac:dyDescent="0.45">
      <c r="A2669" t="s">
        <v>5689</v>
      </c>
      <c r="B2669">
        <v>1</v>
      </c>
      <c r="C2669" t="s">
        <v>1774</v>
      </c>
      <c r="G2669" s="3">
        <v>4480.8341639859354</v>
      </c>
      <c r="H2669" t="s">
        <v>1755</v>
      </c>
      <c r="I2669" t="s">
        <v>5689</v>
      </c>
      <c r="M2669" t="s">
        <v>1757</v>
      </c>
    </row>
    <row r="2670" spans="1:13" x14ac:dyDescent="0.45">
      <c r="A2670" t="s">
        <v>5690</v>
      </c>
      <c r="B2670">
        <v>1</v>
      </c>
      <c r="C2670" t="s">
        <v>1774</v>
      </c>
      <c r="G2670" s="3">
        <v>1465.5869448339629</v>
      </c>
      <c r="H2670" t="s">
        <v>1755</v>
      </c>
      <c r="I2670" t="s">
        <v>5690</v>
      </c>
      <c r="M2670" t="s">
        <v>1757</v>
      </c>
    </row>
    <row r="2671" spans="1:13" x14ac:dyDescent="0.45">
      <c r="A2671" t="s">
        <v>5691</v>
      </c>
      <c r="B2671">
        <v>1</v>
      </c>
      <c r="C2671" t="s">
        <v>1774</v>
      </c>
      <c r="G2671" s="3">
        <v>1175.6893716279901</v>
      </c>
      <c r="H2671" t="s">
        <v>1755</v>
      </c>
      <c r="I2671" t="s">
        <v>5691</v>
      </c>
      <c r="M2671" t="s">
        <v>1757</v>
      </c>
    </row>
    <row r="2672" spans="1:13" x14ac:dyDescent="0.45">
      <c r="A2672" t="s">
        <v>5692</v>
      </c>
      <c r="B2672">
        <v>1</v>
      </c>
      <c r="C2672" t="s">
        <v>1774</v>
      </c>
      <c r="G2672" s="3">
        <v>1503.2514833326929</v>
      </c>
      <c r="H2672" t="s">
        <v>1755</v>
      </c>
      <c r="I2672" t="s">
        <v>5692</v>
      </c>
      <c r="M2672" t="s">
        <v>1757</v>
      </c>
    </row>
    <row r="2673" spans="1:13" x14ac:dyDescent="0.45">
      <c r="A2673" t="s">
        <v>5693</v>
      </c>
      <c r="B2673">
        <v>1</v>
      </c>
      <c r="C2673" t="s">
        <v>1774</v>
      </c>
      <c r="G2673" s="3">
        <v>4306.503580096336</v>
      </c>
      <c r="H2673" t="s">
        <v>1755</v>
      </c>
      <c r="I2673" t="s">
        <v>5693</v>
      </c>
      <c r="M2673" t="s">
        <v>1757</v>
      </c>
    </row>
    <row r="2674" spans="1:13" x14ac:dyDescent="0.45">
      <c r="A2674" t="s">
        <v>5694</v>
      </c>
      <c r="B2674">
        <v>1</v>
      </c>
      <c r="C2674" t="s">
        <v>1774</v>
      </c>
      <c r="G2674" s="3">
        <v>1563.1468405365949</v>
      </c>
      <c r="H2674" t="s">
        <v>1755</v>
      </c>
      <c r="I2674" t="s">
        <v>5694</v>
      </c>
      <c r="M2674" t="s">
        <v>1757</v>
      </c>
    </row>
    <row r="2675" spans="1:13" x14ac:dyDescent="0.45">
      <c r="A2675" t="s">
        <v>5695</v>
      </c>
      <c r="B2675">
        <v>3</v>
      </c>
      <c r="C2675" t="s">
        <v>1774</v>
      </c>
      <c r="G2675" s="3">
        <v>1471.9828714009891</v>
      </c>
      <c r="H2675" t="s">
        <v>1755</v>
      </c>
      <c r="I2675" t="s">
        <v>5695</v>
      </c>
      <c r="M2675" t="s">
        <v>1757</v>
      </c>
    </row>
    <row r="2676" spans="1:13" x14ac:dyDescent="0.45">
      <c r="A2676" t="s">
        <v>5696</v>
      </c>
      <c r="B2676">
        <v>1</v>
      </c>
      <c r="C2676" t="s">
        <v>1774</v>
      </c>
      <c r="G2676" s="3">
        <v>4982.2343634498839</v>
      </c>
      <c r="H2676" t="s">
        <v>1755</v>
      </c>
      <c r="I2676" t="s">
        <v>5696</v>
      </c>
      <c r="M2676" t="s">
        <v>1757</v>
      </c>
    </row>
    <row r="2677" spans="1:13" x14ac:dyDescent="0.45">
      <c r="A2677" t="s">
        <v>5697</v>
      </c>
      <c r="B2677">
        <v>1</v>
      </c>
      <c r="C2677" t="s">
        <v>1774</v>
      </c>
      <c r="G2677" s="3">
        <v>3400.0171595081911</v>
      </c>
      <c r="H2677" t="s">
        <v>1755</v>
      </c>
      <c r="I2677" t="s">
        <v>5697</v>
      </c>
      <c r="M2677" t="s">
        <v>1757</v>
      </c>
    </row>
    <row r="2678" spans="1:13" x14ac:dyDescent="0.45">
      <c r="A2678" t="s">
        <v>5698</v>
      </c>
      <c r="B2678">
        <v>1</v>
      </c>
      <c r="C2678" t="s">
        <v>1774</v>
      </c>
      <c r="G2678" s="3">
        <v>2827.208282706938</v>
      </c>
      <c r="H2678" t="s">
        <v>1755</v>
      </c>
      <c r="I2678" t="s">
        <v>5698</v>
      </c>
      <c r="M2678" t="s">
        <v>1757</v>
      </c>
    </row>
    <row r="2679" spans="1:13" x14ac:dyDescent="0.45">
      <c r="A2679" t="s">
        <v>5699</v>
      </c>
      <c r="B2679">
        <v>1</v>
      </c>
      <c r="C2679" t="s">
        <v>1774</v>
      </c>
      <c r="G2679" s="3">
        <v>1607.4519228856379</v>
      </c>
      <c r="H2679" t="s">
        <v>1755</v>
      </c>
      <c r="I2679" t="s">
        <v>5699</v>
      </c>
      <c r="M2679" t="s">
        <v>1757</v>
      </c>
    </row>
    <row r="2680" spans="1:13" x14ac:dyDescent="0.45">
      <c r="A2680" t="s">
        <v>5700</v>
      </c>
      <c r="B2680">
        <v>1</v>
      </c>
      <c r="C2680" t="s">
        <v>1774</v>
      </c>
      <c r="H2680" t="s">
        <v>1755</v>
      </c>
      <c r="I2680" t="s">
        <v>5700</v>
      </c>
      <c r="M2680" t="s">
        <v>1757</v>
      </c>
    </row>
    <row r="2681" spans="1:13" x14ac:dyDescent="0.45">
      <c r="A2681" t="s">
        <v>5701</v>
      </c>
      <c r="B2681">
        <v>1</v>
      </c>
      <c r="C2681" t="s">
        <v>1774</v>
      </c>
      <c r="G2681" s="3">
        <v>1701.8546248519719</v>
      </c>
      <c r="H2681" t="s">
        <v>1755</v>
      </c>
      <c r="I2681" t="s">
        <v>5701</v>
      </c>
      <c r="M2681" t="s">
        <v>1757</v>
      </c>
    </row>
    <row r="2682" spans="1:13" x14ac:dyDescent="0.45">
      <c r="A2682" t="s">
        <v>5702</v>
      </c>
      <c r="B2682">
        <v>1</v>
      </c>
      <c r="C2682" t="s">
        <v>1774</v>
      </c>
      <c r="G2682" s="3">
        <v>1580.5570679791149</v>
      </c>
      <c r="H2682" t="s">
        <v>1755</v>
      </c>
      <c r="I2682" t="s">
        <v>5702</v>
      </c>
      <c r="M2682" t="s">
        <v>1757</v>
      </c>
    </row>
    <row r="2683" spans="1:13" x14ac:dyDescent="0.45">
      <c r="A2683" t="s">
        <v>5703</v>
      </c>
      <c r="B2683">
        <v>1</v>
      </c>
      <c r="C2683" t="s">
        <v>1774</v>
      </c>
      <c r="G2683" s="3">
        <v>812.462060019962</v>
      </c>
      <c r="H2683" t="s">
        <v>1755</v>
      </c>
      <c r="I2683" t="s">
        <v>5703</v>
      </c>
      <c r="M2683" t="s">
        <v>1757</v>
      </c>
    </row>
    <row r="2684" spans="1:13" x14ac:dyDescent="0.45">
      <c r="A2684" t="s">
        <v>5704</v>
      </c>
      <c r="B2684">
        <v>1</v>
      </c>
      <c r="C2684" t="s">
        <v>1774</v>
      </c>
      <c r="G2684" s="3">
        <v>2449.20608718834</v>
      </c>
      <c r="H2684" t="s">
        <v>1755</v>
      </c>
      <c r="I2684" t="s">
        <v>5704</v>
      </c>
      <c r="M2684" t="s">
        <v>1757</v>
      </c>
    </row>
    <row r="2685" spans="1:13" x14ac:dyDescent="0.45">
      <c r="A2685" t="s">
        <v>5705</v>
      </c>
      <c r="B2685">
        <v>1</v>
      </c>
      <c r="C2685" t="s">
        <v>1774</v>
      </c>
      <c r="G2685" s="3">
        <v>3928.68403214926</v>
      </c>
      <c r="H2685" t="s">
        <v>1755</v>
      </c>
      <c r="I2685" t="s">
        <v>5705</v>
      </c>
      <c r="M2685" t="s">
        <v>1757</v>
      </c>
    </row>
    <row r="2686" spans="1:13" x14ac:dyDescent="0.45">
      <c r="A2686" t="s">
        <v>5706</v>
      </c>
      <c r="B2686">
        <v>4</v>
      </c>
      <c r="C2686" t="s">
        <v>1774</v>
      </c>
      <c r="G2686" s="3">
        <v>1078.1914456371239</v>
      </c>
      <c r="H2686" t="s">
        <v>1755</v>
      </c>
      <c r="I2686" t="s">
        <v>5706</v>
      </c>
      <c r="M2686" t="s">
        <v>1757</v>
      </c>
    </row>
    <row r="2687" spans="1:13" x14ac:dyDescent="0.45">
      <c r="A2687" t="s">
        <v>5707</v>
      </c>
      <c r="B2687">
        <v>2</v>
      </c>
      <c r="C2687" t="s">
        <v>1774</v>
      </c>
      <c r="G2687" s="3">
        <v>937.17447416751315</v>
      </c>
      <c r="H2687" t="s">
        <v>1755</v>
      </c>
      <c r="I2687" t="s">
        <v>5707</v>
      </c>
      <c r="M2687" t="s">
        <v>1757</v>
      </c>
    </row>
    <row r="2688" spans="1:13" x14ac:dyDescent="0.45">
      <c r="A2688" t="s">
        <v>5708</v>
      </c>
      <c r="B2688">
        <v>1</v>
      </c>
      <c r="C2688" t="s">
        <v>1774</v>
      </c>
      <c r="G2688" s="3">
        <v>4287.3582007243631</v>
      </c>
      <c r="H2688" t="s">
        <v>1755</v>
      </c>
      <c r="I2688" t="s">
        <v>5708</v>
      </c>
      <c r="M2688" t="s">
        <v>1757</v>
      </c>
    </row>
    <row r="2689" spans="1:13" x14ac:dyDescent="0.45">
      <c r="A2689" t="s">
        <v>5709</v>
      </c>
      <c r="B2689">
        <v>1</v>
      </c>
      <c r="C2689" t="s">
        <v>1774</v>
      </c>
      <c r="G2689" s="3">
        <v>1933.164727928686</v>
      </c>
      <c r="H2689" t="s">
        <v>1755</v>
      </c>
      <c r="I2689" t="s">
        <v>5709</v>
      </c>
      <c r="M2689" t="s">
        <v>1757</v>
      </c>
    </row>
    <row r="2690" spans="1:13" x14ac:dyDescent="0.45">
      <c r="A2690" t="s">
        <v>5710</v>
      </c>
      <c r="B2690">
        <v>1</v>
      </c>
      <c r="C2690" t="s">
        <v>1774</v>
      </c>
      <c r="G2690" s="3">
        <v>2822.922587903739</v>
      </c>
      <c r="H2690" t="s">
        <v>1755</v>
      </c>
      <c r="I2690" t="s">
        <v>5710</v>
      </c>
      <c r="M2690" t="s">
        <v>1757</v>
      </c>
    </row>
    <row r="2691" spans="1:13" x14ac:dyDescent="0.45">
      <c r="A2691" t="s">
        <v>5711</v>
      </c>
      <c r="B2691">
        <v>1</v>
      </c>
      <c r="C2691" t="s">
        <v>1774</v>
      </c>
      <c r="G2691" s="3">
        <v>3510.3232464519929</v>
      </c>
      <c r="H2691" t="s">
        <v>1755</v>
      </c>
      <c r="I2691" t="s">
        <v>5711</v>
      </c>
      <c r="M2691" t="s">
        <v>1757</v>
      </c>
    </row>
    <row r="2692" spans="1:13" x14ac:dyDescent="0.45">
      <c r="A2692" t="s">
        <v>5712</v>
      </c>
      <c r="B2692">
        <v>3</v>
      </c>
      <c r="C2692" t="s">
        <v>1774</v>
      </c>
      <c r="G2692" s="3">
        <v>1615.6417095301049</v>
      </c>
      <c r="H2692" t="s">
        <v>1755</v>
      </c>
      <c r="I2692" t="s">
        <v>5712</v>
      </c>
      <c r="M2692" t="s">
        <v>1757</v>
      </c>
    </row>
    <row r="2693" spans="1:13" x14ac:dyDescent="0.45">
      <c r="A2693" t="s">
        <v>5713</v>
      </c>
      <c r="B2693">
        <v>1</v>
      </c>
      <c r="C2693" t="s">
        <v>1774</v>
      </c>
      <c r="G2693" s="3">
        <v>5575.3171206900106</v>
      </c>
      <c r="H2693" t="s">
        <v>1755</v>
      </c>
      <c r="I2693" t="s">
        <v>5713</v>
      </c>
      <c r="M2693" t="s">
        <v>1757</v>
      </c>
    </row>
    <row r="2694" spans="1:13" x14ac:dyDescent="0.45">
      <c r="A2694" t="s">
        <v>5714</v>
      </c>
      <c r="B2694">
        <v>1</v>
      </c>
      <c r="C2694" t="s">
        <v>1774</v>
      </c>
      <c r="G2694" s="3">
        <v>2150.6588468453201</v>
      </c>
      <c r="H2694" t="s">
        <v>1755</v>
      </c>
      <c r="I2694" t="s">
        <v>5714</v>
      </c>
      <c r="M2694" t="s">
        <v>1757</v>
      </c>
    </row>
    <row r="2695" spans="1:13" x14ac:dyDescent="0.45">
      <c r="A2695" t="s">
        <v>5715</v>
      </c>
      <c r="B2695">
        <v>1</v>
      </c>
      <c r="C2695" t="s">
        <v>1774</v>
      </c>
      <c r="G2695" s="3">
        <v>1822.741224688906</v>
      </c>
      <c r="H2695" t="s">
        <v>1755</v>
      </c>
      <c r="I2695" t="s">
        <v>5715</v>
      </c>
      <c r="M2695" t="s">
        <v>1757</v>
      </c>
    </row>
    <row r="2696" spans="1:13" x14ac:dyDescent="0.45">
      <c r="A2696" t="s">
        <v>5716</v>
      </c>
      <c r="B2696">
        <v>1</v>
      </c>
      <c r="C2696" t="s">
        <v>1774</v>
      </c>
      <c r="G2696" s="3">
        <v>1384.2989908156189</v>
      </c>
      <c r="H2696" t="s">
        <v>1755</v>
      </c>
      <c r="I2696" t="s">
        <v>5716</v>
      </c>
      <c r="M2696" t="s">
        <v>1757</v>
      </c>
    </row>
    <row r="2697" spans="1:13" x14ac:dyDescent="0.45">
      <c r="A2697" t="s">
        <v>5717</v>
      </c>
      <c r="B2697">
        <v>1</v>
      </c>
      <c r="C2697" t="s">
        <v>1774</v>
      </c>
      <c r="H2697" t="s">
        <v>1755</v>
      </c>
      <c r="I2697" t="s">
        <v>5717</v>
      </c>
      <c r="M2697" t="s">
        <v>1757</v>
      </c>
    </row>
    <row r="2698" spans="1:13" x14ac:dyDescent="0.45">
      <c r="A2698" t="s">
        <v>5718</v>
      </c>
      <c r="B2698">
        <v>1</v>
      </c>
      <c r="C2698" t="s">
        <v>1774</v>
      </c>
      <c r="H2698" t="s">
        <v>1755</v>
      </c>
      <c r="I2698" t="s">
        <v>5718</v>
      </c>
      <c r="M2698" t="s">
        <v>1757</v>
      </c>
    </row>
    <row r="2699" spans="1:13" x14ac:dyDescent="0.45">
      <c r="A2699" t="s">
        <v>5719</v>
      </c>
      <c r="B2699">
        <v>1</v>
      </c>
      <c r="C2699" t="s">
        <v>1774</v>
      </c>
      <c r="G2699" s="3">
        <v>2974.823397697759</v>
      </c>
      <c r="H2699" t="s">
        <v>1755</v>
      </c>
      <c r="I2699" t="s">
        <v>5719</v>
      </c>
      <c r="M2699" t="s">
        <v>1757</v>
      </c>
    </row>
    <row r="2700" spans="1:13" x14ac:dyDescent="0.45">
      <c r="A2700" t="s">
        <v>5720</v>
      </c>
      <c r="B2700">
        <v>4</v>
      </c>
      <c r="C2700" t="s">
        <v>1774</v>
      </c>
      <c r="G2700" s="3">
        <v>1942.858095474428</v>
      </c>
      <c r="H2700" t="s">
        <v>1755</v>
      </c>
      <c r="I2700" t="s">
        <v>5720</v>
      </c>
      <c r="M2700" t="s">
        <v>1757</v>
      </c>
    </row>
    <row r="2701" spans="1:13" x14ac:dyDescent="0.45">
      <c r="A2701" t="s">
        <v>5721</v>
      </c>
      <c r="B2701">
        <v>1</v>
      </c>
      <c r="C2701" t="s">
        <v>1774</v>
      </c>
      <c r="G2701" s="3">
        <v>1674.5716438559671</v>
      </c>
      <c r="H2701" t="s">
        <v>1755</v>
      </c>
      <c r="I2701" t="s">
        <v>5721</v>
      </c>
      <c r="M2701" t="s">
        <v>1757</v>
      </c>
    </row>
    <row r="2702" spans="1:13" x14ac:dyDescent="0.45">
      <c r="A2702" t="s">
        <v>5722</v>
      </c>
      <c r="B2702">
        <v>1</v>
      </c>
      <c r="C2702" t="s">
        <v>1774</v>
      </c>
      <c r="G2702" s="3">
        <v>4083.901852304658</v>
      </c>
      <c r="H2702" t="s">
        <v>1755</v>
      </c>
      <c r="I2702" t="s">
        <v>5722</v>
      </c>
      <c r="M2702" t="s">
        <v>1757</v>
      </c>
    </row>
    <row r="2703" spans="1:13" x14ac:dyDescent="0.45">
      <c r="A2703" t="s">
        <v>5723</v>
      </c>
      <c r="B2703">
        <v>2</v>
      </c>
      <c r="C2703" t="s">
        <v>1774</v>
      </c>
      <c r="G2703" s="3">
        <v>1699.4508523482</v>
      </c>
      <c r="H2703" t="s">
        <v>1755</v>
      </c>
      <c r="I2703" t="s">
        <v>5723</v>
      </c>
      <c r="M2703" t="s">
        <v>1757</v>
      </c>
    </row>
    <row r="2704" spans="1:13" x14ac:dyDescent="0.45">
      <c r="A2704" t="s">
        <v>5724</v>
      </c>
      <c r="B2704">
        <v>2</v>
      </c>
      <c r="C2704" t="s">
        <v>1774</v>
      </c>
      <c r="G2704" s="3">
        <v>1280.943296280961</v>
      </c>
      <c r="H2704" t="s">
        <v>1755</v>
      </c>
      <c r="I2704" t="s">
        <v>5724</v>
      </c>
      <c r="M2704" t="s">
        <v>1757</v>
      </c>
    </row>
    <row r="2705" spans="1:13" x14ac:dyDescent="0.45">
      <c r="A2705" t="s">
        <v>5725</v>
      </c>
      <c r="B2705">
        <v>2</v>
      </c>
      <c r="C2705" t="s">
        <v>1774</v>
      </c>
      <c r="G2705" s="3">
        <v>2791.3115117754328</v>
      </c>
      <c r="H2705" t="s">
        <v>1755</v>
      </c>
      <c r="I2705" t="s">
        <v>5725</v>
      </c>
      <c r="M2705" t="s">
        <v>1757</v>
      </c>
    </row>
    <row r="2706" spans="1:13" x14ac:dyDescent="0.45">
      <c r="A2706" t="s">
        <v>5726</v>
      </c>
      <c r="B2706">
        <v>1</v>
      </c>
      <c r="C2706" t="s">
        <v>1774</v>
      </c>
      <c r="G2706" s="3">
        <v>1738.26672286027</v>
      </c>
      <c r="H2706" t="s">
        <v>1755</v>
      </c>
      <c r="I2706" t="s">
        <v>5726</v>
      </c>
      <c r="M2706" t="s">
        <v>1757</v>
      </c>
    </row>
    <row r="2707" spans="1:13" x14ac:dyDescent="0.45">
      <c r="A2707" t="s">
        <v>5727</v>
      </c>
      <c r="B2707">
        <v>1</v>
      </c>
      <c r="C2707" t="s">
        <v>1774</v>
      </c>
      <c r="G2707" s="3">
        <v>3365.6402772968459</v>
      </c>
      <c r="H2707" t="s">
        <v>1755</v>
      </c>
      <c r="I2707" t="s">
        <v>5727</v>
      </c>
      <c r="M2707" t="s">
        <v>1757</v>
      </c>
    </row>
    <row r="2708" spans="1:13" x14ac:dyDescent="0.45">
      <c r="A2708" t="s">
        <v>5728</v>
      </c>
      <c r="B2708">
        <v>1</v>
      </c>
      <c r="C2708" t="s">
        <v>1774</v>
      </c>
      <c r="G2708" s="3">
        <v>789.26908000052435</v>
      </c>
      <c r="H2708" t="s">
        <v>1755</v>
      </c>
      <c r="I2708" t="s">
        <v>5728</v>
      </c>
      <c r="M2708" t="s">
        <v>1757</v>
      </c>
    </row>
    <row r="2709" spans="1:13" x14ac:dyDescent="0.45">
      <c r="A2709" t="s">
        <v>5729</v>
      </c>
      <c r="B2709">
        <v>1</v>
      </c>
      <c r="C2709" t="s">
        <v>1774</v>
      </c>
      <c r="G2709" s="3">
        <v>1941.710025024865</v>
      </c>
      <c r="H2709" t="s">
        <v>1755</v>
      </c>
      <c r="I2709" t="s">
        <v>5729</v>
      </c>
      <c r="M2709" t="s">
        <v>1757</v>
      </c>
    </row>
    <row r="2710" spans="1:13" x14ac:dyDescent="0.45">
      <c r="A2710" t="s">
        <v>5730</v>
      </c>
      <c r="B2710">
        <v>2</v>
      </c>
      <c r="C2710" t="s">
        <v>1774</v>
      </c>
      <c r="G2710" s="3">
        <v>1436.917799232662</v>
      </c>
      <c r="H2710" t="s">
        <v>1755</v>
      </c>
      <c r="I2710" t="s">
        <v>5730</v>
      </c>
      <c r="M2710" t="s">
        <v>1757</v>
      </c>
    </row>
    <row r="2711" spans="1:13" x14ac:dyDescent="0.45">
      <c r="A2711" t="s">
        <v>5731</v>
      </c>
      <c r="B2711">
        <v>1</v>
      </c>
      <c r="C2711" t="s">
        <v>1774</v>
      </c>
      <c r="G2711" s="3">
        <v>4899.9777249897224</v>
      </c>
      <c r="H2711" t="s">
        <v>1755</v>
      </c>
      <c r="I2711" t="s">
        <v>5731</v>
      </c>
      <c r="M2711" t="s">
        <v>1757</v>
      </c>
    </row>
    <row r="2712" spans="1:13" x14ac:dyDescent="0.45">
      <c r="A2712" t="s">
        <v>5732</v>
      </c>
      <c r="B2712">
        <v>1</v>
      </c>
      <c r="C2712" t="s">
        <v>1774</v>
      </c>
      <c r="G2712" s="3">
        <v>1112.0790932818941</v>
      </c>
      <c r="H2712" t="s">
        <v>1755</v>
      </c>
      <c r="I2712" t="s">
        <v>5732</v>
      </c>
      <c r="M2712" t="s">
        <v>1757</v>
      </c>
    </row>
    <row r="2713" spans="1:13" x14ac:dyDescent="0.45">
      <c r="A2713" t="s">
        <v>5733</v>
      </c>
      <c r="B2713">
        <v>1</v>
      </c>
      <c r="C2713" t="s">
        <v>1774</v>
      </c>
      <c r="G2713" s="3">
        <v>2287.187906557549</v>
      </c>
      <c r="H2713" t="s">
        <v>1755</v>
      </c>
      <c r="I2713" t="s">
        <v>5733</v>
      </c>
      <c r="M2713" t="s">
        <v>1757</v>
      </c>
    </row>
    <row r="2714" spans="1:13" x14ac:dyDescent="0.45">
      <c r="A2714" t="s">
        <v>5734</v>
      </c>
      <c r="B2714">
        <v>6</v>
      </c>
      <c r="C2714" t="s">
        <v>1774</v>
      </c>
      <c r="G2714" s="3">
        <v>921.59724556776143</v>
      </c>
      <c r="H2714" t="s">
        <v>1755</v>
      </c>
      <c r="I2714" t="s">
        <v>5734</v>
      </c>
      <c r="M2714" t="s">
        <v>1757</v>
      </c>
    </row>
    <row r="2715" spans="1:13" x14ac:dyDescent="0.45">
      <c r="A2715" t="s">
        <v>5735</v>
      </c>
      <c r="B2715">
        <v>2</v>
      </c>
      <c r="C2715" t="s">
        <v>1774</v>
      </c>
      <c r="G2715" s="3">
        <v>2171.91445798112</v>
      </c>
      <c r="H2715" t="s">
        <v>1755</v>
      </c>
      <c r="I2715" t="s">
        <v>5735</v>
      </c>
      <c r="M2715" t="s">
        <v>1757</v>
      </c>
    </row>
    <row r="2716" spans="1:13" x14ac:dyDescent="0.45">
      <c r="A2716" t="s">
        <v>5736</v>
      </c>
      <c r="B2716">
        <v>2</v>
      </c>
      <c r="C2716" t="s">
        <v>1774</v>
      </c>
      <c r="G2716" s="3">
        <v>1045.6182081945531</v>
      </c>
      <c r="H2716" t="s">
        <v>1755</v>
      </c>
      <c r="I2716" t="s">
        <v>5736</v>
      </c>
      <c r="M2716" t="s">
        <v>1757</v>
      </c>
    </row>
    <row r="2717" spans="1:13" x14ac:dyDescent="0.45">
      <c r="A2717" t="s">
        <v>5737</v>
      </c>
      <c r="B2717">
        <v>2</v>
      </c>
      <c r="C2717" t="s">
        <v>1774</v>
      </c>
      <c r="G2717" s="3">
        <v>2532.7673511593698</v>
      </c>
      <c r="H2717" t="s">
        <v>1755</v>
      </c>
      <c r="I2717" t="s">
        <v>5737</v>
      </c>
      <c r="M2717" t="s">
        <v>1757</v>
      </c>
    </row>
    <row r="2718" spans="1:13" x14ac:dyDescent="0.45">
      <c r="A2718" t="s">
        <v>5738</v>
      </c>
      <c r="B2718">
        <v>2</v>
      </c>
      <c r="C2718" t="s">
        <v>1774</v>
      </c>
      <c r="G2718" s="3">
        <v>2075.805958159327</v>
      </c>
      <c r="H2718" t="s">
        <v>1755</v>
      </c>
      <c r="I2718" t="s">
        <v>5738</v>
      </c>
      <c r="M2718" t="s">
        <v>1757</v>
      </c>
    </row>
    <row r="2719" spans="1:13" x14ac:dyDescent="0.45">
      <c r="A2719" t="s">
        <v>5739</v>
      </c>
      <c r="B2719">
        <v>2</v>
      </c>
      <c r="C2719" t="s">
        <v>1774</v>
      </c>
      <c r="G2719" s="3">
        <v>929.90771007198407</v>
      </c>
      <c r="H2719" t="s">
        <v>1755</v>
      </c>
      <c r="I2719" t="s">
        <v>5739</v>
      </c>
      <c r="M2719" t="s">
        <v>1757</v>
      </c>
    </row>
    <row r="2720" spans="1:13" x14ac:dyDescent="0.45">
      <c r="A2720" t="s">
        <v>5740</v>
      </c>
      <c r="B2720">
        <v>3</v>
      </c>
      <c r="C2720" t="s">
        <v>1774</v>
      </c>
      <c r="G2720" s="3">
        <v>2293.8643276094099</v>
      </c>
      <c r="H2720" t="s">
        <v>1755</v>
      </c>
      <c r="I2720" t="s">
        <v>5740</v>
      </c>
      <c r="M2720" t="s">
        <v>1757</v>
      </c>
    </row>
    <row r="2721" spans="1:13" x14ac:dyDescent="0.45">
      <c r="A2721" t="s">
        <v>5741</v>
      </c>
      <c r="B2721">
        <v>2</v>
      </c>
      <c r="C2721" t="s">
        <v>1774</v>
      </c>
      <c r="G2721" s="3">
        <v>2239.790861747751</v>
      </c>
      <c r="H2721" t="s">
        <v>1755</v>
      </c>
      <c r="I2721" t="s">
        <v>5741</v>
      </c>
      <c r="M2721" t="s">
        <v>1757</v>
      </c>
    </row>
    <row r="2722" spans="1:13" x14ac:dyDescent="0.45">
      <c r="A2722" t="s">
        <v>5742</v>
      </c>
      <c r="B2722">
        <v>2</v>
      </c>
      <c r="C2722" t="s">
        <v>1774</v>
      </c>
      <c r="G2722" s="3">
        <v>520.9369664891824</v>
      </c>
      <c r="H2722" t="s">
        <v>1755</v>
      </c>
      <c r="I2722" t="s">
        <v>5742</v>
      </c>
      <c r="M2722" t="s">
        <v>1757</v>
      </c>
    </row>
    <row r="2723" spans="1:13" x14ac:dyDescent="0.45">
      <c r="A2723" t="s">
        <v>5743</v>
      </c>
      <c r="B2723">
        <v>3</v>
      </c>
      <c r="C2723" t="s">
        <v>1774</v>
      </c>
      <c r="G2723" s="3">
        <v>1938.8268026458491</v>
      </c>
      <c r="H2723" t="s">
        <v>1755</v>
      </c>
      <c r="I2723" t="s">
        <v>5743</v>
      </c>
      <c r="M2723" t="s">
        <v>1757</v>
      </c>
    </row>
    <row r="2724" spans="1:13" x14ac:dyDescent="0.45">
      <c r="A2724" t="s">
        <v>5744</v>
      </c>
      <c r="B2724">
        <v>3</v>
      </c>
      <c r="C2724" t="s">
        <v>1774</v>
      </c>
      <c r="G2724" s="3">
        <v>2855.5610566218538</v>
      </c>
      <c r="H2724" t="s">
        <v>1755</v>
      </c>
      <c r="I2724" t="s">
        <v>5744</v>
      </c>
      <c r="M2724" t="s">
        <v>1757</v>
      </c>
    </row>
    <row r="2725" spans="1:13" x14ac:dyDescent="0.45">
      <c r="A2725" t="s">
        <v>5745</v>
      </c>
      <c r="B2725">
        <v>4</v>
      </c>
      <c r="C2725" t="s">
        <v>1774</v>
      </c>
      <c r="G2725" s="3">
        <v>2528.781720223672</v>
      </c>
      <c r="H2725" t="s">
        <v>1755</v>
      </c>
      <c r="I2725" t="s">
        <v>5745</v>
      </c>
      <c r="M2725" t="s">
        <v>1757</v>
      </c>
    </row>
    <row r="2726" spans="1:13" x14ac:dyDescent="0.45">
      <c r="A2726" t="s">
        <v>5746</v>
      </c>
      <c r="B2726">
        <v>2</v>
      </c>
      <c r="C2726" t="s">
        <v>1774</v>
      </c>
      <c r="G2726" s="3">
        <v>1881.7461749816421</v>
      </c>
      <c r="H2726" t="s">
        <v>1755</v>
      </c>
      <c r="I2726" t="s">
        <v>5746</v>
      </c>
      <c r="M2726" t="s">
        <v>1757</v>
      </c>
    </row>
    <row r="2727" spans="1:13" x14ac:dyDescent="0.45">
      <c r="A2727" t="s">
        <v>5747</v>
      </c>
      <c r="B2727">
        <v>1</v>
      </c>
      <c r="C2727" t="s">
        <v>1774</v>
      </c>
      <c r="G2727" s="3">
        <v>353.95142422576419</v>
      </c>
      <c r="H2727" t="s">
        <v>1755</v>
      </c>
      <c r="I2727" t="s">
        <v>5747</v>
      </c>
      <c r="M2727" t="s">
        <v>1757</v>
      </c>
    </row>
    <row r="2728" spans="1:13" x14ac:dyDescent="0.45">
      <c r="A2728" t="s">
        <v>5748</v>
      </c>
      <c r="B2728">
        <v>2</v>
      </c>
      <c r="C2728" t="s">
        <v>1774</v>
      </c>
      <c r="G2728" s="3">
        <v>759.12896913572013</v>
      </c>
      <c r="H2728" t="s">
        <v>1755</v>
      </c>
      <c r="I2728" t="s">
        <v>5748</v>
      </c>
      <c r="M2728" t="s">
        <v>1757</v>
      </c>
    </row>
    <row r="2729" spans="1:13" x14ac:dyDescent="0.45">
      <c r="A2729" t="s">
        <v>5749</v>
      </c>
      <c r="B2729">
        <v>2</v>
      </c>
      <c r="C2729" t="s">
        <v>1774</v>
      </c>
      <c r="G2729" s="3">
        <v>1008.9745391580771</v>
      </c>
      <c r="H2729" t="s">
        <v>1755</v>
      </c>
      <c r="I2729" t="s">
        <v>5749</v>
      </c>
      <c r="M2729" t="s">
        <v>1757</v>
      </c>
    </row>
    <row r="2730" spans="1:13" x14ac:dyDescent="0.45">
      <c r="A2730" t="s">
        <v>5750</v>
      </c>
      <c r="B2730">
        <v>2</v>
      </c>
      <c r="C2730" t="s">
        <v>1774</v>
      </c>
      <c r="G2730" s="3">
        <v>2241.3270582867972</v>
      </c>
      <c r="H2730" t="s">
        <v>1755</v>
      </c>
      <c r="I2730" t="s">
        <v>5750</v>
      </c>
      <c r="M2730" t="s">
        <v>1757</v>
      </c>
    </row>
    <row r="2731" spans="1:13" x14ac:dyDescent="0.45">
      <c r="A2731" t="s">
        <v>5751</v>
      </c>
      <c r="B2731">
        <v>2</v>
      </c>
      <c r="C2731" t="s">
        <v>1774</v>
      </c>
      <c r="G2731" s="3">
        <v>2070.8940431109131</v>
      </c>
      <c r="H2731" t="s">
        <v>1755</v>
      </c>
      <c r="I2731" t="s">
        <v>5751</v>
      </c>
      <c r="M2731" t="s">
        <v>1757</v>
      </c>
    </row>
    <row r="2732" spans="1:13" x14ac:dyDescent="0.45">
      <c r="A2732" t="s">
        <v>5752</v>
      </c>
      <c r="B2732">
        <v>2</v>
      </c>
      <c r="C2732" t="s">
        <v>1774</v>
      </c>
      <c r="G2732" s="3">
        <v>3941.404130880213</v>
      </c>
      <c r="H2732" t="s">
        <v>1755</v>
      </c>
      <c r="I2732" t="s">
        <v>5752</v>
      </c>
      <c r="M2732" t="s">
        <v>1757</v>
      </c>
    </row>
    <row r="2733" spans="1:13" x14ac:dyDescent="0.45">
      <c r="A2733" t="s">
        <v>5753</v>
      </c>
      <c r="B2733">
        <v>4</v>
      </c>
      <c r="C2733" t="s">
        <v>1774</v>
      </c>
      <c r="G2733" s="3">
        <v>1585.110211012041</v>
      </c>
      <c r="H2733" t="s">
        <v>1755</v>
      </c>
      <c r="I2733" t="s">
        <v>5753</v>
      </c>
      <c r="M2733" t="s">
        <v>1757</v>
      </c>
    </row>
    <row r="2734" spans="1:13" x14ac:dyDescent="0.45">
      <c r="A2734" t="s">
        <v>5754</v>
      </c>
      <c r="B2734">
        <v>2</v>
      </c>
      <c r="C2734" t="s">
        <v>1774</v>
      </c>
      <c r="G2734" s="3">
        <v>3873.0091384730122</v>
      </c>
      <c r="H2734" t="s">
        <v>1755</v>
      </c>
      <c r="I2734" t="s">
        <v>5754</v>
      </c>
      <c r="M2734" t="s">
        <v>1757</v>
      </c>
    </row>
    <row r="2735" spans="1:13" x14ac:dyDescent="0.45">
      <c r="A2735" t="s">
        <v>5755</v>
      </c>
      <c r="B2735">
        <v>3</v>
      </c>
      <c r="C2735" t="s">
        <v>1774</v>
      </c>
      <c r="G2735" s="3">
        <v>3602.8538108102339</v>
      </c>
      <c r="H2735" t="s">
        <v>1755</v>
      </c>
      <c r="I2735" t="s">
        <v>5755</v>
      </c>
      <c r="M2735" t="s">
        <v>1757</v>
      </c>
    </row>
    <row r="2736" spans="1:13" x14ac:dyDescent="0.45">
      <c r="A2736" t="s">
        <v>5756</v>
      </c>
      <c r="B2736">
        <v>3</v>
      </c>
      <c r="C2736" t="s">
        <v>1774</v>
      </c>
      <c r="G2736" s="3">
        <v>2140.8252320571601</v>
      </c>
      <c r="H2736" t="s">
        <v>1755</v>
      </c>
      <c r="I2736" t="s">
        <v>5756</v>
      </c>
      <c r="M2736" t="s">
        <v>1757</v>
      </c>
    </row>
    <row r="2737" spans="1:13" x14ac:dyDescent="0.45">
      <c r="A2737" t="s">
        <v>5757</v>
      </c>
      <c r="B2737">
        <v>3</v>
      </c>
      <c r="C2737" t="s">
        <v>1774</v>
      </c>
      <c r="G2737" s="3">
        <v>2567.0790020951722</v>
      </c>
      <c r="H2737" t="s">
        <v>1755</v>
      </c>
      <c r="I2737" t="s">
        <v>5757</v>
      </c>
      <c r="M2737" t="s">
        <v>1757</v>
      </c>
    </row>
    <row r="2738" spans="1:13" x14ac:dyDescent="0.45">
      <c r="A2738" t="s">
        <v>5758</v>
      </c>
      <c r="B2738">
        <v>1</v>
      </c>
      <c r="C2738" t="s">
        <v>1774</v>
      </c>
      <c r="G2738" s="3">
        <v>634.83729671542358</v>
      </c>
      <c r="H2738" t="s">
        <v>1755</v>
      </c>
      <c r="I2738" t="s">
        <v>5758</v>
      </c>
      <c r="M2738" t="s">
        <v>1757</v>
      </c>
    </row>
    <row r="2739" spans="1:13" x14ac:dyDescent="0.45">
      <c r="A2739" t="s">
        <v>5759</v>
      </c>
      <c r="B2739">
        <v>4</v>
      </c>
      <c r="C2739" t="s">
        <v>1774</v>
      </c>
      <c r="G2739" s="3">
        <v>558.08291634734235</v>
      </c>
      <c r="H2739" t="s">
        <v>1755</v>
      </c>
      <c r="I2739" t="s">
        <v>5759</v>
      </c>
      <c r="M2739" t="s">
        <v>1757</v>
      </c>
    </row>
    <row r="2740" spans="1:13" x14ac:dyDescent="0.45">
      <c r="A2740" t="s">
        <v>5760</v>
      </c>
      <c r="B2740">
        <v>4</v>
      </c>
      <c r="C2740" t="s">
        <v>1774</v>
      </c>
      <c r="G2740" s="3">
        <v>1256.455475441988</v>
      </c>
      <c r="H2740" t="s">
        <v>1755</v>
      </c>
      <c r="I2740" t="s">
        <v>5760</v>
      </c>
      <c r="M2740" t="s">
        <v>1757</v>
      </c>
    </row>
    <row r="2741" spans="1:13" x14ac:dyDescent="0.45">
      <c r="A2741" t="s">
        <v>5761</v>
      </c>
      <c r="B2741">
        <v>3</v>
      </c>
      <c r="C2741" t="s">
        <v>1774</v>
      </c>
      <c r="G2741" s="3">
        <v>2475.0507185586162</v>
      </c>
      <c r="H2741" t="s">
        <v>1755</v>
      </c>
      <c r="I2741" t="s">
        <v>5761</v>
      </c>
      <c r="M2741" t="s">
        <v>1757</v>
      </c>
    </row>
    <row r="2742" spans="1:13" x14ac:dyDescent="0.45">
      <c r="A2742" t="s">
        <v>5762</v>
      </c>
      <c r="B2742">
        <v>4</v>
      </c>
      <c r="C2742" t="s">
        <v>1774</v>
      </c>
      <c r="G2742" s="3">
        <v>6065.5627720360471</v>
      </c>
      <c r="H2742" t="s">
        <v>1755</v>
      </c>
      <c r="I2742" t="s">
        <v>5762</v>
      </c>
      <c r="M2742" t="s">
        <v>1757</v>
      </c>
    </row>
    <row r="2743" spans="1:13" x14ac:dyDescent="0.45">
      <c r="A2743" t="s">
        <v>5763</v>
      </c>
      <c r="B2743">
        <v>4</v>
      </c>
      <c r="C2743" t="s">
        <v>1774</v>
      </c>
      <c r="G2743" s="3">
        <v>2550.829891357324</v>
      </c>
      <c r="H2743" t="s">
        <v>1755</v>
      </c>
      <c r="I2743" t="s">
        <v>5763</v>
      </c>
      <c r="M2743" t="s">
        <v>1757</v>
      </c>
    </row>
    <row r="2744" spans="1:13" x14ac:dyDescent="0.45">
      <c r="A2744" t="s">
        <v>5764</v>
      </c>
      <c r="B2744">
        <v>2</v>
      </c>
      <c r="C2744" t="s">
        <v>1774</v>
      </c>
      <c r="G2744" s="3">
        <v>1830.0666969324241</v>
      </c>
      <c r="H2744" t="s">
        <v>1755</v>
      </c>
      <c r="I2744" t="s">
        <v>5764</v>
      </c>
      <c r="M2744" t="s">
        <v>1757</v>
      </c>
    </row>
    <row r="2745" spans="1:13" x14ac:dyDescent="0.45">
      <c r="A2745" t="s">
        <v>5765</v>
      </c>
      <c r="B2745">
        <v>3</v>
      </c>
      <c r="C2745" t="s">
        <v>1774</v>
      </c>
      <c r="G2745" s="3">
        <v>3196.7825974253342</v>
      </c>
      <c r="H2745" t="s">
        <v>1755</v>
      </c>
      <c r="I2745" t="s">
        <v>5765</v>
      </c>
      <c r="M2745" t="s">
        <v>1757</v>
      </c>
    </row>
    <row r="2746" spans="1:13" x14ac:dyDescent="0.45">
      <c r="A2746" t="s">
        <v>5766</v>
      </c>
      <c r="B2746">
        <v>2</v>
      </c>
      <c r="C2746" t="s">
        <v>1774</v>
      </c>
      <c r="G2746" s="3">
        <v>3532.46926449896</v>
      </c>
      <c r="H2746" t="s">
        <v>1755</v>
      </c>
      <c r="I2746" t="s">
        <v>5766</v>
      </c>
      <c r="M2746" t="s">
        <v>1757</v>
      </c>
    </row>
    <row r="2747" spans="1:13" x14ac:dyDescent="0.45">
      <c r="A2747" t="s">
        <v>5767</v>
      </c>
      <c r="B2747">
        <v>3</v>
      </c>
      <c r="C2747" t="s">
        <v>1774</v>
      </c>
      <c r="G2747" s="3">
        <v>5364.0004035673319</v>
      </c>
      <c r="H2747" t="s">
        <v>1755</v>
      </c>
      <c r="I2747" t="s">
        <v>5767</v>
      </c>
      <c r="M2747" t="s">
        <v>1757</v>
      </c>
    </row>
    <row r="2748" spans="1:13" x14ac:dyDescent="0.45">
      <c r="A2748" t="s">
        <v>5768</v>
      </c>
      <c r="B2748">
        <v>3</v>
      </c>
      <c r="C2748" t="s">
        <v>1774</v>
      </c>
      <c r="G2748" s="3">
        <v>2694.9159943412492</v>
      </c>
      <c r="H2748" t="s">
        <v>1755</v>
      </c>
      <c r="I2748" t="s">
        <v>5768</v>
      </c>
      <c r="M2748" t="s">
        <v>1757</v>
      </c>
    </row>
    <row r="2749" spans="1:13" x14ac:dyDescent="0.45">
      <c r="A2749" t="s">
        <v>5769</v>
      </c>
      <c r="B2749">
        <v>3</v>
      </c>
      <c r="C2749" t="s">
        <v>1774</v>
      </c>
      <c r="G2749" s="3">
        <v>2725.8714961503451</v>
      </c>
      <c r="H2749" t="s">
        <v>1755</v>
      </c>
      <c r="I2749" t="s">
        <v>5769</v>
      </c>
      <c r="M2749" t="s">
        <v>1757</v>
      </c>
    </row>
    <row r="2750" spans="1:13" x14ac:dyDescent="0.45">
      <c r="A2750" t="s">
        <v>5770</v>
      </c>
      <c r="B2750">
        <v>2</v>
      </c>
      <c r="C2750" t="s">
        <v>1774</v>
      </c>
      <c r="G2750" s="3">
        <v>2416.0164141918849</v>
      </c>
      <c r="H2750" t="s">
        <v>1755</v>
      </c>
      <c r="I2750" t="s">
        <v>5770</v>
      </c>
      <c r="M2750" t="s">
        <v>1757</v>
      </c>
    </row>
    <row r="2751" spans="1:13" x14ac:dyDescent="0.45">
      <c r="A2751" t="s">
        <v>5771</v>
      </c>
      <c r="B2751">
        <v>2</v>
      </c>
      <c r="C2751" t="s">
        <v>1774</v>
      </c>
      <c r="G2751" s="3">
        <v>1032.6697999991979</v>
      </c>
      <c r="H2751" t="s">
        <v>1755</v>
      </c>
      <c r="I2751" t="s">
        <v>5771</v>
      </c>
      <c r="M2751" t="s">
        <v>1757</v>
      </c>
    </row>
    <row r="2752" spans="1:13" x14ac:dyDescent="0.45">
      <c r="A2752" t="s">
        <v>5772</v>
      </c>
      <c r="B2752">
        <v>2</v>
      </c>
      <c r="C2752" t="s">
        <v>1774</v>
      </c>
      <c r="G2752" s="3">
        <v>4400.2735386898994</v>
      </c>
      <c r="H2752" t="s">
        <v>1755</v>
      </c>
      <c r="I2752" t="s">
        <v>5772</v>
      </c>
      <c r="M2752" t="s">
        <v>1757</v>
      </c>
    </row>
    <row r="2753" spans="1:13" x14ac:dyDescent="0.45">
      <c r="A2753" t="s">
        <v>5773</v>
      </c>
      <c r="B2753">
        <v>2</v>
      </c>
      <c r="C2753" t="s">
        <v>1774</v>
      </c>
      <c r="G2753" s="3">
        <v>2793.2586653504022</v>
      </c>
      <c r="H2753" t="s">
        <v>1755</v>
      </c>
      <c r="I2753" t="s">
        <v>5773</v>
      </c>
      <c r="M2753" t="s">
        <v>1757</v>
      </c>
    </row>
    <row r="2754" spans="1:13" x14ac:dyDescent="0.45">
      <c r="A2754" t="s">
        <v>5774</v>
      </c>
      <c r="B2754">
        <v>2</v>
      </c>
      <c r="C2754" t="s">
        <v>1774</v>
      </c>
      <c r="G2754" s="3">
        <v>5652.6161822088779</v>
      </c>
      <c r="H2754" t="s">
        <v>1755</v>
      </c>
      <c r="I2754" t="s">
        <v>5774</v>
      </c>
      <c r="M2754" t="s">
        <v>1757</v>
      </c>
    </row>
    <row r="2755" spans="1:13" x14ac:dyDescent="0.45">
      <c r="A2755" t="s">
        <v>5775</v>
      </c>
      <c r="B2755">
        <v>4</v>
      </c>
      <c r="C2755" t="s">
        <v>1774</v>
      </c>
      <c r="G2755" s="3">
        <v>1396.0080047756501</v>
      </c>
      <c r="H2755" t="s">
        <v>1755</v>
      </c>
      <c r="I2755" t="s">
        <v>5775</v>
      </c>
      <c r="M2755" t="s">
        <v>1757</v>
      </c>
    </row>
    <row r="2756" spans="1:13" x14ac:dyDescent="0.45">
      <c r="A2756" t="s">
        <v>5776</v>
      </c>
      <c r="B2756">
        <v>2</v>
      </c>
      <c r="C2756" t="s">
        <v>1774</v>
      </c>
      <c r="G2756" s="3">
        <v>941.81894098619944</v>
      </c>
      <c r="H2756" t="s">
        <v>1755</v>
      </c>
      <c r="I2756" t="s">
        <v>5776</v>
      </c>
      <c r="M2756" t="s">
        <v>1757</v>
      </c>
    </row>
    <row r="2757" spans="1:13" x14ac:dyDescent="0.45">
      <c r="A2757" t="s">
        <v>5777</v>
      </c>
      <c r="B2757">
        <v>2</v>
      </c>
      <c r="C2757" t="s">
        <v>1774</v>
      </c>
      <c r="G2757" s="3">
        <v>2145.5284070238349</v>
      </c>
      <c r="H2757" t="s">
        <v>1755</v>
      </c>
      <c r="I2757" t="s">
        <v>5777</v>
      </c>
      <c r="M2757" t="s">
        <v>1757</v>
      </c>
    </row>
    <row r="2758" spans="1:13" x14ac:dyDescent="0.45">
      <c r="A2758" t="s">
        <v>5778</v>
      </c>
      <c r="B2758">
        <v>5</v>
      </c>
      <c r="C2758" t="s">
        <v>1774</v>
      </c>
      <c r="G2758" s="3">
        <v>5866.737844179921</v>
      </c>
      <c r="H2758" t="s">
        <v>1755</v>
      </c>
      <c r="I2758" t="s">
        <v>5778</v>
      </c>
      <c r="M2758" t="s">
        <v>1757</v>
      </c>
    </row>
    <row r="2759" spans="1:13" x14ac:dyDescent="0.45">
      <c r="A2759" t="s">
        <v>5779</v>
      </c>
      <c r="B2759">
        <v>2</v>
      </c>
      <c r="C2759" t="s">
        <v>1774</v>
      </c>
      <c r="G2759" s="3">
        <v>2113.848838056208</v>
      </c>
      <c r="H2759" t="s">
        <v>1755</v>
      </c>
      <c r="I2759" t="s">
        <v>5779</v>
      </c>
      <c r="M2759" t="s">
        <v>1757</v>
      </c>
    </row>
    <row r="2760" spans="1:13" x14ac:dyDescent="0.45">
      <c r="A2760" t="s">
        <v>5780</v>
      </c>
      <c r="B2760">
        <v>4</v>
      </c>
      <c r="C2760" t="s">
        <v>1774</v>
      </c>
      <c r="G2760" s="3">
        <v>3773.0095930650582</v>
      </c>
      <c r="H2760" t="s">
        <v>1755</v>
      </c>
      <c r="I2760" t="s">
        <v>5780</v>
      </c>
      <c r="M2760" t="s">
        <v>1757</v>
      </c>
    </row>
    <row r="2761" spans="1:13" x14ac:dyDescent="0.45">
      <c r="A2761" t="s">
        <v>5781</v>
      </c>
      <c r="B2761">
        <v>2</v>
      </c>
      <c r="C2761" t="s">
        <v>1774</v>
      </c>
      <c r="G2761" s="3">
        <v>2436.1500473883389</v>
      </c>
      <c r="H2761" t="s">
        <v>1755</v>
      </c>
      <c r="I2761" t="s">
        <v>5781</v>
      </c>
      <c r="M2761" t="s">
        <v>1757</v>
      </c>
    </row>
    <row r="2762" spans="1:13" x14ac:dyDescent="0.45">
      <c r="A2762" t="s">
        <v>5782</v>
      </c>
      <c r="B2762">
        <v>2</v>
      </c>
      <c r="C2762" t="s">
        <v>1774</v>
      </c>
      <c r="H2762" t="s">
        <v>1755</v>
      </c>
      <c r="I2762" t="s">
        <v>5782</v>
      </c>
      <c r="M2762" t="s">
        <v>1757</v>
      </c>
    </row>
    <row r="2763" spans="1:13" x14ac:dyDescent="0.45">
      <c r="A2763" t="s">
        <v>5783</v>
      </c>
      <c r="B2763">
        <v>2</v>
      </c>
      <c r="C2763" t="s">
        <v>1774</v>
      </c>
      <c r="G2763" s="3">
        <v>1957.7243031707569</v>
      </c>
      <c r="H2763" t="s">
        <v>1755</v>
      </c>
      <c r="I2763" t="s">
        <v>5783</v>
      </c>
      <c r="M2763" t="s">
        <v>1757</v>
      </c>
    </row>
    <row r="2764" spans="1:13" x14ac:dyDescent="0.45">
      <c r="A2764" t="s">
        <v>5784</v>
      </c>
      <c r="B2764">
        <v>2</v>
      </c>
      <c r="C2764" t="s">
        <v>1774</v>
      </c>
      <c r="G2764" s="3">
        <v>2263.068642425395</v>
      </c>
      <c r="H2764" t="s">
        <v>1755</v>
      </c>
      <c r="I2764" t="s">
        <v>5784</v>
      </c>
      <c r="M2764" t="s">
        <v>1757</v>
      </c>
    </row>
    <row r="2765" spans="1:13" x14ac:dyDescent="0.45">
      <c r="A2765" t="s">
        <v>5785</v>
      </c>
      <c r="B2765">
        <v>3</v>
      </c>
      <c r="C2765" t="s">
        <v>1774</v>
      </c>
      <c r="G2765" s="3">
        <v>3380.5782393962731</v>
      </c>
      <c r="H2765" t="s">
        <v>1755</v>
      </c>
      <c r="I2765" t="s">
        <v>5785</v>
      </c>
      <c r="M2765" t="s">
        <v>1757</v>
      </c>
    </row>
    <row r="2766" spans="1:13" x14ac:dyDescent="0.45">
      <c r="A2766" t="s">
        <v>5786</v>
      </c>
      <c r="B2766">
        <v>4</v>
      </c>
      <c r="C2766" t="s">
        <v>1774</v>
      </c>
      <c r="G2766" s="3">
        <v>2809.9252562517281</v>
      </c>
      <c r="H2766" t="s">
        <v>1755</v>
      </c>
      <c r="I2766" t="s">
        <v>5786</v>
      </c>
      <c r="M2766" t="s">
        <v>1757</v>
      </c>
    </row>
    <row r="2767" spans="1:13" x14ac:dyDescent="0.45">
      <c r="A2767" t="s">
        <v>5787</v>
      </c>
      <c r="B2767">
        <v>2</v>
      </c>
      <c r="C2767" t="s">
        <v>1774</v>
      </c>
      <c r="G2767" s="3">
        <v>2041.993326481432</v>
      </c>
      <c r="H2767" t="s">
        <v>1755</v>
      </c>
      <c r="I2767" t="s">
        <v>5787</v>
      </c>
      <c r="M2767" t="s">
        <v>1757</v>
      </c>
    </row>
    <row r="2768" spans="1:13" x14ac:dyDescent="0.45">
      <c r="A2768" t="s">
        <v>5788</v>
      </c>
      <c r="B2768">
        <v>4</v>
      </c>
      <c r="C2768" t="s">
        <v>1774</v>
      </c>
      <c r="G2768" s="3">
        <v>2164.7357561075742</v>
      </c>
      <c r="H2768" t="s">
        <v>1755</v>
      </c>
      <c r="I2768" t="s">
        <v>5788</v>
      </c>
      <c r="M2768" t="s">
        <v>1757</v>
      </c>
    </row>
    <row r="2769" spans="1:13" x14ac:dyDescent="0.45">
      <c r="A2769" t="s">
        <v>5789</v>
      </c>
      <c r="B2769">
        <v>2</v>
      </c>
      <c r="C2769" t="s">
        <v>1774</v>
      </c>
      <c r="G2769" s="3">
        <v>2409.617226061082</v>
      </c>
      <c r="H2769" t="s">
        <v>1755</v>
      </c>
      <c r="I2769" t="s">
        <v>5789</v>
      </c>
      <c r="M2769" t="s">
        <v>1757</v>
      </c>
    </row>
    <row r="2770" spans="1:13" x14ac:dyDescent="0.45">
      <c r="A2770" t="s">
        <v>5790</v>
      </c>
      <c r="B2770">
        <v>3</v>
      </c>
      <c r="C2770" t="s">
        <v>1774</v>
      </c>
      <c r="G2770" s="3">
        <v>621.0050047364565</v>
      </c>
      <c r="H2770" t="s">
        <v>1755</v>
      </c>
      <c r="I2770" t="s">
        <v>5790</v>
      </c>
      <c r="M2770" t="s">
        <v>1757</v>
      </c>
    </row>
    <row r="2771" spans="1:13" x14ac:dyDescent="0.45">
      <c r="A2771" t="s">
        <v>5791</v>
      </c>
      <c r="B2771">
        <v>3</v>
      </c>
      <c r="C2771" t="s">
        <v>1774</v>
      </c>
      <c r="G2771" s="3">
        <v>793.37212723220091</v>
      </c>
      <c r="H2771" t="s">
        <v>1755</v>
      </c>
      <c r="I2771" t="s">
        <v>5791</v>
      </c>
      <c r="M2771" t="s">
        <v>1757</v>
      </c>
    </row>
    <row r="2772" spans="1:13" x14ac:dyDescent="0.45">
      <c r="A2772" t="s">
        <v>5792</v>
      </c>
      <c r="B2772">
        <v>3</v>
      </c>
      <c r="C2772" t="s">
        <v>1774</v>
      </c>
      <c r="G2772" s="3">
        <v>2480.6964854568919</v>
      </c>
      <c r="H2772" t="s">
        <v>1755</v>
      </c>
      <c r="I2772" t="s">
        <v>5792</v>
      </c>
      <c r="M2772" t="s">
        <v>1757</v>
      </c>
    </row>
    <row r="2773" spans="1:13" x14ac:dyDescent="0.45">
      <c r="A2773" t="s">
        <v>5793</v>
      </c>
      <c r="B2773">
        <v>4</v>
      </c>
      <c r="C2773" t="s">
        <v>1774</v>
      </c>
      <c r="G2773" s="3">
        <v>3015.723407463438</v>
      </c>
      <c r="H2773" t="s">
        <v>1755</v>
      </c>
      <c r="I2773" t="s">
        <v>5793</v>
      </c>
      <c r="M2773" t="s">
        <v>1757</v>
      </c>
    </row>
    <row r="2774" spans="1:13" x14ac:dyDescent="0.45">
      <c r="A2774" t="s">
        <v>5794</v>
      </c>
      <c r="B2774">
        <v>2</v>
      </c>
      <c r="C2774" t="s">
        <v>1774</v>
      </c>
      <c r="G2774" s="3">
        <v>1237.5155745879761</v>
      </c>
      <c r="H2774" t="s">
        <v>1755</v>
      </c>
      <c r="I2774" t="s">
        <v>5794</v>
      </c>
      <c r="M2774" t="s">
        <v>1757</v>
      </c>
    </row>
    <row r="2775" spans="1:13" x14ac:dyDescent="0.45">
      <c r="A2775" t="s">
        <v>5795</v>
      </c>
      <c r="B2775">
        <v>3</v>
      </c>
      <c r="C2775" t="s">
        <v>1774</v>
      </c>
      <c r="G2775" s="3">
        <v>2735.1310757137239</v>
      </c>
      <c r="H2775" t="s">
        <v>1755</v>
      </c>
      <c r="I2775" t="s">
        <v>5795</v>
      </c>
      <c r="M2775" t="s">
        <v>1757</v>
      </c>
    </row>
    <row r="2776" spans="1:13" x14ac:dyDescent="0.45">
      <c r="A2776" t="s">
        <v>5796</v>
      </c>
      <c r="B2776">
        <v>3</v>
      </c>
      <c r="C2776" t="s">
        <v>1774</v>
      </c>
      <c r="G2776" s="3">
        <v>4531.8776370986052</v>
      </c>
      <c r="H2776" t="s">
        <v>1755</v>
      </c>
      <c r="I2776" t="s">
        <v>5796</v>
      </c>
      <c r="M2776" t="s">
        <v>1757</v>
      </c>
    </row>
    <row r="2777" spans="1:13" x14ac:dyDescent="0.45">
      <c r="A2777" t="s">
        <v>5797</v>
      </c>
      <c r="B2777">
        <v>3</v>
      </c>
      <c r="C2777" t="s">
        <v>1774</v>
      </c>
      <c r="G2777" s="3">
        <v>3432.893722382039</v>
      </c>
      <c r="H2777" t="s">
        <v>1755</v>
      </c>
      <c r="I2777" t="s">
        <v>5797</v>
      </c>
      <c r="M2777" t="s">
        <v>1757</v>
      </c>
    </row>
    <row r="2778" spans="1:13" x14ac:dyDescent="0.45">
      <c r="A2778" t="s">
        <v>5798</v>
      </c>
      <c r="B2778">
        <v>4</v>
      </c>
      <c r="C2778" t="s">
        <v>1774</v>
      </c>
      <c r="G2778" s="3">
        <v>3347.766907797969</v>
      </c>
      <c r="H2778" t="s">
        <v>1755</v>
      </c>
      <c r="I2778" t="s">
        <v>5798</v>
      </c>
      <c r="M2778" t="s">
        <v>1757</v>
      </c>
    </row>
    <row r="2779" spans="1:13" x14ac:dyDescent="0.45">
      <c r="A2779" t="s">
        <v>5799</v>
      </c>
      <c r="B2779">
        <v>3</v>
      </c>
      <c r="C2779" t="s">
        <v>1774</v>
      </c>
      <c r="G2779" s="3">
        <v>2544.854706517553</v>
      </c>
      <c r="H2779" t="s">
        <v>1755</v>
      </c>
      <c r="I2779" t="s">
        <v>5799</v>
      </c>
      <c r="M2779" t="s">
        <v>1757</v>
      </c>
    </row>
    <row r="2780" spans="1:13" x14ac:dyDescent="0.45">
      <c r="A2780" t="s">
        <v>5800</v>
      </c>
      <c r="B2780">
        <v>2</v>
      </c>
      <c r="C2780" t="s">
        <v>1774</v>
      </c>
      <c r="G2780" s="3">
        <v>1878.6215968831159</v>
      </c>
      <c r="H2780" t="s">
        <v>1755</v>
      </c>
      <c r="I2780" t="s">
        <v>5800</v>
      </c>
      <c r="M2780" t="s">
        <v>1757</v>
      </c>
    </row>
    <row r="2781" spans="1:13" x14ac:dyDescent="0.45">
      <c r="A2781" t="s">
        <v>5801</v>
      </c>
      <c r="B2781">
        <v>2</v>
      </c>
      <c r="C2781" t="s">
        <v>1774</v>
      </c>
      <c r="G2781" s="3">
        <v>3268.5435236505709</v>
      </c>
      <c r="H2781" t="s">
        <v>1755</v>
      </c>
      <c r="I2781" t="s">
        <v>5801</v>
      </c>
      <c r="M2781" t="s">
        <v>1757</v>
      </c>
    </row>
    <row r="2782" spans="1:13" x14ac:dyDescent="0.45">
      <c r="A2782" t="s">
        <v>5802</v>
      </c>
      <c r="B2782">
        <v>4</v>
      </c>
      <c r="C2782" t="s">
        <v>1774</v>
      </c>
      <c r="G2782" s="3">
        <v>1093.6251654306809</v>
      </c>
      <c r="H2782" t="s">
        <v>1755</v>
      </c>
      <c r="I2782" t="s">
        <v>5802</v>
      </c>
      <c r="M2782" t="s">
        <v>1757</v>
      </c>
    </row>
    <row r="2783" spans="1:13" x14ac:dyDescent="0.45">
      <c r="A2783" t="s">
        <v>5803</v>
      </c>
      <c r="B2783">
        <v>2</v>
      </c>
      <c r="C2783" t="s">
        <v>1774</v>
      </c>
      <c r="G2783" s="3">
        <v>2046.1909590626469</v>
      </c>
      <c r="H2783" t="s">
        <v>1755</v>
      </c>
      <c r="I2783" t="s">
        <v>5803</v>
      </c>
      <c r="M2783" t="s">
        <v>1757</v>
      </c>
    </row>
    <row r="2784" spans="1:13" x14ac:dyDescent="0.45">
      <c r="A2784" t="s">
        <v>5804</v>
      </c>
      <c r="B2784">
        <v>2</v>
      </c>
      <c r="C2784" t="s">
        <v>1774</v>
      </c>
      <c r="G2784" s="3">
        <v>1035.543237686883</v>
      </c>
      <c r="H2784" t="s">
        <v>1755</v>
      </c>
      <c r="I2784" t="s">
        <v>5804</v>
      </c>
      <c r="M2784" t="s">
        <v>1757</v>
      </c>
    </row>
    <row r="2785" spans="1:13" x14ac:dyDescent="0.45">
      <c r="A2785" t="s">
        <v>5805</v>
      </c>
      <c r="B2785">
        <v>2</v>
      </c>
      <c r="C2785" t="s">
        <v>1774</v>
      </c>
      <c r="G2785" s="3">
        <v>1999.759337130891</v>
      </c>
      <c r="H2785" t="s">
        <v>1755</v>
      </c>
      <c r="I2785" t="s">
        <v>5805</v>
      </c>
      <c r="M2785" t="s">
        <v>1757</v>
      </c>
    </row>
    <row r="2786" spans="1:13" x14ac:dyDescent="0.45">
      <c r="A2786" t="s">
        <v>5806</v>
      </c>
      <c r="B2786">
        <v>2</v>
      </c>
      <c r="C2786" t="s">
        <v>1774</v>
      </c>
      <c r="G2786" s="3">
        <v>2461.655476125788</v>
      </c>
      <c r="H2786" t="s">
        <v>1755</v>
      </c>
      <c r="I2786" t="s">
        <v>5806</v>
      </c>
      <c r="M2786" t="s">
        <v>1757</v>
      </c>
    </row>
    <row r="2787" spans="1:13" x14ac:dyDescent="0.45">
      <c r="A2787" t="s">
        <v>5807</v>
      </c>
      <c r="B2787">
        <v>2</v>
      </c>
      <c r="C2787" t="s">
        <v>1774</v>
      </c>
      <c r="G2787" s="3">
        <v>3072.9573286251721</v>
      </c>
      <c r="H2787" t="s">
        <v>1755</v>
      </c>
      <c r="I2787" t="s">
        <v>5807</v>
      </c>
      <c r="M2787" t="s">
        <v>1757</v>
      </c>
    </row>
    <row r="2788" spans="1:13" x14ac:dyDescent="0.45">
      <c r="A2788" t="s">
        <v>5808</v>
      </c>
      <c r="B2788">
        <v>4</v>
      </c>
      <c r="C2788" t="s">
        <v>1774</v>
      </c>
      <c r="G2788" s="3">
        <v>4175.6170257186068</v>
      </c>
      <c r="H2788" t="s">
        <v>1755</v>
      </c>
      <c r="I2788" t="s">
        <v>5808</v>
      </c>
      <c r="M2788" t="s">
        <v>1757</v>
      </c>
    </row>
    <row r="2789" spans="1:13" x14ac:dyDescent="0.45">
      <c r="A2789" t="s">
        <v>5809</v>
      </c>
      <c r="B2789">
        <v>2</v>
      </c>
      <c r="C2789" t="s">
        <v>1774</v>
      </c>
      <c r="G2789" s="3">
        <v>4470.9190101033446</v>
      </c>
      <c r="H2789" t="s">
        <v>1755</v>
      </c>
      <c r="I2789" t="s">
        <v>5809</v>
      </c>
      <c r="M2789" t="s">
        <v>1757</v>
      </c>
    </row>
    <row r="2790" spans="1:13" x14ac:dyDescent="0.45">
      <c r="A2790" t="s">
        <v>5810</v>
      </c>
      <c r="B2790">
        <v>3</v>
      </c>
      <c r="C2790" t="s">
        <v>1774</v>
      </c>
      <c r="G2790" s="3">
        <v>864.29157000292969</v>
      </c>
      <c r="H2790" t="s">
        <v>1755</v>
      </c>
      <c r="I2790" t="s">
        <v>5810</v>
      </c>
      <c r="M2790" t="s">
        <v>1757</v>
      </c>
    </row>
    <row r="2791" spans="1:13" x14ac:dyDescent="0.45">
      <c r="A2791" t="s">
        <v>5811</v>
      </c>
      <c r="B2791">
        <v>2</v>
      </c>
      <c r="C2791" t="s">
        <v>1774</v>
      </c>
      <c r="G2791" s="3">
        <v>2778.428334855621</v>
      </c>
      <c r="H2791" t="s">
        <v>1755</v>
      </c>
      <c r="I2791" t="s">
        <v>5811</v>
      </c>
      <c r="M2791" t="s">
        <v>1757</v>
      </c>
    </row>
    <row r="2792" spans="1:13" x14ac:dyDescent="0.45">
      <c r="A2792" t="s">
        <v>5812</v>
      </c>
      <c r="B2792">
        <v>2</v>
      </c>
      <c r="C2792" t="s">
        <v>1774</v>
      </c>
      <c r="G2792" s="3">
        <v>7362.3931454755912</v>
      </c>
      <c r="H2792" t="s">
        <v>1755</v>
      </c>
      <c r="I2792" t="s">
        <v>5812</v>
      </c>
      <c r="M2792" t="s">
        <v>1757</v>
      </c>
    </row>
    <row r="2793" spans="1:13" x14ac:dyDescent="0.45">
      <c r="A2793" t="s">
        <v>5813</v>
      </c>
      <c r="B2793">
        <v>3</v>
      </c>
      <c r="C2793" t="s">
        <v>1774</v>
      </c>
      <c r="G2793" s="3">
        <v>3406.2467463225798</v>
      </c>
      <c r="H2793" t="s">
        <v>1755</v>
      </c>
      <c r="I2793" t="s">
        <v>5813</v>
      </c>
      <c r="M2793" t="s">
        <v>1757</v>
      </c>
    </row>
    <row r="2794" spans="1:13" x14ac:dyDescent="0.45">
      <c r="A2794" t="s">
        <v>5814</v>
      </c>
      <c r="B2794">
        <v>2</v>
      </c>
      <c r="C2794" t="s">
        <v>1774</v>
      </c>
      <c r="G2794" s="3">
        <v>3094.5097420646939</v>
      </c>
      <c r="H2794" t="s">
        <v>1755</v>
      </c>
      <c r="I2794" t="s">
        <v>5814</v>
      </c>
      <c r="M2794" t="s">
        <v>1757</v>
      </c>
    </row>
    <row r="2795" spans="1:13" x14ac:dyDescent="0.45">
      <c r="A2795" t="s">
        <v>5815</v>
      </c>
      <c r="B2795">
        <v>3</v>
      </c>
      <c r="C2795" t="s">
        <v>1774</v>
      </c>
      <c r="G2795" s="3">
        <v>1319.439533542868</v>
      </c>
      <c r="H2795" t="s">
        <v>1755</v>
      </c>
      <c r="I2795" t="s">
        <v>5815</v>
      </c>
      <c r="M2795" t="s">
        <v>1757</v>
      </c>
    </row>
    <row r="2796" spans="1:13" x14ac:dyDescent="0.45">
      <c r="A2796" t="s">
        <v>5816</v>
      </c>
      <c r="B2796">
        <v>3</v>
      </c>
      <c r="C2796" t="s">
        <v>1774</v>
      </c>
      <c r="G2796" s="3">
        <v>2901.513228678366</v>
      </c>
      <c r="H2796" t="s">
        <v>1755</v>
      </c>
      <c r="I2796" t="s">
        <v>5816</v>
      </c>
      <c r="M2796" t="s">
        <v>1757</v>
      </c>
    </row>
    <row r="2797" spans="1:13" x14ac:dyDescent="0.45">
      <c r="A2797" t="s">
        <v>5817</v>
      </c>
      <c r="B2797">
        <v>2</v>
      </c>
      <c r="C2797" t="s">
        <v>1774</v>
      </c>
      <c r="G2797" s="3">
        <v>2328.6391206015701</v>
      </c>
      <c r="H2797" t="s">
        <v>1755</v>
      </c>
      <c r="I2797" t="s">
        <v>5817</v>
      </c>
      <c r="M2797" t="s">
        <v>1757</v>
      </c>
    </row>
    <row r="2798" spans="1:13" x14ac:dyDescent="0.45">
      <c r="A2798" t="s">
        <v>5818</v>
      </c>
      <c r="B2798">
        <v>2</v>
      </c>
      <c r="C2798" t="s">
        <v>1774</v>
      </c>
      <c r="G2798" s="3">
        <v>4349.6866845060322</v>
      </c>
      <c r="H2798" t="s">
        <v>1755</v>
      </c>
      <c r="I2798" t="s">
        <v>5818</v>
      </c>
      <c r="M2798" t="s">
        <v>1757</v>
      </c>
    </row>
    <row r="2799" spans="1:13" x14ac:dyDescent="0.45">
      <c r="A2799" t="s">
        <v>5819</v>
      </c>
      <c r="B2799">
        <v>3</v>
      </c>
      <c r="C2799" t="s">
        <v>1774</v>
      </c>
      <c r="G2799" s="3">
        <v>6634.8361137028514</v>
      </c>
      <c r="H2799" t="s">
        <v>1755</v>
      </c>
      <c r="I2799" t="s">
        <v>5819</v>
      </c>
      <c r="M2799" t="s">
        <v>1757</v>
      </c>
    </row>
    <row r="2800" spans="1:13" x14ac:dyDescent="0.45">
      <c r="A2800" t="s">
        <v>5820</v>
      </c>
      <c r="B2800">
        <v>3</v>
      </c>
      <c r="C2800" t="s">
        <v>1774</v>
      </c>
      <c r="G2800" s="3">
        <v>3734.0339059279072</v>
      </c>
      <c r="H2800" t="s">
        <v>1755</v>
      </c>
      <c r="I2800" t="s">
        <v>5820</v>
      </c>
      <c r="M2800" t="s">
        <v>1757</v>
      </c>
    </row>
    <row r="2801" spans="1:13" x14ac:dyDescent="0.45">
      <c r="A2801" t="s">
        <v>5821</v>
      </c>
      <c r="B2801">
        <v>2</v>
      </c>
      <c r="C2801" t="s">
        <v>1774</v>
      </c>
      <c r="G2801" s="3">
        <v>3185.383432024134</v>
      </c>
      <c r="H2801" t="s">
        <v>1755</v>
      </c>
      <c r="I2801" t="s">
        <v>5821</v>
      </c>
      <c r="M2801" t="s">
        <v>1757</v>
      </c>
    </row>
    <row r="2802" spans="1:13" x14ac:dyDescent="0.45">
      <c r="A2802" t="s">
        <v>5822</v>
      </c>
      <c r="B2802">
        <v>2</v>
      </c>
      <c r="C2802" t="s">
        <v>1774</v>
      </c>
      <c r="G2802" s="3">
        <v>1444.970600198488</v>
      </c>
      <c r="H2802" t="s">
        <v>1755</v>
      </c>
      <c r="I2802" t="s">
        <v>5822</v>
      </c>
      <c r="M2802" t="s">
        <v>1757</v>
      </c>
    </row>
    <row r="2803" spans="1:13" x14ac:dyDescent="0.45">
      <c r="A2803" t="s">
        <v>5823</v>
      </c>
      <c r="B2803">
        <v>4</v>
      </c>
      <c r="C2803" t="s">
        <v>1774</v>
      </c>
      <c r="G2803" s="3">
        <v>3383.546262433495</v>
      </c>
      <c r="H2803" t="s">
        <v>1755</v>
      </c>
      <c r="I2803" t="s">
        <v>5823</v>
      </c>
      <c r="M2803" t="s">
        <v>1757</v>
      </c>
    </row>
    <row r="2804" spans="1:13" x14ac:dyDescent="0.45">
      <c r="A2804" t="s">
        <v>5824</v>
      </c>
      <c r="B2804">
        <v>2</v>
      </c>
      <c r="C2804" t="s">
        <v>1774</v>
      </c>
      <c r="G2804" s="3">
        <v>1429.735835795339</v>
      </c>
      <c r="H2804" t="s">
        <v>1755</v>
      </c>
      <c r="I2804" t="s">
        <v>5824</v>
      </c>
      <c r="M2804" t="s">
        <v>1757</v>
      </c>
    </row>
    <row r="2805" spans="1:13" x14ac:dyDescent="0.45">
      <c r="A2805" t="s">
        <v>5825</v>
      </c>
      <c r="B2805">
        <v>2</v>
      </c>
      <c r="C2805" t="s">
        <v>1774</v>
      </c>
      <c r="G2805" s="3">
        <v>2545.1971707141552</v>
      </c>
      <c r="H2805" t="s">
        <v>1755</v>
      </c>
      <c r="I2805" t="s">
        <v>5825</v>
      </c>
      <c r="M2805" t="s">
        <v>1757</v>
      </c>
    </row>
    <row r="2806" spans="1:13" x14ac:dyDescent="0.45">
      <c r="A2806" t="s">
        <v>5826</v>
      </c>
      <c r="B2806">
        <v>3</v>
      </c>
      <c r="C2806" t="s">
        <v>1774</v>
      </c>
      <c r="G2806" s="3">
        <v>5692.8964948568964</v>
      </c>
      <c r="H2806" t="s">
        <v>1755</v>
      </c>
      <c r="I2806" t="s">
        <v>5826</v>
      </c>
      <c r="M2806" t="s">
        <v>1757</v>
      </c>
    </row>
    <row r="2807" spans="1:13" x14ac:dyDescent="0.45">
      <c r="A2807" t="s">
        <v>5827</v>
      </c>
      <c r="B2807">
        <v>4</v>
      </c>
      <c r="C2807" t="s">
        <v>1774</v>
      </c>
      <c r="G2807" s="3">
        <v>4362.7003239769301</v>
      </c>
      <c r="H2807" t="s">
        <v>1755</v>
      </c>
      <c r="I2807" t="s">
        <v>5827</v>
      </c>
      <c r="M2807" t="s">
        <v>1757</v>
      </c>
    </row>
    <row r="2808" spans="1:13" x14ac:dyDescent="0.45">
      <c r="A2808" t="s">
        <v>5828</v>
      </c>
      <c r="B2808">
        <v>2</v>
      </c>
      <c r="C2808" t="s">
        <v>1774</v>
      </c>
      <c r="G2808" s="3">
        <v>1526.718434709413</v>
      </c>
      <c r="H2808" t="s">
        <v>1755</v>
      </c>
      <c r="I2808" t="s">
        <v>5828</v>
      </c>
      <c r="M2808" t="s">
        <v>1757</v>
      </c>
    </row>
    <row r="2809" spans="1:13" x14ac:dyDescent="0.45">
      <c r="A2809" t="s">
        <v>5829</v>
      </c>
      <c r="B2809">
        <v>2</v>
      </c>
      <c r="C2809" t="s">
        <v>1774</v>
      </c>
      <c r="G2809" s="3">
        <v>3365.7707398479329</v>
      </c>
      <c r="H2809" t="s">
        <v>1755</v>
      </c>
      <c r="I2809" t="s">
        <v>5829</v>
      </c>
      <c r="M2809" t="s">
        <v>1757</v>
      </c>
    </row>
    <row r="2810" spans="1:13" x14ac:dyDescent="0.45">
      <c r="A2810" t="s">
        <v>5830</v>
      </c>
      <c r="B2810">
        <v>2</v>
      </c>
      <c r="C2810" t="s">
        <v>1774</v>
      </c>
      <c r="G2810" s="3">
        <v>2688.5396371568868</v>
      </c>
      <c r="H2810" t="s">
        <v>1755</v>
      </c>
      <c r="I2810" t="s">
        <v>5830</v>
      </c>
      <c r="M2810" t="s">
        <v>1757</v>
      </c>
    </row>
    <row r="2811" spans="1:13" x14ac:dyDescent="0.45">
      <c r="A2811" t="s">
        <v>5831</v>
      </c>
      <c r="B2811">
        <v>4</v>
      </c>
      <c r="C2811" t="s">
        <v>1774</v>
      </c>
      <c r="G2811" s="3">
        <v>4001.4495200178649</v>
      </c>
      <c r="H2811" t="s">
        <v>1755</v>
      </c>
      <c r="I2811" t="s">
        <v>5831</v>
      </c>
      <c r="M2811" t="s">
        <v>1757</v>
      </c>
    </row>
    <row r="2812" spans="1:13" x14ac:dyDescent="0.45">
      <c r="A2812" t="s">
        <v>5832</v>
      </c>
      <c r="B2812">
        <v>2</v>
      </c>
      <c r="C2812" t="s">
        <v>1774</v>
      </c>
      <c r="G2812" s="3">
        <v>2726.2106987831712</v>
      </c>
      <c r="H2812" t="s">
        <v>1755</v>
      </c>
      <c r="I2812" t="s">
        <v>5832</v>
      </c>
      <c r="M2812" t="s">
        <v>1757</v>
      </c>
    </row>
    <row r="2813" spans="1:13" x14ac:dyDescent="0.45">
      <c r="A2813" t="s">
        <v>5833</v>
      </c>
      <c r="B2813">
        <v>3</v>
      </c>
      <c r="C2813" t="s">
        <v>1774</v>
      </c>
      <c r="G2813" s="3">
        <v>3894.796384504491</v>
      </c>
      <c r="H2813" t="s">
        <v>1755</v>
      </c>
      <c r="I2813" t="s">
        <v>5833</v>
      </c>
      <c r="M2813" t="s">
        <v>1757</v>
      </c>
    </row>
    <row r="2814" spans="1:13" x14ac:dyDescent="0.45">
      <c r="A2814" t="s">
        <v>5834</v>
      </c>
      <c r="B2814">
        <v>4</v>
      </c>
      <c r="C2814" t="s">
        <v>1774</v>
      </c>
      <c r="G2814" s="3">
        <v>2297.5694640602719</v>
      </c>
      <c r="H2814" t="s">
        <v>1755</v>
      </c>
      <c r="I2814" t="s">
        <v>5834</v>
      </c>
      <c r="M2814" t="s">
        <v>1757</v>
      </c>
    </row>
    <row r="2815" spans="1:13" x14ac:dyDescent="0.45">
      <c r="A2815" t="s">
        <v>5835</v>
      </c>
      <c r="B2815">
        <v>2</v>
      </c>
      <c r="C2815" t="s">
        <v>1774</v>
      </c>
      <c r="G2815" s="3">
        <v>2715.3562145327578</v>
      </c>
      <c r="H2815" t="s">
        <v>1755</v>
      </c>
      <c r="I2815" t="s">
        <v>5835</v>
      </c>
      <c r="M2815" t="s">
        <v>1757</v>
      </c>
    </row>
    <row r="2816" spans="1:13" x14ac:dyDescent="0.45">
      <c r="A2816" t="s">
        <v>5836</v>
      </c>
      <c r="B2816">
        <v>3</v>
      </c>
      <c r="C2816" t="s">
        <v>1774</v>
      </c>
      <c r="G2816" s="3">
        <v>2265.570261842483</v>
      </c>
      <c r="H2816" t="s">
        <v>1755</v>
      </c>
      <c r="I2816" t="s">
        <v>5836</v>
      </c>
      <c r="M2816" t="s">
        <v>1757</v>
      </c>
    </row>
    <row r="2817" spans="1:13" x14ac:dyDescent="0.45">
      <c r="A2817" t="s">
        <v>5837</v>
      </c>
      <c r="B2817">
        <v>2</v>
      </c>
      <c r="C2817" t="s">
        <v>1774</v>
      </c>
      <c r="G2817" s="3">
        <v>5826.7184566340766</v>
      </c>
      <c r="H2817" t="s">
        <v>1755</v>
      </c>
      <c r="I2817" t="s">
        <v>5837</v>
      </c>
      <c r="M2817" t="s">
        <v>1757</v>
      </c>
    </row>
    <row r="2818" spans="1:13" x14ac:dyDescent="0.45">
      <c r="A2818" t="s">
        <v>5838</v>
      </c>
      <c r="B2818">
        <v>5</v>
      </c>
      <c r="C2818" t="s">
        <v>1774</v>
      </c>
      <c r="G2818" s="3">
        <v>3445.7768993018499</v>
      </c>
      <c r="H2818" t="s">
        <v>1755</v>
      </c>
      <c r="I2818" t="s">
        <v>5838</v>
      </c>
      <c r="M2818" t="s">
        <v>1757</v>
      </c>
    </row>
    <row r="2819" spans="1:13" x14ac:dyDescent="0.45">
      <c r="A2819" t="s">
        <v>5839</v>
      </c>
      <c r="B2819">
        <v>2</v>
      </c>
      <c r="C2819" t="s">
        <v>1774</v>
      </c>
      <c r="G2819" s="3">
        <v>3178.827688832027</v>
      </c>
      <c r="H2819" t="s">
        <v>1755</v>
      </c>
      <c r="I2819" t="s">
        <v>5839</v>
      </c>
      <c r="M2819" t="s">
        <v>1757</v>
      </c>
    </row>
    <row r="2820" spans="1:13" x14ac:dyDescent="0.45">
      <c r="A2820" t="s">
        <v>5840</v>
      </c>
      <c r="B2820">
        <v>2</v>
      </c>
      <c r="C2820" t="s">
        <v>1774</v>
      </c>
      <c r="G2820" s="3">
        <v>4425.9746612539784</v>
      </c>
      <c r="H2820" t="s">
        <v>1755</v>
      </c>
      <c r="I2820" t="s">
        <v>5840</v>
      </c>
      <c r="M2820" t="s">
        <v>1757</v>
      </c>
    </row>
    <row r="2821" spans="1:13" x14ac:dyDescent="0.45">
      <c r="A2821" t="s">
        <v>5841</v>
      </c>
      <c r="B2821">
        <v>3</v>
      </c>
      <c r="C2821" t="s">
        <v>1774</v>
      </c>
      <c r="G2821" s="3">
        <v>5542.0165545251311</v>
      </c>
      <c r="H2821" t="s">
        <v>1755</v>
      </c>
      <c r="I2821" t="s">
        <v>5841</v>
      </c>
      <c r="M2821" t="s">
        <v>1757</v>
      </c>
    </row>
    <row r="2822" spans="1:13" x14ac:dyDescent="0.45">
      <c r="A2822" t="s">
        <v>5842</v>
      </c>
      <c r="B2822">
        <v>5</v>
      </c>
      <c r="C2822" t="s">
        <v>1774</v>
      </c>
      <c r="H2822" t="s">
        <v>1755</v>
      </c>
      <c r="I2822" t="s">
        <v>5842</v>
      </c>
      <c r="M2822" t="s">
        <v>1757</v>
      </c>
    </row>
    <row r="2823" spans="1:13" x14ac:dyDescent="0.45">
      <c r="A2823" t="s">
        <v>5843</v>
      </c>
      <c r="B2823">
        <v>3</v>
      </c>
      <c r="C2823" t="s">
        <v>1774</v>
      </c>
      <c r="G2823" s="3">
        <v>2257.4587527286672</v>
      </c>
      <c r="H2823" t="s">
        <v>1755</v>
      </c>
      <c r="I2823" t="s">
        <v>5843</v>
      </c>
      <c r="M2823" t="s">
        <v>1757</v>
      </c>
    </row>
    <row r="2824" spans="1:13" x14ac:dyDescent="0.45">
      <c r="A2824" t="s">
        <v>5844</v>
      </c>
      <c r="B2824">
        <v>3</v>
      </c>
      <c r="C2824" t="s">
        <v>1774</v>
      </c>
      <c r="G2824" s="3">
        <v>1690.1553955832719</v>
      </c>
      <c r="H2824" t="s">
        <v>1755</v>
      </c>
      <c r="I2824" t="s">
        <v>5844</v>
      </c>
      <c r="M2824" t="s">
        <v>1757</v>
      </c>
    </row>
    <row r="2825" spans="1:13" x14ac:dyDescent="0.45">
      <c r="A2825" t="s">
        <v>5845</v>
      </c>
      <c r="B2825">
        <v>4</v>
      </c>
      <c r="C2825" t="s">
        <v>1774</v>
      </c>
      <c r="G2825" s="3">
        <v>3431.9478688866602</v>
      </c>
      <c r="H2825" t="s">
        <v>1755</v>
      </c>
      <c r="I2825" t="s">
        <v>5845</v>
      </c>
      <c r="M2825" t="s">
        <v>1757</v>
      </c>
    </row>
    <row r="2826" spans="1:13" x14ac:dyDescent="0.45">
      <c r="A2826" t="s">
        <v>5846</v>
      </c>
      <c r="B2826">
        <v>3</v>
      </c>
      <c r="C2826" t="s">
        <v>1774</v>
      </c>
      <c r="G2826" s="3">
        <v>2981.7900979257879</v>
      </c>
      <c r="H2826" t="s">
        <v>1755</v>
      </c>
      <c r="I2826" t="s">
        <v>5846</v>
      </c>
      <c r="M2826" t="s">
        <v>1757</v>
      </c>
    </row>
    <row r="2827" spans="1:13" x14ac:dyDescent="0.45">
      <c r="A2827" t="s">
        <v>5847</v>
      </c>
      <c r="B2827">
        <v>2</v>
      </c>
      <c r="C2827" t="s">
        <v>1774</v>
      </c>
      <c r="G2827" s="3">
        <v>3582.6647310295671</v>
      </c>
      <c r="H2827" t="s">
        <v>1755</v>
      </c>
      <c r="I2827" t="s">
        <v>5847</v>
      </c>
      <c r="M2827" t="s">
        <v>1757</v>
      </c>
    </row>
    <row r="2828" spans="1:13" x14ac:dyDescent="0.45">
      <c r="A2828" t="s">
        <v>5848</v>
      </c>
      <c r="B2828">
        <v>3</v>
      </c>
      <c r="C2828" t="s">
        <v>1774</v>
      </c>
      <c r="G2828" s="3">
        <v>2345.605775370394</v>
      </c>
      <c r="H2828" t="s">
        <v>1755</v>
      </c>
      <c r="I2828" t="s">
        <v>5848</v>
      </c>
      <c r="M2828" t="s">
        <v>1757</v>
      </c>
    </row>
    <row r="2829" spans="1:13" x14ac:dyDescent="0.45">
      <c r="A2829" t="s">
        <v>5849</v>
      </c>
      <c r="B2829">
        <v>2</v>
      </c>
      <c r="C2829" t="s">
        <v>1774</v>
      </c>
      <c r="G2829" s="3">
        <v>4574.6041225794979</v>
      </c>
      <c r="H2829" t="s">
        <v>1755</v>
      </c>
      <c r="I2829" t="s">
        <v>5849</v>
      </c>
      <c r="M2829" t="s">
        <v>1757</v>
      </c>
    </row>
    <row r="2830" spans="1:13" x14ac:dyDescent="0.45">
      <c r="A2830" t="s">
        <v>5850</v>
      </c>
      <c r="B2830">
        <v>2</v>
      </c>
      <c r="C2830" t="s">
        <v>1774</v>
      </c>
      <c r="G2830" s="3">
        <v>684.07386349554315</v>
      </c>
      <c r="H2830" t="s">
        <v>1755</v>
      </c>
      <c r="I2830" t="s">
        <v>5850</v>
      </c>
      <c r="M2830" t="s">
        <v>1757</v>
      </c>
    </row>
    <row r="2831" spans="1:13" x14ac:dyDescent="0.45">
      <c r="A2831" t="s">
        <v>5851</v>
      </c>
      <c r="B2831">
        <v>4</v>
      </c>
      <c r="C2831" t="s">
        <v>1774</v>
      </c>
      <c r="G2831" s="3">
        <v>1417.749588914249</v>
      </c>
      <c r="H2831" t="s">
        <v>1755</v>
      </c>
      <c r="I2831" t="s">
        <v>5851</v>
      </c>
      <c r="M2831" t="s">
        <v>1757</v>
      </c>
    </row>
    <row r="2832" spans="1:13" x14ac:dyDescent="0.45">
      <c r="A2832" t="s">
        <v>5852</v>
      </c>
      <c r="B2832">
        <v>4</v>
      </c>
      <c r="C2832" t="s">
        <v>1774</v>
      </c>
      <c r="G2832" s="3">
        <v>2832.5931245030411</v>
      </c>
      <c r="H2832" t="s">
        <v>1755</v>
      </c>
      <c r="I2832" t="s">
        <v>5852</v>
      </c>
      <c r="M2832" t="s">
        <v>1757</v>
      </c>
    </row>
    <row r="2833" spans="1:13" x14ac:dyDescent="0.45">
      <c r="A2833" t="s">
        <v>5853</v>
      </c>
      <c r="B2833">
        <v>4</v>
      </c>
      <c r="C2833" t="s">
        <v>1774</v>
      </c>
      <c r="G2833" s="3">
        <v>2529.926529109458</v>
      </c>
      <c r="H2833" t="s">
        <v>1755</v>
      </c>
      <c r="I2833" t="s">
        <v>5853</v>
      </c>
      <c r="M2833" t="s">
        <v>1757</v>
      </c>
    </row>
    <row r="2834" spans="1:13" x14ac:dyDescent="0.45">
      <c r="A2834" t="s">
        <v>5854</v>
      </c>
      <c r="B2834">
        <v>2</v>
      </c>
      <c r="C2834" t="s">
        <v>1774</v>
      </c>
      <c r="G2834" s="3">
        <v>1877.294140425809</v>
      </c>
      <c r="H2834" t="s">
        <v>1755</v>
      </c>
      <c r="I2834" t="s">
        <v>5854</v>
      </c>
      <c r="M2834" t="s">
        <v>1757</v>
      </c>
    </row>
    <row r="2835" spans="1:13" x14ac:dyDescent="0.45">
      <c r="A2835" t="s">
        <v>5855</v>
      </c>
      <c r="B2835">
        <v>2</v>
      </c>
      <c r="C2835" t="s">
        <v>1774</v>
      </c>
      <c r="G2835" s="3">
        <v>4357.1882811935166</v>
      </c>
      <c r="H2835" t="s">
        <v>1755</v>
      </c>
      <c r="I2835" t="s">
        <v>5855</v>
      </c>
      <c r="M2835" t="s">
        <v>1757</v>
      </c>
    </row>
    <row r="2836" spans="1:13" x14ac:dyDescent="0.45">
      <c r="A2836" t="s">
        <v>5856</v>
      </c>
      <c r="B2836">
        <v>2</v>
      </c>
      <c r="C2836" t="s">
        <v>1774</v>
      </c>
      <c r="G2836" s="3">
        <v>1776.1432630045149</v>
      </c>
      <c r="H2836" t="s">
        <v>1755</v>
      </c>
      <c r="I2836" t="s">
        <v>5856</v>
      </c>
      <c r="M2836" t="s">
        <v>1757</v>
      </c>
    </row>
    <row r="2837" spans="1:13" x14ac:dyDescent="0.45">
      <c r="A2837" t="s">
        <v>5857</v>
      </c>
      <c r="B2837">
        <v>3</v>
      </c>
      <c r="C2837" t="s">
        <v>1774</v>
      </c>
      <c r="G2837" s="3">
        <v>5429.3295260239966</v>
      </c>
      <c r="H2837" t="s">
        <v>1755</v>
      </c>
      <c r="I2837" t="s">
        <v>5857</v>
      </c>
      <c r="M2837" t="s">
        <v>1757</v>
      </c>
    </row>
    <row r="2838" spans="1:13" x14ac:dyDescent="0.45">
      <c r="A2838" t="s">
        <v>5858</v>
      </c>
      <c r="B2838">
        <v>3</v>
      </c>
      <c r="C2838" t="s">
        <v>1774</v>
      </c>
      <c r="G2838" s="3">
        <v>1964.3354929470761</v>
      </c>
      <c r="H2838" t="s">
        <v>1755</v>
      </c>
      <c r="I2838" t="s">
        <v>5858</v>
      </c>
      <c r="M2838" t="s">
        <v>1757</v>
      </c>
    </row>
    <row r="2839" spans="1:13" x14ac:dyDescent="0.45">
      <c r="A2839" t="s">
        <v>5859</v>
      </c>
      <c r="B2839">
        <v>3</v>
      </c>
      <c r="C2839" t="s">
        <v>1774</v>
      </c>
      <c r="G2839" s="3">
        <v>2539.629681346531</v>
      </c>
      <c r="H2839" t="s">
        <v>1755</v>
      </c>
      <c r="I2839" t="s">
        <v>5859</v>
      </c>
      <c r="M2839" t="s">
        <v>1757</v>
      </c>
    </row>
    <row r="2840" spans="1:13" x14ac:dyDescent="0.45">
      <c r="A2840" t="s">
        <v>5860</v>
      </c>
      <c r="B2840">
        <v>2</v>
      </c>
      <c r="C2840" t="s">
        <v>1774</v>
      </c>
      <c r="G2840" s="3">
        <v>2601.8146563220048</v>
      </c>
      <c r="H2840" t="s">
        <v>1755</v>
      </c>
      <c r="I2840" t="s">
        <v>5860</v>
      </c>
      <c r="M2840" t="s">
        <v>1757</v>
      </c>
    </row>
    <row r="2841" spans="1:13" x14ac:dyDescent="0.45">
      <c r="A2841" t="s">
        <v>5861</v>
      </c>
      <c r="B2841">
        <v>2</v>
      </c>
      <c r="C2841" t="s">
        <v>1774</v>
      </c>
      <c r="H2841" t="s">
        <v>1755</v>
      </c>
      <c r="I2841" t="s">
        <v>5861</v>
      </c>
      <c r="M2841" t="s">
        <v>1757</v>
      </c>
    </row>
    <row r="2842" spans="1:13" x14ac:dyDescent="0.45">
      <c r="A2842" t="s">
        <v>5862</v>
      </c>
      <c r="B2842">
        <v>2</v>
      </c>
      <c r="C2842" t="s">
        <v>1774</v>
      </c>
      <c r="G2842" s="3">
        <v>876.9725299685565</v>
      </c>
      <c r="H2842" t="s">
        <v>1755</v>
      </c>
      <c r="I2842" t="s">
        <v>5862</v>
      </c>
      <c r="M2842" t="s">
        <v>1757</v>
      </c>
    </row>
    <row r="2843" spans="1:13" x14ac:dyDescent="0.45">
      <c r="A2843" t="s">
        <v>5863</v>
      </c>
      <c r="B2843">
        <v>2</v>
      </c>
      <c r="C2843" t="s">
        <v>1774</v>
      </c>
      <c r="G2843" s="3">
        <v>3785.468766693838</v>
      </c>
      <c r="H2843" t="s">
        <v>1755</v>
      </c>
      <c r="I2843" t="s">
        <v>5863</v>
      </c>
      <c r="M2843" t="s">
        <v>1757</v>
      </c>
    </row>
    <row r="2844" spans="1:13" x14ac:dyDescent="0.45">
      <c r="A2844" t="s">
        <v>5864</v>
      </c>
      <c r="B2844">
        <v>2</v>
      </c>
      <c r="C2844" t="s">
        <v>1774</v>
      </c>
      <c r="G2844" s="3">
        <v>1255.499837255277</v>
      </c>
      <c r="H2844" t="s">
        <v>1755</v>
      </c>
      <c r="I2844" t="s">
        <v>5864</v>
      </c>
      <c r="M2844" t="s">
        <v>1757</v>
      </c>
    </row>
    <row r="2845" spans="1:13" x14ac:dyDescent="0.45">
      <c r="A2845" t="s">
        <v>5865</v>
      </c>
      <c r="B2845">
        <v>2</v>
      </c>
      <c r="C2845" t="s">
        <v>1774</v>
      </c>
      <c r="G2845" s="3">
        <v>3067.7747037832528</v>
      </c>
      <c r="H2845" t="s">
        <v>1755</v>
      </c>
      <c r="I2845" t="s">
        <v>5865</v>
      </c>
      <c r="M2845" t="s">
        <v>1757</v>
      </c>
    </row>
    <row r="2846" spans="1:13" x14ac:dyDescent="0.45">
      <c r="A2846" t="s">
        <v>5866</v>
      </c>
      <c r="B2846">
        <v>2</v>
      </c>
      <c r="C2846" t="s">
        <v>1774</v>
      </c>
      <c r="G2846" s="3">
        <v>1595.3645675274561</v>
      </c>
      <c r="H2846" t="s">
        <v>1755</v>
      </c>
      <c r="I2846" t="s">
        <v>5866</v>
      </c>
      <c r="M2846" t="s">
        <v>1757</v>
      </c>
    </row>
    <row r="2847" spans="1:13" x14ac:dyDescent="0.45">
      <c r="A2847" t="s">
        <v>5867</v>
      </c>
      <c r="B2847">
        <v>3</v>
      </c>
      <c r="C2847" t="s">
        <v>1774</v>
      </c>
      <c r="G2847" s="3">
        <v>1641.988621722064</v>
      </c>
      <c r="H2847" t="s">
        <v>1755</v>
      </c>
      <c r="I2847" t="s">
        <v>5867</v>
      </c>
      <c r="M2847" t="s">
        <v>1757</v>
      </c>
    </row>
    <row r="2848" spans="1:13" x14ac:dyDescent="0.45">
      <c r="A2848" t="s">
        <v>5868</v>
      </c>
      <c r="B2848">
        <v>5</v>
      </c>
      <c r="C2848" t="s">
        <v>1774</v>
      </c>
      <c r="G2848" s="3">
        <v>1056.2476445443419</v>
      </c>
      <c r="H2848" t="s">
        <v>1755</v>
      </c>
      <c r="I2848" t="s">
        <v>5868</v>
      </c>
      <c r="M2848" t="s">
        <v>1757</v>
      </c>
    </row>
    <row r="2849" spans="1:13" x14ac:dyDescent="0.45">
      <c r="A2849" t="s">
        <v>5869</v>
      </c>
      <c r="B2849">
        <v>2</v>
      </c>
      <c r="C2849" t="s">
        <v>1774</v>
      </c>
      <c r="G2849" s="3">
        <v>2696.0510185357039</v>
      </c>
      <c r="H2849" t="s">
        <v>1755</v>
      </c>
      <c r="I2849" t="s">
        <v>5869</v>
      </c>
      <c r="M2849" t="s">
        <v>1757</v>
      </c>
    </row>
    <row r="2850" spans="1:13" x14ac:dyDescent="0.45">
      <c r="A2850" t="s">
        <v>5870</v>
      </c>
      <c r="B2850">
        <v>2</v>
      </c>
      <c r="C2850" t="s">
        <v>1774</v>
      </c>
      <c r="G2850" s="3">
        <v>1254.208257999519</v>
      </c>
      <c r="H2850" t="s">
        <v>1755</v>
      </c>
      <c r="I2850" t="s">
        <v>5870</v>
      </c>
      <c r="M2850" t="s">
        <v>1757</v>
      </c>
    </row>
    <row r="2851" spans="1:13" x14ac:dyDescent="0.45">
      <c r="A2851" t="s">
        <v>5871</v>
      </c>
      <c r="B2851">
        <v>2</v>
      </c>
      <c r="C2851" t="s">
        <v>1774</v>
      </c>
      <c r="G2851" s="3">
        <v>1306.191061480014</v>
      </c>
      <c r="H2851" t="s">
        <v>1755</v>
      </c>
      <c r="I2851" t="s">
        <v>5871</v>
      </c>
      <c r="M2851" t="s">
        <v>1757</v>
      </c>
    </row>
    <row r="2852" spans="1:13" x14ac:dyDescent="0.45">
      <c r="A2852" t="s">
        <v>5872</v>
      </c>
      <c r="B2852">
        <v>2</v>
      </c>
      <c r="C2852" t="s">
        <v>1774</v>
      </c>
      <c r="G2852" s="3">
        <v>1483.629915649253</v>
      </c>
      <c r="H2852" t="s">
        <v>1755</v>
      </c>
      <c r="I2852" t="s">
        <v>5872</v>
      </c>
      <c r="M2852" t="s">
        <v>1757</v>
      </c>
    </row>
    <row r="2853" spans="1:13" x14ac:dyDescent="0.45">
      <c r="A2853" t="s">
        <v>5873</v>
      </c>
      <c r="B2853">
        <v>4</v>
      </c>
      <c r="C2853" t="s">
        <v>1774</v>
      </c>
      <c r="G2853" s="3">
        <v>1635.9155899689781</v>
      </c>
      <c r="H2853" t="s">
        <v>1755</v>
      </c>
      <c r="I2853" t="s">
        <v>5873</v>
      </c>
      <c r="M2853" t="s">
        <v>1757</v>
      </c>
    </row>
    <row r="2854" spans="1:13" x14ac:dyDescent="0.45">
      <c r="A2854" t="s">
        <v>5874</v>
      </c>
      <c r="B2854">
        <v>3</v>
      </c>
      <c r="C2854" t="s">
        <v>1774</v>
      </c>
      <c r="G2854" s="3">
        <v>2685.0562870428721</v>
      </c>
      <c r="H2854" t="s">
        <v>1755</v>
      </c>
      <c r="I2854" t="s">
        <v>5874</v>
      </c>
      <c r="M2854" t="s">
        <v>1757</v>
      </c>
    </row>
    <row r="2855" spans="1:13" x14ac:dyDescent="0.45">
      <c r="A2855" t="s">
        <v>5875</v>
      </c>
      <c r="B2855">
        <v>3</v>
      </c>
      <c r="C2855" t="s">
        <v>1774</v>
      </c>
      <c r="G2855" s="3">
        <v>1590.5831150301281</v>
      </c>
      <c r="H2855" t="s">
        <v>1755</v>
      </c>
      <c r="I2855" t="s">
        <v>5875</v>
      </c>
      <c r="M2855" t="s">
        <v>1757</v>
      </c>
    </row>
    <row r="2856" spans="1:13" x14ac:dyDescent="0.45">
      <c r="A2856" t="s">
        <v>5876</v>
      </c>
      <c r="B2856">
        <v>3</v>
      </c>
      <c r="C2856" t="s">
        <v>1774</v>
      </c>
      <c r="G2856" s="3">
        <v>789.25603374541561</v>
      </c>
      <c r="H2856" t="s">
        <v>1755</v>
      </c>
      <c r="I2856" t="s">
        <v>5876</v>
      </c>
      <c r="M2856" t="s">
        <v>1757</v>
      </c>
    </row>
    <row r="2857" spans="1:13" x14ac:dyDescent="0.45">
      <c r="A2857" t="s">
        <v>5877</v>
      </c>
      <c r="B2857">
        <v>2</v>
      </c>
      <c r="C2857" t="s">
        <v>1774</v>
      </c>
      <c r="G2857" s="3">
        <v>7218.4603359891917</v>
      </c>
      <c r="H2857" t="s">
        <v>1755</v>
      </c>
      <c r="I2857" t="s">
        <v>5877</v>
      </c>
      <c r="M2857" t="s">
        <v>1757</v>
      </c>
    </row>
    <row r="2858" spans="1:13" x14ac:dyDescent="0.45">
      <c r="A2858" t="s">
        <v>5878</v>
      </c>
      <c r="B2858">
        <v>2</v>
      </c>
      <c r="C2858" t="s">
        <v>1774</v>
      </c>
      <c r="G2858" s="3">
        <v>1434.171562532287</v>
      </c>
      <c r="H2858" t="s">
        <v>1755</v>
      </c>
      <c r="I2858" t="s">
        <v>5878</v>
      </c>
      <c r="M2858" t="s">
        <v>1757</v>
      </c>
    </row>
    <row r="2859" spans="1:13" x14ac:dyDescent="0.45">
      <c r="A2859" t="s">
        <v>5879</v>
      </c>
      <c r="B2859">
        <v>5</v>
      </c>
      <c r="C2859" t="s">
        <v>1774</v>
      </c>
      <c r="G2859" s="3">
        <v>3943.7524567997739</v>
      </c>
      <c r="H2859" t="s">
        <v>1755</v>
      </c>
      <c r="I2859" t="s">
        <v>5879</v>
      </c>
      <c r="M2859" t="s">
        <v>1757</v>
      </c>
    </row>
    <row r="2860" spans="1:13" x14ac:dyDescent="0.45">
      <c r="A2860" t="s">
        <v>5880</v>
      </c>
      <c r="B2860">
        <v>2</v>
      </c>
      <c r="C2860" t="s">
        <v>1774</v>
      </c>
      <c r="G2860" s="3">
        <v>2340.2600723396172</v>
      </c>
      <c r="H2860" t="s">
        <v>1755</v>
      </c>
      <c r="I2860" t="s">
        <v>5880</v>
      </c>
      <c r="M2860" t="s">
        <v>1757</v>
      </c>
    </row>
    <row r="2861" spans="1:13" x14ac:dyDescent="0.45">
      <c r="A2861" t="s">
        <v>5881</v>
      </c>
      <c r="B2861">
        <v>3</v>
      </c>
      <c r="C2861" t="s">
        <v>1774</v>
      </c>
      <c r="G2861" s="3">
        <v>1892.095116846594</v>
      </c>
      <c r="H2861" t="s">
        <v>1755</v>
      </c>
      <c r="I2861" t="s">
        <v>5881</v>
      </c>
      <c r="M2861" t="s">
        <v>1757</v>
      </c>
    </row>
    <row r="2862" spans="1:13" x14ac:dyDescent="0.45">
      <c r="A2862" t="s">
        <v>5882</v>
      </c>
      <c r="B2862">
        <v>3</v>
      </c>
      <c r="C2862" t="s">
        <v>1774</v>
      </c>
      <c r="G2862" s="3">
        <v>1122.5976364632591</v>
      </c>
      <c r="H2862" t="s">
        <v>1755</v>
      </c>
      <c r="I2862" t="s">
        <v>5882</v>
      </c>
      <c r="M2862" t="s">
        <v>1757</v>
      </c>
    </row>
    <row r="2863" spans="1:13" x14ac:dyDescent="0.45">
      <c r="A2863" t="s">
        <v>5883</v>
      </c>
      <c r="B2863">
        <v>2</v>
      </c>
      <c r="C2863" t="s">
        <v>1774</v>
      </c>
      <c r="G2863" s="3">
        <v>1058.093689642219</v>
      </c>
      <c r="H2863" t="s">
        <v>1755</v>
      </c>
      <c r="I2863" t="s">
        <v>5883</v>
      </c>
      <c r="M2863" t="s">
        <v>1757</v>
      </c>
    </row>
    <row r="2864" spans="1:13" x14ac:dyDescent="0.45">
      <c r="A2864" t="s">
        <v>5884</v>
      </c>
      <c r="B2864">
        <v>3</v>
      </c>
      <c r="C2864" t="s">
        <v>1774</v>
      </c>
      <c r="G2864" s="3">
        <v>1391.3504917018549</v>
      </c>
      <c r="H2864" t="s">
        <v>1755</v>
      </c>
      <c r="I2864" t="s">
        <v>5884</v>
      </c>
      <c r="M2864" t="s">
        <v>1757</v>
      </c>
    </row>
    <row r="2865" spans="1:13" x14ac:dyDescent="0.45">
      <c r="A2865" t="s">
        <v>5885</v>
      </c>
      <c r="B2865">
        <v>2</v>
      </c>
      <c r="C2865" t="s">
        <v>1774</v>
      </c>
      <c r="G2865" s="3">
        <v>4171.4422240838321</v>
      </c>
      <c r="H2865" t="s">
        <v>1755</v>
      </c>
      <c r="I2865" t="s">
        <v>5885</v>
      </c>
      <c r="M2865" t="s">
        <v>1757</v>
      </c>
    </row>
    <row r="2866" spans="1:13" x14ac:dyDescent="0.45">
      <c r="A2866" t="s">
        <v>5886</v>
      </c>
      <c r="B2866">
        <v>3</v>
      </c>
      <c r="C2866" t="s">
        <v>1774</v>
      </c>
      <c r="G2866" s="3">
        <v>2507.6859257129531</v>
      </c>
      <c r="H2866" t="s">
        <v>1755</v>
      </c>
      <c r="I2866" t="s">
        <v>5886</v>
      </c>
      <c r="M2866" t="s">
        <v>1757</v>
      </c>
    </row>
    <row r="2867" spans="1:13" x14ac:dyDescent="0.45">
      <c r="A2867" t="s">
        <v>5887</v>
      </c>
      <c r="B2867">
        <v>2</v>
      </c>
      <c r="C2867" t="s">
        <v>1774</v>
      </c>
      <c r="G2867" s="3">
        <v>2211.2587018250911</v>
      </c>
      <c r="H2867" t="s">
        <v>1755</v>
      </c>
      <c r="I2867" t="s">
        <v>5887</v>
      </c>
      <c r="M2867" t="s">
        <v>1757</v>
      </c>
    </row>
    <row r="2868" spans="1:13" x14ac:dyDescent="0.45">
      <c r="A2868" t="s">
        <v>5888</v>
      </c>
      <c r="B2868">
        <v>4</v>
      </c>
      <c r="C2868" t="s">
        <v>1774</v>
      </c>
      <c r="G2868" s="3">
        <v>1802.985932890603</v>
      </c>
      <c r="H2868" t="s">
        <v>1755</v>
      </c>
      <c r="I2868" t="s">
        <v>5888</v>
      </c>
      <c r="M2868" t="s">
        <v>1757</v>
      </c>
    </row>
    <row r="2869" spans="1:13" x14ac:dyDescent="0.45">
      <c r="A2869" t="s">
        <v>5889</v>
      </c>
      <c r="B2869">
        <v>3</v>
      </c>
      <c r="C2869" t="s">
        <v>1774</v>
      </c>
      <c r="G2869" s="3">
        <v>2011.200902861194</v>
      </c>
      <c r="H2869" t="s">
        <v>1755</v>
      </c>
      <c r="I2869" t="s">
        <v>5889</v>
      </c>
      <c r="M2869" t="s">
        <v>1757</v>
      </c>
    </row>
    <row r="2870" spans="1:13" x14ac:dyDescent="0.45">
      <c r="A2870" t="s">
        <v>5890</v>
      </c>
      <c r="B2870">
        <v>1</v>
      </c>
      <c r="C2870" t="s">
        <v>1774</v>
      </c>
      <c r="G2870" s="3">
        <v>5873.4892811986574</v>
      </c>
      <c r="H2870" t="s">
        <v>1755</v>
      </c>
      <c r="I2870" t="s">
        <v>5890</v>
      </c>
      <c r="M2870" t="s">
        <v>1757</v>
      </c>
    </row>
    <row r="2871" spans="1:13" x14ac:dyDescent="0.45">
      <c r="A2871" t="s">
        <v>5891</v>
      </c>
      <c r="B2871">
        <v>2</v>
      </c>
      <c r="C2871" t="s">
        <v>1774</v>
      </c>
      <c r="G2871" s="3">
        <v>2637.8288435494869</v>
      </c>
      <c r="H2871" t="s">
        <v>1755</v>
      </c>
      <c r="I2871" t="s">
        <v>5891</v>
      </c>
      <c r="M2871" t="s">
        <v>1757</v>
      </c>
    </row>
    <row r="2872" spans="1:13" x14ac:dyDescent="0.45">
      <c r="A2872" t="s">
        <v>5892</v>
      </c>
      <c r="B2872">
        <v>4</v>
      </c>
      <c r="C2872" t="s">
        <v>1774</v>
      </c>
      <c r="G2872" s="3">
        <v>3414.955121607617</v>
      </c>
      <c r="H2872" t="s">
        <v>1755</v>
      </c>
      <c r="I2872" t="s">
        <v>5892</v>
      </c>
      <c r="M2872" t="s">
        <v>1757</v>
      </c>
    </row>
    <row r="2873" spans="1:13" x14ac:dyDescent="0.45">
      <c r="A2873" t="s">
        <v>5893</v>
      </c>
      <c r="B2873">
        <v>4</v>
      </c>
      <c r="C2873" t="s">
        <v>1774</v>
      </c>
      <c r="G2873" s="3">
        <v>2549.2741254356151</v>
      </c>
      <c r="H2873" t="s">
        <v>1755</v>
      </c>
      <c r="I2873" t="s">
        <v>5893</v>
      </c>
      <c r="M2873" t="s">
        <v>1757</v>
      </c>
    </row>
    <row r="2874" spans="1:13" x14ac:dyDescent="0.45">
      <c r="A2874" t="s">
        <v>5894</v>
      </c>
      <c r="B2874">
        <v>2</v>
      </c>
      <c r="C2874" t="s">
        <v>1774</v>
      </c>
      <c r="G2874" s="3">
        <v>3024.0991032432039</v>
      </c>
      <c r="H2874" t="s">
        <v>1755</v>
      </c>
      <c r="I2874" t="s">
        <v>5894</v>
      </c>
      <c r="M2874" t="s">
        <v>1757</v>
      </c>
    </row>
    <row r="2875" spans="1:13" x14ac:dyDescent="0.45">
      <c r="A2875" t="s">
        <v>5895</v>
      </c>
      <c r="B2875">
        <v>2</v>
      </c>
      <c r="C2875" t="s">
        <v>1774</v>
      </c>
      <c r="G2875" s="3">
        <v>3271.1527746723059</v>
      </c>
      <c r="H2875" t="s">
        <v>1755</v>
      </c>
      <c r="I2875" t="s">
        <v>5895</v>
      </c>
      <c r="M2875" t="s">
        <v>1757</v>
      </c>
    </row>
    <row r="2876" spans="1:13" x14ac:dyDescent="0.45">
      <c r="A2876" t="s">
        <v>5896</v>
      </c>
      <c r="B2876">
        <v>2</v>
      </c>
      <c r="C2876" t="s">
        <v>1774</v>
      </c>
      <c r="H2876" t="s">
        <v>1755</v>
      </c>
      <c r="I2876" t="s">
        <v>5896</v>
      </c>
      <c r="M2876" t="s">
        <v>1757</v>
      </c>
    </row>
    <row r="2877" spans="1:13" x14ac:dyDescent="0.45">
      <c r="A2877" t="s">
        <v>5897</v>
      </c>
      <c r="B2877">
        <v>2</v>
      </c>
      <c r="C2877" t="s">
        <v>1774</v>
      </c>
      <c r="G2877" s="3">
        <v>3209.7212209293571</v>
      </c>
      <c r="H2877" t="s">
        <v>1755</v>
      </c>
      <c r="I2877" t="s">
        <v>5897</v>
      </c>
      <c r="M2877" t="s">
        <v>1757</v>
      </c>
    </row>
    <row r="2878" spans="1:13" x14ac:dyDescent="0.45">
      <c r="A2878" t="s">
        <v>5898</v>
      </c>
      <c r="B2878">
        <v>3</v>
      </c>
      <c r="C2878" t="s">
        <v>1774</v>
      </c>
      <c r="G2878" s="3">
        <v>4236.3799588872362</v>
      </c>
      <c r="H2878" t="s">
        <v>1755</v>
      </c>
      <c r="I2878" t="s">
        <v>5898</v>
      </c>
      <c r="M2878" t="s">
        <v>1757</v>
      </c>
    </row>
    <row r="2879" spans="1:13" x14ac:dyDescent="0.45">
      <c r="A2879" t="s">
        <v>5899</v>
      </c>
      <c r="B2879">
        <v>2</v>
      </c>
      <c r="C2879" t="s">
        <v>1774</v>
      </c>
      <c r="G2879" s="3">
        <v>1861.6451574229591</v>
      </c>
      <c r="H2879" t="s">
        <v>1755</v>
      </c>
      <c r="I2879" t="s">
        <v>5899</v>
      </c>
      <c r="M2879" t="s">
        <v>1757</v>
      </c>
    </row>
    <row r="2880" spans="1:13" x14ac:dyDescent="0.45">
      <c r="A2880" t="s">
        <v>5900</v>
      </c>
      <c r="B2880">
        <v>2</v>
      </c>
      <c r="C2880" t="s">
        <v>1774</v>
      </c>
      <c r="G2880" s="3">
        <v>3068.2313227120571</v>
      </c>
      <c r="H2880" t="s">
        <v>1755</v>
      </c>
      <c r="I2880" t="s">
        <v>5900</v>
      </c>
      <c r="M2880" t="s">
        <v>1757</v>
      </c>
    </row>
    <row r="2881" spans="1:13" x14ac:dyDescent="0.45">
      <c r="A2881" t="s">
        <v>5901</v>
      </c>
      <c r="B2881">
        <v>1</v>
      </c>
      <c r="C2881" t="s">
        <v>1774</v>
      </c>
      <c r="G2881" s="3">
        <v>5933.3389765096799</v>
      </c>
      <c r="H2881" t="s">
        <v>1755</v>
      </c>
      <c r="I2881" t="s">
        <v>5901</v>
      </c>
      <c r="M2881" t="s">
        <v>1757</v>
      </c>
    </row>
    <row r="2882" spans="1:13" x14ac:dyDescent="0.45">
      <c r="A2882" t="s">
        <v>5902</v>
      </c>
      <c r="B2882">
        <v>3</v>
      </c>
      <c r="C2882" t="s">
        <v>1774</v>
      </c>
      <c r="G2882" s="3">
        <v>3120.8566542566532</v>
      </c>
      <c r="H2882" t="s">
        <v>1755</v>
      </c>
      <c r="I2882" t="s">
        <v>5902</v>
      </c>
      <c r="M2882" t="s">
        <v>1757</v>
      </c>
    </row>
    <row r="2883" spans="1:13" x14ac:dyDescent="0.45">
      <c r="A2883" t="s">
        <v>5903</v>
      </c>
      <c r="B2883">
        <v>3</v>
      </c>
      <c r="C2883" t="s">
        <v>1774</v>
      </c>
      <c r="G2883" s="3">
        <v>3535.2415937095529</v>
      </c>
      <c r="H2883" t="s">
        <v>1755</v>
      </c>
      <c r="I2883" t="s">
        <v>5903</v>
      </c>
      <c r="M2883" t="s">
        <v>1757</v>
      </c>
    </row>
    <row r="2884" spans="1:13" x14ac:dyDescent="0.45">
      <c r="A2884" t="s">
        <v>5904</v>
      </c>
      <c r="B2884">
        <v>3</v>
      </c>
      <c r="C2884" t="s">
        <v>1774</v>
      </c>
      <c r="G2884" s="3">
        <v>824.30479809485689</v>
      </c>
      <c r="H2884" t="s">
        <v>1755</v>
      </c>
      <c r="I2884" t="s">
        <v>5904</v>
      </c>
      <c r="M2884" t="s">
        <v>1757</v>
      </c>
    </row>
    <row r="2885" spans="1:13" x14ac:dyDescent="0.45">
      <c r="A2885" t="s">
        <v>5905</v>
      </c>
      <c r="B2885">
        <v>2</v>
      </c>
      <c r="C2885" t="s">
        <v>1774</v>
      </c>
      <c r="G2885" s="3">
        <v>1254.7040156936489</v>
      </c>
      <c r="H2885" t="s">
        <v>1755</v>
      </c>
      <c r="I2885" t="s">
        <v>5905</v>
      </c>
      <c r="M2885" t="s">
        <v>1757</v>
      </c>
    </row>
    <row r="2886" spans="1:13" x14ac:dyDescent="0.45">
      <c r="A2886" t="s">
        <v>5906</v>
      </c>
      <c r="B2886">
        <v>3</v>
      </c>
      <c r="C2886" t="s">
        <v>1774</v>
      </c>
      <c r="G2886" s="3">
        <v>1807.115072632497</v>
      </c>
      <c r="H2886" t="s">
        <v>1755</v>
      </c>
      <c r="I2886" t="s">
        <v>5906</v>
      </c>
      <c r="M2886" t="s">
        <v>1757</v>
      </c>
    </row>
    <row r="2887" spans="1:13" x14ac:dyDescent="0.45">
      <c r="A2887" t="s">
        <v>5907</v>
      </c>
      <c r="B2887">
        <v>2</v>
      </c>
      <c r="C2887" t="s">
        <v>1774</v>
      </c>
      <c r="G2887" s="3">
        <v>4671.1137947458828</v>
      </c>
      <c r="H2887" t="s">
        <v>1755</v>
      </c>
      <c r="I2887" t="s">
        <v>5907</v>
      </c>
      <c r="M2887" t="s">
        <v>1757</v>
      </c>
    </row>
    <row r="2888" spans="1:13" x14ac:dyDescent="0.45">
      <c r="A2888" t="s">
        <v>5908</v>
      </c>
      <c r="B2888">
        <v>2</v>
      </c>
      <c r="C2888" t="s">
        <v>1774</v>
      </c>
      <c r="G2888" s="3">
        <v>2307.748804608812</v>
      </c>
      <c r="H2888" t="s">
        <v>1755</v>
      </c>
      <c r="I2888" t="s">
        <v>5908</v>
      </c>
      <c r="M2888" t="s">
        <v>1757</v>
      </c>
    </row>
    <row r="2889" spans="1:13" x14ac:dyDescent="0.45">
      <c r="A2889" t="s">
        <v>5909</v>
      </c>
      <c r="B2889">
        <v>3</v>
      </c>
      <c r="C2889" t="s">
        <v>1774</v>
      </c>
      <c r="G2889" s="3">
        <v>2245.8247547355109</v>
      </c>
      <c r="H2889" t="s">
        <v>1755</v>
      </c>
      <c r="I2889" t="s">
        <v>5909</v>
      </c>
      <c r="M2889" t="s">
        <v>1757</v>
      </c>
    </row>
    <row r="2890" spans="1:13" x14ac:dyDescent="0.45">
      <c r="A2890" t="s">
        <v>5910</v>
      </c>
      <c r="B2890">
        <v>2</v>
      </c>
      <c r="C2890" t="s">
        <v>1774</v>
      </c>
      <c r="G2890" s="3">
        <v>3591.30787503906</v>
      </c>
      <c r="H2890" t="s">
        <v>1755</v>
      </c>
      <c r="I2890" t="s">
        <v>5910</v>
      </c>
      <c r="M2890" t="s">
        <v>1757</v>
      </c>
    </row>
    <row r="2891" spans="1:13" x14ac:dyDescent="0.45">
      <c r="A2891" t="s">
        <v>5911</v>
      </c>
      <c r="B2891">
        <v>3</v>
      </c>
      <c r="C2891" t="s">
        <v>1774</v>
      </c>
      <c r="G2891" s="3">
        <v>4707.1214588458124</v>
      </c>
      <c r="H2891" t="s">
        <v>1755</v>
      </c>
      <c r="I2891" t="s">
        <v>5911</v>
      </c>
      <c r="M2891" t="s">
        <v>1757</v>
      </c>
    </row>
    <row r="2892" spans="1:13" x14ac:dyDescent="0.45">
      <c r="A2892" t="s">
        <v>5912</v>
      </c>
      <c r="B2892">
        <v>2</v>
      </c>
      <c r="C2892" t="s">
        <v>1774</v>
      </c>
      <c r="G2892" s="3">
        <v>1721.96216553821</v>
      </c>
      <c r="H2892" t="s">
        <v>1755</v>
      </c>
      <c r="I2892" t="s">
        <v>5912</v>
      </c>
      <c r="M2892" t="s">
        <v>1757</v>
      </c>
    </row>
    <row r="2893" spans="1:13" x14ac:dyDescent="0.45">
      <c r="A2893" t="s">
        <v>5913</v>
      </c>
      <c r="B2893">
        <v>2</v>
      </c>
      <c r="C2893" t="s">
        <v>1774</v>
      </c>
      <c r="G2893" s="3">
        <v>2857.2733776048672</v>
      </c>
      <c r="H2893" t="s">
        <v>1755</v>
      </c>
      <c r="I2893" t="s">
        <v>5913</v>
      </c>
      <c r="M2893" t="s">
        <v>1757</v>
      </c>
    </row>
    <row r="2894" spans="1:13" x14ac:dyDescent="0.45">
      <c r="A2894" t="s">
        <v>5914</v>
      </c>
      <c r="B2894">
        <v>2</v>
      </c>
      <c r="C2894" t="s">
        <v>1774</v>
      </c>
      <c r="G2894" s="3">
        <v>3034.2980131744071</v>
      </c>
      <c r="H2894" t="s">
        <v>1755</v>
      </c>
      <c r="I2894" t="s">
        <v>5914</v>
      </c>
      <c r="M2894" t="s">
        <v>1757</v>
      </c>
    </row>
    <row r="2895" spans="1:13" x14ac:dyDescent="0.45">
      <c r="A2895" t="s">
        <v>5915</v>
      </c>
      <c r="B2895">
        <v>2</v>
      </c>
      <c r="C2895" t="s">
        <v>1774</v>
      </c>
      <c r="G2895" s="3">
        <v>3556.7679146388582</v>
      </c>
      <c r="H2895" t="s">
        <v>1755</v>
      </c>
      <c r="I2895" t="s">
        <v>5915</v>
      </c>
      <c r="M2895" t="s">
        <v>1757</v>
      </c>
    </row>
    <row r="2896" spans="1:13" x14ac:dyDescent="0.45">
      <c r="A2896" t="s">
        <v>5916</v>
      </c>
      <c r="B2896">
        <v>3</v>
      </c>
      <c r="C2896" t="s">
        <v>1774</v>
      </c>
      <c r="G2896" s="3">
        <v>2487.2554902127758</v>
      </c>
      <c r="H2896" t="s">
        <v>1755</v>
      </c>
      <c r="I2896" t="s">
        <v>5916</v>
      </c>
      <c r="M2896" t="s">
        <v>1757</v>
      </c>
    </row>
    <row r="2897" spans="1:13" x14ac:dyDescent="0.45">
      <c r="A2897" t="s">
        <v>5917</v>
      </c>
      <c r="B2897">
        <v>2</v>
      </c>
      <c r="C2897" t="s">
        <v>1774</v>
      </c>
      <c r="G2897" s="3">
        <v>2907.560167921235</v>
      </c>
      <c r="H2897" t="s">
        <v>1755</v>
      </c>
      <c r="I2897" t="s">
        <v>5917</v>
      </c>
      <c r="M2897" t="s">
        <v>1757</v>
      </c>
    </row>
    <row r="2898" spans="1:13" x14ac:dyDescent="0.45">
      <c r="A2898" t="s">
        <v>5918</v>
      </c>
      <c r="B2898">
        <v>2</v>
      </c>
      <c r="C2898" t="s">
        <v>1774</v>
      </c>
      <c r="G2898" s="3">
        <v>3388.7321488391922</v>
      </c>
      <c r="H2898" t="s">
        <v>1755</v>
      </c>
      <c r="I2898" t="s">
        <v>5918</v>
      </c>
      <c r="M2898" t="s">
        <v>1757</v>
      </c>
    </row>
    <row r="2899" spans="1:13" x14ac:dyDescent="0.45">
      <c r="A2899" t="s">
        <v>5919</v>
      </c>
      <c r="B2899">
        <v>2</v>
      </c>
      <c r="C2899" t="s">
        <v>1774</v>
      </c>
      <c r="G2899" s="3">
        <v>6054.3756082803629</v>
      </c>
      <c r="H2899" t="s">
        <v>1755</v>
      </c>
      <c r="I2899" t="s">
        <v>5919</v>
      </c>
      <c r="M2899" t="s">
        <v>1757</v>
      </c>
    </row>
    <row r="2900" spans="1:13" x14ac:dyDescent="0.45">
      <c r="A2900" t="s">
        <v>5920</v>
      </c>
      <c r="B2900">
        <v>2</v>
      </c>
      <c r="C2900" t="s">
        <v>1774</v>
      </c>
      <c r="G2900" s="3">
        <v>613.26205232946097</v>
      </c>
      <c r="H2900" t="s">
        <v>1755</v>
      </c>
      <c r="I2900" t="s">
        <v>5920</v>
      </c>
      <c r="M2900" t="s">
        <v>1757</v>
      </c>
    </row>
    <row r="2901" spans="1:13" x14ac:dyDescent="0.45">
      <c r="A2901" t="s">
        <v>5921</v>
      </c>
      <c r="B2901">
        <v>2</v>
      </c>
      <c r="C2901" t="s">
        <v>1774</v>
      </c>
      <c r="G2901" s="3">
        <v>2514.5939177929931</v>
      </c>
      <c r="H2901" t="s">
        <v>1755</v>
      </c>
      <c r="I2901" t="s">
        <v>5921</v>
      </c>
      <c r="M2901" t="s">
        <v>1757</v>
      </c>
    </row>
    <row r="2902" spans="1:13" x14ac:dyDescent="0.45">
      <c r="A2902" t="s">
        <v>5922</v>
      </c>
      <c r="B2902">
        <v>2</v>
      </c>
      <c r="C2902" t="s">
        <v>1774</v>
      </c>
      <c r="H2902" t="s">
        <v>1755</v>
      </c>
      <c r="I2902" t="s">
        <v>5922</v>
      </c>
      <c r="M2902" t="s">
        <v>1757</v>
      </c>
    </row>
    <row r="2903" spans="1:13" x14ac:dyDescent="0.45">
      <c r="A2903" t="s">
        <v>5923</v>
      </c>
      <c r="B2903">
        <v>4</v>
      </c>
      <c r="C2903" t="s">
        <v>1774</v>
      </c>
      <c r="G2903" s="3">
        <v>208.4814397311863</v>
      </c>
      <c r="H2903" t="s">
        <v>1755</v>
      </c>
      <c r="I2903" t="s">
        <v>5923</v>
      </c>
      <c r="M2903" t="s">
        <v>1757</v>
      </c>
    </row>
    <row r="2904" spans="1:13" x14ac:dyDescent="0.45">
      <c r="A2904" t="s">
        <v>5924</v>
      </c>
      <c r="B2904">
        <v>2</v>
      </c>
      <c r="C2904" t="s">
        <v>1774</v>
      </c>
      <c r="G2904" s="3">
        <v>3809.3107979049319</v>
      </c>
      <c r="H2904" t="s">
        <v>1755</v>
      </c>
      <c r="I2904" t="s">
        <v>5924</v>
      </c>
      <c r="M2904" t="s">
        <v>1757</v>
      </c>
    </row>
    <row r="2905" spans="1:13" x14ac:dyDescent="0.45">
      <c r="A2905" t="s">
        <v>5925</v>
      </c>
      <c r="B2905">
        <v>2</v>
      </c>
      <c r="C2905" t="s">
        <v>1774</v>
      </c>
      <c r="G2905" s="3">
        <v>2652.2775710823389</v>
      </c>
      <c r="H2905" t="s">
        <v>1755</v>
      </c>
      <c r="I2905" t="s">
        <v>5925</v>
      </c>
      <c r="M2905" t="s">
        <v>1757</v>
      </c>
    </row>
    <row r="2906" spans="1:13" x14ac:dyDescent="0.45">
      <c r="A2906" t="s">
        <v>5926</v>
      </c>
      <c r="B2906">
        <v>3</v>
      </c>
      <c r="C2906" t="s">
        <v>1774</v>
      </c>
      <c r="G2906" s="3">
        <v>4872.6132048992868</v>
      </c>
      <c r="H2906" t="s">
        <v>1755</v>
      </c>
      <c r="I2906" t="s">
        <v>5926</v>
      </c>
      <c r="M2906" t="s">
        <v>1757</v>
      </c>
    </row>
    <row r="2907" spans="1:13" x14ac:dyDescent="0.45">
      <c r="A2907" t="s">
        <v>5927</v>
      </c>
      <c r="B2907">
        <v>2</v>
      </c>
      <c r="C2907" t="s">
        <v>1774</v>
      </c>
      <c r="G2907" s="3">
        <v>3556.5722208122279</v>
      </c>
      <c r="H2907" t="s">
        <v>1755</v>
      </c>
      <c r="I2907" t="s">
        <v>5927</v>
      </c>
      <c r="M2907" t="s">
        <v>1757</v>
      </c>
    </row>
    <row r="2908" spans="1:13" x14ac:dyDescent="0.45">
      <c r="A2908" t="s">
        <v>5928</v>
      </c>
      <c r="B2908">
        <v>3</v>
      </c>
      <c r="C2908" t="s">
        <v>1774</v>
      </c>
      <c r="G2908" s="3">
        <v>4127.8677320208753</v>
      </c>
      <c r="H2908" t="s">
        <v>1755</v>
      </c>
      <c r="I2908" t="s">
        <v>5928</v>
      </c>
      <c r="M2908" t="s">
        <v>1757</v>
      </c>
    </row>
    <row r="2909" spans="1:13" x14ac:dyDescent="0.45">
      <c r="A2909" t="s">
        <v>5929</v>
      </c>
      <c r="B2909">
        <v>2</v>
      </c>
      <c r="C2909" t="s">
        <v>1774</v>
      </c>
      <c r="G2909" s="3">
        <v>4040.4578227927882</v>
      </c>
      <c r="H2909" t="s">
        <v>1755</v>
      </c>
      <c r="I2909" t="s">
        <v>5929</v>
      </c>
      <c r="M2909" t="s">
        <v>1757</v>
      </c>
    </row>
    <row r="2910" spans="1:13" x14ac:dyDescent="0.45">
      <c r="A2910" t="s">
        <v>5930</v>
      </c>
      <c r="B2910">
        <v>2</v>
      </c>
      <c r="C2910" t="s">
        <v>1774</v>
      </c>
      <c r="G2910" s="3">
        <v>3010.6418910986108</v>
      </c>
      <c r="H2910" t="s">
        <v>1755</v>
      </c>
      <c r="I2910" t="s">
        <v>5930</v>
      </c>
      <c r="M2910" t="s">
        <v>1757</v>
      </c>
    </row>
    <row r="2911" spans="1:13" x14ac:dyDescent="0.45">
      <c r="A2911" t="s">
        <v>5931</v>
      </c>
      <c r="B2911">
        <v>2</v>
      </c>
      <c r="C2911" t="s">
        <v>1774</v>
      </c>
      <c r="G2911" s="3">
        <v>2686.8892858856402</v>
      </c>
      <c r="H2911" t="s">
        <v>1755</v>
      </c>
      <c r="I2911" t="s">
        <v>5931</v>
      </c>
      <c r="M2911" t="s">
        <v>1757</v>
      </c>
    </row>
    <row r="2912" spans="1:13" x14ac:dyDescent="0.45">
      <c r="A2912" t="s">
        <v>5932</v>
      </c>
      <c r="B2912">
        <v>2</v>
      </c>
      <c r="C2912" t="s">
        <v>1774</v>
      </c>
      <c r="G2912" s="3">
        <v>496.06428112450362</v>
      </c>
      <c r="H2912" t="s">
        <v>1755</v>
      </c>
      <c r="I2912" t="s">
        <v>5932</v>
      </c>
      <c r="M2912" t="s">
        <v>1757</v>
      </c>
    </row>
    <row r="2913" spans="1:13" x14ac:dyDescent="0.45">
      <c r="A2913" t="s">
        <v>5933</v>
      </c>
      <c r="B2913">
        <v>2</v>
      </c>
      <c r="C2913" t="s">
        <v>1774</v>
      </c>
      <c r="G2913" s="3">
        <v>2385.0967895843378</v>
      </c>
      <c r="H2913" t="s">
        <v>1755</v>
      </c>
      <c r="I2913" t="s">
        <v>5933</v>
      </c>
      <c r="M2913" t="s">
        <v>1757</v>
      </c>
    </row>
    <row r="2914" spans="1:13" x14ac:dyDescent="0.45">
      <c r="A2914" t="s">
        <v>5934</v>
      </c>
      <c r="B2914">
        <v>1</v>
      </c>
      <c r="C2914" t="s">
        <v>1774</v>
      </c>
      <c r="G2914" s="3">
        <v>3831.0001970230951</v>
      </c>
      <c r="H2914" t="s">
        <v>1755</v>
      </c>
      <c r="I2914" t="s">
        <v>5934</v>
      </c>
      <c r="M2914" t="s">
        <v>1757</v>
      </c>
    </row>
    <row r="2915" spans="1:13" x14ac:dyDescent="0.45">
      <c r="A2915" t="s">
        <v>5935</v>
      </c>
      <c r="B2915">
        <v>2</v>
      </c>
      <c r="C2915" t="s">
        <v>1774</v>
      </c>
      <c r="G2915" s="3">
        <v>2653.976845810244</v>
      </c>
      <c r="H2915" t="s">
        <v>1755</v>
      </c>
      <c r="I2915" t="s">
        <v>5935</v>
      </c>
      <c r="M2915" t="s">
        <v>1757</v>
      </c>
    </row>
    <row r="2916" spans="1:13" x14ac:dyDescent="0.45">
      <c r="A2916" t="s">
        <v>5936</v>
      </c>
      <c r="B2916">
        <v>3</v>
      </c>
      <c r="C2916" t="s">
        <v>1774</v>
      </c>
      <c r="G2916" s="3">
        <v>871.89101360372968</v>
      </c>
      <c r="H2916" t="s">
        <v>1755</v>
      </c>
      <c r="I2916" t="s">
        <v>5936</v>
      </c>
      <c r="M2916" t="s">
        <v>1757</v>
      </c>
    </row>
    <row r="2917" spans="1:13" x14ac:dyDescent="0.45">
      <c r="A2917" t="s">
        <v>5937</v>
      </c>
      <c r="B2917">
        <v>2</v>
      </c>
      <c r="C2917" t="s">
        <v>1774</v>
      </c>
      <c r="G2917" s="3">
        <v>3051.016789096167</v>
      </c>
      <c r="H2917" t="s">
        <v>1755</v>
      </c>
      <c r="I2917" t="s">
        <v>5937</v>
      </c>
      <c r="M2917" t="s">
        <v>1757</v>
      </c>
    </row>
    <row r="2918" spans="1:13" x14ac:dyDescent="0.45">
      <c r="A2918" t="s">
        <v>5938</v>
      </c>
      <c r="B2918">
        <v>2</v>
      </c>
      <c r="C2918" t="s">
        <v>1774</v>
      </c>
      <c r="H2918" t="s">
        <v>1755</v>
      </c>
      <c r="I2918" t="s">
        <v>5938</v>
      </c>
      <c r="M2918" t="s">
        <v>1757</v>
      </c>
    </row>
    <row r="2919" spans="1:13" x14ac:dyDescent="0.45">
      <c r="A2919" t="s">
        <v>5939</v>
      </c>
      <c r="B2919">
        <v>2</v>
      </c>
      <c r="C2919" t="s">
        <v>1774</v>
      </c>
      <c r="G2919" s="3">
        <v>2921.3109208057722</v>
      </c>
      <c r="H2919" t="s">
        <v>1755</v>
      </c>
      <c r="I2919" t="s">
        <v>5939</v>
      </c>
      <c r="M2919" t="s">
        <v>1757</v>
      </c>
    </row>
    <row r="2920" spans="1:13" x14ac:dyDescent="0.45">
      <c r="A2920" t="s">
        <v>5940</v>
      </c>
      <c r="B2920">
        <v>3</v>
      </c>
      <c r="C2920" t="s">
        <v>1774</v>
      </c>
      <c r="G2920" s="3">
        <v>4672.548882807836</v>
      </c>
      <c r="H2920" t="s">
        <v>1755</v>
      </c>
      <c r="I2920" t="s">
        <v>5940</v>
      </c>
      <c r="M2920" t="s">
        <v>1757</v>
      </c>
    </row>
    <row r="2921" spans="1:13" x14ac:dyDescent="0.45">
      <c r="A2921" t="s">
        <v>5941</v>
      </c>
      <c r="B2921">
        <v>2</v>
      </c>
      <c r="C2921" t="s">
        <v>1774</v>
      </c>
      <c r="G2921" s="3">
        <v>2878.206093926728</v>
      </c>
      <c r="H2921" t="s">
        <v>1755</v>
      </c>
      <c r="I2921" t="s">
        <v>5941</v>
      </c>
      <c r="M2921" t="s">
        <v>1757</v>
      </c>
    </row>
    <row r="2922" spans="1:13" x14ac:dyDescent="0.45">
      <c r="A2922" t="s">
        <v>5942</v>
      </c>
      <c r="B2922">
        <v>2</v>
      </c>
      <c r="C2922" t="s">
        <v>1774</v>
      </c>
      <c r="G2922" s="3">
        <v>2612.6821868275269</v>
      </c>
      <c r="H2922" t="s">
        <v>1755</v>
      </c>
      <c r="I2922" t="s">
        <v>5942</v>
      </c>
      <c r="M2922" t="s">
        <v>1757</v>
      </c>
    </row>
    <row r="2923" spans="1:13" x14ac:dyDescent="0.45">
      <c r="A2923" t="s">
        <v>5943</v>
      </c>
      <c r="B2923">
        <v>2</v>
      </c>
      <c r="C2923" t="s">
        <v>1774</v>
      </c>
      <c r="H2923" t="s">
        <v>1755</v>
      </c>
      <c r="I2923" t="s">
        <v>5943</v>
      </c>
      <c r="M2923" t="s">
        <v>1757</v>
      </c>
    </row>
    <row r="2924" spans="1:13" x14ac:dyDescent="0.45">
      <c r="A2924" t="s">
        <v>5944</v>
      </c>
      <c r="B2924">
        <v>2</v>
      </c>
      <c r="C2924" t="s">
        <v>1774</v>
      </c>
      <c r="G2924" s="3">
        <v>2663.2592563200619</v>
      </c>
      <c r="H2924" t="s">
        <v>1755</v>
      </c>
      <c r="I2924" t="s">
        <v>5944</v>
      </c>
      <c r="M2924" t="s">
        <v>1757</v>
      </c>
    </row>
    <row r="2925" spans="1:13" x14ac:dyDescent="0.45">
      <c r="A2925" t="s">
        <v>5945</v>
      </c>
      <c r="B2925">
        <v>1</v>
      </c>
      <c r="C2925" t="s">
        <v>1774</v>
      </c>
      <c r="G2925" s="3">
        <v>3448.810153614616</v>
      </c>
      <c r="H2925" t="s">
        <v>1755</v>
      </c>
      <c r="I2925" t="s">
        <v>5945</v>
      </c>
      <c r="M2925" t="s">
        <v>1757</v>
      </c>
    </row>
    <row r="2926" spans="1:13" x14ac:dyDescent="0.45">
      <c r="A2926" t="s">
        <v>5946</v>
      </c>
      <c r="B2926">
        <v>2</v>
      </c>
      <c r="C2926" t="s">
        <v>1774</v>
      </c>
      <c r="G2926" s="3">
        <v>1419.683696234109</v>
      </c>
      <c r="H2926" t="s">
        <v>1755</v>
      </c>
      <c r="I2926" t="s">
        <v>5946</v>
      </c>
      <c r="M2926" t="s">
        <v>1757</v>
      </c>
    </row>
    <row r="2927" spans="1:13" x14ac:dyDescent="0.45">
      <c r="A2927" t="s">
        <v>5947</v>
      </c>
      <c r="B2927">
        <v>2</v>
      </c>
      <c r="C2927" t="s">
        <v>1774</v>
      </c>
      <c r="G2927" s="3">
        <v>2835.0686514099111</v>
      </c>
      <c r="H2927" t="s">
        <v>1755</v>
      </c>
      <c r="I2927" t="s">
        <v>5947</v>
      </c>
      <c r="M2927" t="s">
        <v>1757</v>
      </c>
    </row>
    <row r="2928" spans="1:13" x14ac:dyDescent="0.45">
      <c r="A2928" t="s">
        <v>5948</v>
      </c>
      <c r="B2928">
        <v>2</v>
      </c>
      <c r="C2928" t="s">
        <v>1774</v>
      </c>
      <c r="G2928" s="3">
        <v>2222.5208815476499</v>
      </c>
      <c r="H2928" t="s">
        <v>1755</v>
      </c>
      <c r="I2928" t="s">
        <v>5948</v>
      </c>
      <c r="M2928" t="s">
        <v>1757</v>
      </c>
    </row>
    <row r="2929" spans="1:13" x14ac:dyDescent="0.45">
      <c r="A2929" t="s">
        <v>5949</v>
      </c>
      <c r="B2929">
        <v>2</v>
      </c>
      <c r="C2929" t="s">
        <v>1774</v>
      </c>
      <c r="G2929" s="3">
        <v>2874.7553594504839</v>
      </c>
      <c r="H2929" t="s">
        <v>1755</v>
      </c>
      <c r="I2929" t="s">
        <v>5949</v>
      </c>
      <c r="M2929" t="s">
        <v>1757</v>
      </c>
    </row>
    <row r="2930" spans="1:13" x14ac:dyDescent="0.45">
      <c r="A2930" t="s">
        <v>5950</v>
      </c>
      <c r="B2930">
        <v>3</v>
      </c>
      <c r="C2930" t="s">
        <v>1774</v>
      </c>
      <c r="G2930" s="3">
        <v>3453.0828021627049</v>
      </c>
      <c r="H2930" t="s">
        <v>1755</v>
      </c>
      <c r="I2930" t="s">
        <v>5950</v>
      </c>
      <c r="M2930" t="s">
        <v>1757</v>
      </c>
    </row>
    <row r="2931" spans="1:13" x14ac:dyDescent="0.45">
      <c r="A2931" t="s">
        <v>5951</v>
      </c>
      <c r="B2931">
        <v>2</v>
      </c>
      <c r="C2931" t="s">
        <v>1774</v>
      </c>
      <c r="G2931" s="3">
        <v>1374.364267550367</v>
      </c>
      <c r="H2931" t="s">
        <v>1755</v>
      </c>
      <c r="I2931" t="s">
        <v>5951</v>
      </c>
      <c r="M2931" t="s">
        <v>1757</v>
      </c>
    </row>
    <row r="2932" spans="1:13" x14ac:dyDescent="0.45">
      <c r="A2932" t="s">
        <v>5952</v>
      </c>
      <c r="B2932">
        <v>2</v>
      </c>
      <c r="C2932" t="s">
        <v>1774</v>
      </c>
      <c r="G2932" s="3">
        <v>729.79772608765336</v>
      </c>
      <c r="H2932" t="s">
        <v>1755</v>
      </c>
      <c r="I2932" t="s">
        <v>5952</v>
      </c>
      <c r="M2932" t="s">
        <v>1757</v>
      </c>
    </row>
    <row r="2933" spans="1:13" x14ac:dyDescent="0.45">
      <c r="A2933" t="s">
        <v>5953</v>
      </c>
      <c r="B2933">
        <v>2</v>
      </c>
      <c r="C2933" t="s">
        <v>1774</v>
      </c>
      <c r="H2933" t="s">
        <v>1755</v>
      </c>
      <c r="I2933" t="s">
        <v>5953</v>
      </c>
      <c r="M2933" t="s">
        <v>1757</v>
      </c>
    </row>
    <row r="2934" spans="1:13" x14ac:dyDescent="0.45">
      <c r="A2934" t="s">
        <v>5954</v>
      </c>
      <c r="B2934">
        <v>3</v>
      </c>
      <c r="C2934" t="s">
        <v>1774</v>
      </c>
      <c r="G2934" s="3">
        <v>578.45464369953015</v>
      </c>
      <c r="H2934" t="s">
        <v>1755</v>
      </c>
      <c r="I2934" t="s">
        <v>5954</v>
      </c>
      <c r="M2934" t="s">
        <v>1757</v>
      </c>
    </row>
    <row r="2935" spans="1:13" x14ac:dyDescent="0.45">
      <c r="A2935" t="s">
        <v>5955</v>
      </c>
      <c r="B2935">
        <v>3</v>
      </c>
      <c r="C2935" t="s">
        <v>1774</v>
      </c>
      <c r="G2935" s="3">
        <v>2415.3086548522401</v>
      </c>
      <c r="H2935" t="s">
        <v>1755</v>
      </c>
      <c r="I2935" t="s">
        <v>5955</v>
      </c>
      <c r="M2935" t="s">
        <v>1757</v>
      </c>
    </row>
    <row r="2936" spans="1:13" x14ac:dyDescent="0.45">
      <c r="A2936" t="s">
        <v>5956</v>
      </c>
      <c r="B2936">
        <v>1</v>
      </c>
      <c r="C2936" t="s">
        <v>1774</v>
      </c>
      <c r="G2936" s="3">
        <v>1591.3691519004251</v>
      </c>
      <c r="H2936" t="s">
        <v>1755</v>
      </c>
      <c r="I2936" t="s">
        <v>5956</v>
      </c>
      <c r="M2936" t="s">
        <v>1757</v>
      </c>
    </row>
    <row r="2937" spans="1:13" x14ac:dyDescent="0.45">
      <c r="A2937" t="s">
        <v>5957</v>
      </c>
      <c r="B2937">
        <v>1</v>
      </c>
      <c r="C2937" t="s">
        <v>1774</v>
      </c>
      <c r="G2937" s="3">
        <v>7517.937122008706</v>
      </c>
      <c r="H2937" t="s">
        <v>1755</v>
      </c>
      <c r="I2937" t="s">
        <v>5957</v>
      </c>
      <c r="M2937" t="s">
        <v>1757</v>
      </c>
    </row>
    <row r="2938" spans="1:13" x14ac:dyDescent="0.45">
      <c r="A2938" t="s">
        <v>5958</v>
      </c>
      <c r="B2938">
        <v>2</v>
      </c>
      <c r="C2938" t="s">
        <v>1774</v>
      </c>
      <c r="G2938" s="3">
        <v>2759.1851085703338</v>
      </c>
      <c r="H2938" t="s">
        <v>1755</v>
      </c>
      <c r="I2938" t="s">
        <v>5958</v>
      </c>
      <c r="M2938" t="s">
        <v>1757</v>
      </c>
    </row>
    <row r="2939" spans="1:13" x14ac:dyDescent="0.45">
      <c r="A2939" t="s">
        <v>5959</v>
      </c>
      <c r="B2939">
        <v>3</v>
      </c>
      <c r="C2939" t="s">
        <v>1774</v>
      </c>
      <c r="G2939" s="3">
        <v>3149.235520681787</v>
      </c>
      <c r="H2939" t="s">
        <v>1755</v>
      </c>
      <c r="I2939" t="s">
        <v>5959</v>
      </c>
      <c r="M2939" t="s">
        <v>1757</v>
      </c>
    </row>
    <row r="2940" spans="1:13" x14ac:dyDescent="0.45">
      <c r="A2940" t="s">
        <v>5960</v>
      </c>
      <c r="B2940">
        <v>4</v>
      </c>
      <c r="C2940" t="s">
        <v>1774</v>
      </c>
      <c r="G2940" s="3">
        <v>2039.5830308501061</v>
      </c>
      <c r="H2940" t="s">
        <v>1755</v>
      </c>
      <c r="I2940" t="s">
        <v>5960</v>
      </c>
      <c r="M2940" t="s">
        <v>1757</v>
      </c>
    </row>
    <row r="2941" spans="1:13" x14ac:dyDescent="0.45">
      <c r="A2941" t="s">
        <v>5961</v>
      </c>
      <c r="B2941">
        <v>3</v>
      </c>
      <c r="C2941" t="s">
        <v>1774</v>
      </c>
      <c r="G2941" s="3">
        <v>2740.590933476702</v>
      </c>
      <c r="H2941" t="s">
        <v>1755</v>
      </c>
      <c r="I2941" t="s">
        <v>5961</v>
      </c>
      <c r="M2941" t="s">
        <v>1757</v>
      </c>
    </row>
    <row r="2942" spans="1:13" x14ac:dyDescent="0.45">
      <c r="A2942" t="s">
        <v>5962</v>
      </c>
      <c r="B2942">
        <v>2</v>
      </c>
      <c r="C2942" t="s">
        <v>1774</v>
      </c>
      <c r="G2942" s="3">
        <v>2650.0988464791922</v>
      </c>
      <c r="H2942" t="s">
        <v>1755</v>
      </c>
      <c r="I2942" t="s">
        <v>5962</v>
      </c>
      <c r="M2942" t="s">
        <v>1757</v>
      </c>
    </row>
    <row r="2943" spans="1:13" x14ac:dyDescent="0.45">
      <c r="A2943" t="s">
        <v>5963</v>
      </c>
      <c r="B2943">
        <v>2</v>
      </c>
      <c r="C2943" t="s">
        <v>1774</v>
      </c>
      <c r="G2943" s="3">
        <v>3473.8263477854898</v>
      </c>
      <c r="H2943" t="s">
        <v>1755</v>
      </c>
      <c r="I2943" t="s">
        <v>5963</v>
      </c>
      <c r="M2943" t="s">
        <v>1757</v>
      </c>
    </row>
    <row r="2944" spans="1:13" x14ac:dyDescent="0.45">
      <c r="A2944" t="s">
        <v>5964</v>
      </c>
      <c r="B2944">
        <v>2</v>
      </c>
      <c r="C2944" t="s">
        <v>1774</v>
      </c>
      <c r="G2944" s="3">
        <v>1187.3070618022609</v>
      </c>
      <c r="H2944" t="s">
        <v>1755</v>
      </c>
      <c r="I2944" t="s">
        <v>5964</v>
      </c>
      <c r="M2944" t="s">
        <v>1757</v>
      </c>
    </row>
    <row r="2945" spans="1:13" x14ac:dyDescent="0.45">
      <c r="A2945" t="s">
        <v>5965</v>
      </c>
      <c r="B2945">
        <v>2</v>
      </c>
      <c r="C2945" t="s">
        <v>1774</v>
      </c>
      <c r="G2945" s="3">
        <v>1103.60881215259</v>
      </c>
      <c r="H2945" t="s">
        <v>1755</v>
      </c>
      <c r="I2945" t="s">
        <v>5965</v>
      </c>
      <c r="M2945" t="s">
        <v>1757</v>
      </c>
    </row>
    <row r="2946" spans="1:13" x14ac:dyDescent="0.45">
      <c r="A2946" t="s">
        <v>5966</v>
      </c>
      <c r="B2946">
        <v>1</v>
      </c>
      <c r="C2946" t="s">
        <v>1774</v>
      </c>
      <c r="G2946" s="3">
        <v>289.57206914101158</v>
      </c>
      <c r="H2946" t="s">
        <v>1755</v>
      </c>
      <c r="I2946" t="s">
        <v>5966</v>
      </c>
      <c r="M2946" t="s">
        <v>1757</v>
      </c>
    </row>
    <row r="2947" spans="1:13" x14ac:dyDescent="0.45">
      <c r="A2947" t="s">
        <v>5967</v>
      </c>
      <c r="B2947">
        <v>1</v>
      </c>
      <c r="C2947" t="s">
        <v>1774</v>
      </c>
      <c r="G2947" s="3">
        <v>222.35058738083541</v>
      </c>
      <c r="H2947" t="s">
        <v>1755</v>
      </c>
      <c r="I2947" t="s">
        <v>5967</v>
      </c>
      <c r="M2947" t="s">
        <v>1757</v>
      </c>
    </row>
    <row r="2948" spans="1:13" x14ac:dyDescent="0.45">
      <c r="A2948" t="s">
        <v>5968</v>
      </c>
      <c r="B2948">
        <v>1</v>
      </c>
      <c r="C2948" t="s">
        <v>1774</v>
      </c>
      <c r="G2948" s="3">
        <v>3565.150133546178</v>
      </c>
      <c r="H2948" t="s">
        <v>1755</v>
      </c>
      <c r="I2948" t="s">
        <v>5968</v>
      </c>
      <c r="M2948" t="s">
        <v>1757</v>
      </c>
    </row>
    <row r="2949" spans="1:13" x14ac:dyDescent="0.45">
      <c r="A2949" t="s">
        <v>5969</v>
      </c>
      <c r="B2949">
        <v>1</v>
      </c>
      <c r="C2949" t="s">
        <v>1774</v>
      </c>
      <c r="G2949" s="3">
        <v>481.16871935417993</v>
      </c>
      <c r="H2949" t="s">
        <v>1755</v>
      </c>
      <c r="I2949" t="s">
        <v>5969</v>
      </c>
      <c r="M2949" t="s">
        <v>1757</v>
      </c>
    </row>
    <row r="2950" spans="1:13" x14ac:dyDescent="0.45">
      <c r="A2950" t="s">
        <v>5970</v>
      </c>
      <c r="B2950">
        <v>4</v>
      </c>
      <c r="C2950" t="s">
        <v>1774</v>
      </c>
      <c r="G2950" s="3">
        <v>501.22407501998242</v>
      </c>
      <c r="H2950" t="s">
        <v>1755</v>
      </c>
      <c r="I2950" t="s">
        <v>5970</v>
      </c>
      <c r="M2950" t="s">
        <v>1757</v>
      </c>
    </row>
    <row r="2951" spans="1:13" x14ac:dyDescent="0.45">
      <c r="A2951" t="s">
        <v>5971</v>
      </c>
      <c r="B2951">
        <v>1</v>
      </c>
      <c r="C2951" t="s">
        <v>1774</v>
      </c>
      <c r="G2951" s="3">
        <v>3542.8410373103529</v>
      </c>
      <c r="H2951" t="s">
        <v>1755</v>
      </c>
      <c r="I2951" t="s">
        <v>5971</v>
      </c>
      <c r="M2951" t="s">
        <v>1757</v>
      </c>
    </row>
    <row r="2952" spans="1:13" x14ac:dyDescent="0.45">
      <c r="A2952" t="s">
        <v>5972</v>
      </c>
      <c r="B2952">
        <v>1</v>
      </c>
      <c r="C2952" t="s">
        <v>1774</v>
      </c>
      <c r="G2952" s="3">
        <v>2764.292717445378</v>
      </c>
      <c r="H2952" t="s">
        <v>1755</v>
      </c>
      <c r="I2952" t="s">
        <v>5972</v>
      </c>
      <c r="M2952" t="s">
        <v>1757</v>
      </c>
    </row>
    <row r="2953" spans="1:13" x14ac:dyDescent="0.45">
      <c r="A2953" t="s">
        <v>5973</v>
      </c>
      <c r="B2953">
        <v>2</v>
      </c>
      <c r="C2953" t="s">
        <v>1774</v>
      </c>
      <c r="G2953" s="3">
        <v>1348.526159307647</v>
      </c>
      <c r="H2953" t="s">
        <v>1755</v>
      </c>
      <c r="I2953" t="s">
        <v>5973</v>
      </c>
      <c r="M2953" t="s">
        <v>1757</v>
      </c>
    </row>
    <row r="2954" spans="1:13" x14ac:dyDescent="0.45">
      <c r="A2954" t="s">
        <v>5974</v>
      </c>
      <c r="B2954">
        <v>2</v>
      </c>
      <c r="C2954" t="s">
        <v>1774</v>
      </c>
      <c r="G2954" s="3">
        <v>1730.21718345822</v>
      </c>
      <c r="H2954" t="s">
        <v>1755</v>
      </c>
      <c r="I2954" t="s">
        <v>5974</v>
      </c>
      <c r="M2954" t="s">
        <v>1757</v>
      </c>
    </row>
    <row r="2955" spans="1:13" x14ac:dyDescent="0.45">
      <c r="A2955" t="s">
        <v>5975</v>
      </c>
      <c r="B2955">
        <v>3</v>
      </c>
      <c r="C2955" t="s">
        <v>1774</v>
      </c>
      <c r="G2955" s="3">
        <v>2253.150226979029</v>
      </c>
      <c r="H2955" t="s">
        <v>1755</v>
      </c>
      <c r="I2955" t="s">
        <v>5975</v>
      </c>
      <c r="M2955" t="s">
        <v>1757</v>
      </c>
    </row>
    <row r="2956" spans="1:13" x14ac:dyDescent="0.45">
      <c r="A2956" t="s">
        <v>5976</v>
      </c>
      <c r="B2956">
        <v>2</v>
      </c>
      <c r="C2956" t="s">
        <v>1774</v>
      </c>
      <c r="G2956" s="3">
        <v>3176.7272417595309</v>
      </c>
      <c r="H2956" t="s">
        <v>1755</v>
      </c>
      <c r="I2956" t="s">
        <v>5976</v>
      </c>
      <c r="M2956" t="s">
        <v>1757</v>
      </c>
    </row>
    <row r="2957" spans="1:13" x14ac:dyDescent="0.45">
      <c r="A2957" t="s">
        <v>5977</v>
      </c>
      <c r="B2957">
        <v>2</v>
      </c>
      <c r="C2957" t="s">
        <v>1774</v>
      </c>
      <c r="G2957" s="3">
        <v>3269.815533523667</v>
      </c>
      <c r="H2957" t="s">
        <v>1755</v>
      </c>
      <c r="I2957" t="s">
        <v>5977</v>
      </c>
      <c r="M2957" t="s">
        <v>1757</v>
      </c>
    </row>
    <row r="2958" spans="1:13" x14ac:dyDescent="0.45">
      <c r="A2958" t="s">
        <v>5978</v>
      </c>
      <c r="B2958">
        <v>2</v>
      </c>
      <c r="C2958" t="s">
        <v>1774</v>
      </c>
      <c r="G2958" s="3">
        <v>3298.6151416760549</v>
      </c>
      <c r="H2958" t="s">
        <v>1755</v>
      </c>
      <c r="I2958" t="s">
        <v>5978</v>
      </c>
      <c r="M2958" t="s">
        <v>1757</v>
      </c>
    </row>
    <row r="2959" spans="1:13" x14ac:dyDescent="0.45">
      <c r="A2959" t="s">
        <v>5979</v>
      </c>
      <c r="B2959">
        <v>3</v>
      </c>
      <c r="C2959" t="s">
        <v>1774</v>
      </c>
      <c r="G2959" s="3">
        <v>130.6566141314388</v>
      </c>
      <c r="H2959" t="s">
        <v>1755</v>
      </c>
      <c r="I2959" t="s">
        <v>5979</v>
      </c>
      <c r="M2959" t="s">
        <v>1757</v>
      </c>
    </row>
    <row r="2960" spans="1:13" x14ac:dyDescent="0.45">
      <c r="A2960" t="s">
        <v>5980</v>
      </c>
      <c r="B2960">
        <v>1</v>
      </c>
      <c r="C2960" t="s">
        <v>1774</v>
      </c>
      <c r="G2960" s="3">
        <v>1136.8441470419259</v>
      </c>
      <c r="H2960" t="s">
        <v>1755</v>
      </c>
      <c r="I2960" t="s">
        <v>5980</v>
      </c>
      <c r="M2960" t="s">
        <v>1757</v>
      </c>
    </row>
    <row r="2961" spans="1:13" x14ac:dyDescent="0.45">
      <c r="A2961" t="s">
        <v>5981</v>
      </c>
      <c r="B2961">
        <v>1</v>
      </c>
      <c r="C2961" t="s">
        <v>1774</v>
      </c>
      <c r="G2961" s="3">
        <v>2357.441990317735</v>
      </c>
      <c r="H2961" t="s">
        <v>1755</v>
      </c>
      <c r="I2961" t="s">
        <v>5981</v>
      </c>
      <c r="M2961" t="s">
        <v>1757</v>
      </c>
    </row>
    <row r="2962" spans="1:13" x14ac:dyDescent="0.45">
      <c r="A2962" t="s">
        <v>5982</v>
      </c>
      <c r="B2962">
        <v>1</v>
      </c>
      <c r="C2962" t="s">
        <v>1774</v>
      </c>
      <c r="G2962" s="3">
        <v>2474.7213006171219</v>
      </c>
      <c r="H2962" t="s">
        <v>1755</v>
      </c>
      <c r="I2962" t="s">
        <v>5982</v>
      </c>
      <c r="M2962" t="s">
        <v>1757</v>
      </c>
    </row>
    <row r="2963" spans="1:13" x14ac:dyDescent="0.45">
      <c r="A2963" t="s">
        <v>5983</v>
      </c>
      <c r="B2963">
        <v>2</v>
      </c>
      <c r="C2963" t="s">
        <v>1774</v>
      </c>
      <c r="G2963" s="3">
        <v>2278.6784866629191</v>
      </c>
      <c r="H2963" t="s">
        <v>1755</v>
      </c>
      <c r="I2963" t="s">
        <v>5983</v>
      </c>
      <c r="M2963" t="s">
        <v>1757</v>
      </c>
    </row>
    <row r="2964" spans="1:13" x14ac:dyDescent="0.45">
      <c r="A2964" t="s">
        <v>5984</v>
      </c>
      <c r="B2964">
        <v>1</v>
      </c>
      <c r="C2964" t="s">
        <v>1774</v>
      </c>
      <c r="G2964" s="3">
        <v>2109.080431813989</v>
      </c>
      <c r="H2964" t="s">
        <v>1755</v>
      </c>
      <c r="I2964" t="s">
        <v>5984</v>
      </c>
      <c r="M2964" t="s">
        <v>1757</v>
      </c>
    </row>
    <row r="2965" spans="1:13" x14ac:dyDescent="0.45">
      <c r="A2965" t="s">
        <v>5985</v>
      </c>
      <c r="B2965">
        <v>1</v>
      </c>
      <c r="C2965" t="s">
        <v>1774</v>
      </c>
      <c r="G2965" s="3">
        <v>2751.765050977278</v>
      </c>
      <c r="H2965" t="s">
        <v>1755</v>
      </c>
      <c r="I2965" t="s">
        <v>5985</v>
      </c>
      <c r="M2965" t="s">
        <v>1757</v>
      </c>
    </row>
    <row r="2966" spans="1:13" x14ac:dyDescent="0.45">
      <c r="A2966" t="s">
        <v>5986</v>
      </c>
      <c r="B2966">
        <v>1</v>
      </c>
      <c r="C2966" t="s">
        <v>1774</v>
      </c>
      <c r="G2966" s="3">
        <v>3319.619612401013</v>
      </c>
      <c r="H2966" t="s">
        <v>1755</v>
      </c>
      <c r="I2966" t="s">
        <v>5986</v>
      </c>
      <c r="M2966" t="s">
        <v>1757</v>
      </c>
    </row>
    <row r="2967" spans="1:13" x14ac:dyDescent="0.45">
      <c r="A2967" t="s">
        <v>5987</v>
      </c>
      <c r="B2967">
        <v>1</v>
      </c>
      <c r="C2967" t="s">
        <v>1774</v>
      </c>
      <c r="G2967" s="3">
        <v>2238.3590352495748</v>
      </c>
      <c r="H2967" t="s">
        <v>1755</v>
      </c>
      <c r="I2967" t="s">
        <v>5987</v>
      </c>
      <c r="M2967" t="s">
        <v>1757</v>
      </c>
    </row>
    <row r="2968" spans="1:13" x14ac:dyDescent="0.45">
      <c r="A2968" t="s">
        <v>5988</v>
      </c>
      <c r="B2968">
        <v>1</v>
      </c>
      <c r="C2968" t="s">
        <v>1774</v>
      </c>
      <c r="G2968" s="3">
        <v>3280.611309626091</v>
      </c>
      <c r="H2968" t="s">
        <v>1755</v>
      </c>
      <c r="I2968" t="s">
        <v>5988</v>
      </c>
      <c r="M2968" t="s">
        <v>1757</v>
      </c>
    </row>
    <row r="2969" spans="1:13" x14ac:dyDescent="0.45">
      <c r="A2969" t="s">
        <v>5989</v>
      </c>
      <c r="B2969">
        <v>2</v>
      </c>
      <c r="C2969" t="s">
        <v>1774</v>
      </c>
      <c r="G2969" s="3">
        <v>2992.4097495842452</v>
      </c>
      <c r="H2969" t="s">
        <v>1755</v>
      </c>
      <c r="I2969" t="s">
        <v>5989</v>
      </c>
      <c r="M2969" t="s">
        <v>1757</v>
      </c>
    </row>
    <row r="2970" spans="1:13" x14ac:dyDescent="0.45">
      <c r="A2970" t="s">
        <v>5990</v>
      </c>
      <c r="B2970">
        <v>3</v>
      </c>
      <c r="C2970" t="s">
        <v>1774</v>
      </c>
      <c r="G2970" s="3">
        <v>1586.9008095257061</v>
      </c>
      <c r="H2970" t="s">
        <v>1755</v>
      </c>
      <c r="I2970" t="s">
        <v>5990</v>
      </c>
      <c r="M2970" t="s">
        <v>1757</v>
      </c>
    </row>
    <row r="2971" spans="1:13" x14ac:dyDescent="0.45">
      <c r="A2971" t="s">
        <v>5991</v>
      </c>
      <c r="B2971">
        <v>2</v>
      </c>
      <c r="C2971" t="s">
        <v>1774</v>
      </c>
      <c r="G2971" s="3">
        <v>2765.8810990048578</v>
      </c>
      <c r="H2971" t="s">
        <v>1755</v>
      </c>
      <c r="I2971" t="s">
        <v>5991</v>
      </c>
      <c r="M2971" t="s">
        <v>1757</v>
      </c>
    </row>
    <row r="2972" spans="1:13" x14ac:dyDescent="0.45">
      <c r="A2972" t="s">
        <v>5992</v>
      </c>
      <c r="B2972">
        <v>1</v>
      </c>
      <c r="C2972" t="s">
        <v>1774</v>
      </c>
      <c r="G2972" s="3">
        <v>6126.2278582913614</v>
      </c>
      <c r="H2972" t="s">
        <v>1755</v>
      </c>
      <c r="I2972" t="s">
        <v>5992</v>
      </c>
      <c r="M2972" t="s">
        <v>1757</v>
      </c>
    </row>
    <row r="2973" spans="1:13" x14ac:dyDescent="0.45">
      <c r="A2973" t="s">
        <v>5993</v>
      </c>
      <c r="B2973">
        <v>1</v>
      </c>
      <c r="C2973" t="s">
        <v>1774</v>
      </c>
      <c r="G2973" s="3">
        <v>3987.3921801382739</v>
      </c>
      <c r="H2973" t="s">
        <v>1755</v>
      </c>
      <c r="I2973" t="s">
        <v>5993</v>
      </c>
      <c r="M2973" t="s">
        <v>1757</v>
      </c>
    </row>
    <row r="2974" spans="1:13" x14ac:dyDescent="0.45">
      <c r="A2974" t="s">
        <v>5994</v>
      </c>
      <c r="B2974">
        <v>1</v>
      </c>
      <c r="C2974" t="s">
        <v>1774</v>
      </c>
      <c r="G2974" s="3">
        <v>4627.4088401318386</v>
      </c>
      <c r="H2974" t="s">
        <v>1755</v>
      </c>
      <c r="I2974" t="s">
        <v>5994</v>
      </c>
      <c r="M2974" t="s">
        <v>1757</v>
      </c>
    </row>
    <row r="2975" spans="1:13" x14ac:dyDescent="0.45">
      <c r="A2975" t="s">
        <v>5995</v>
      </c>
      <c r="B2975">
        <v>2</v>
      </c>
      <c r="C2975" t="s">
        <v>1774</v>
      </c>
      <c r="G2975" s="3">
        <v>1920.6272767692551</v>
      </c>
      <c r="H2975" t="s">
        <v>1755</v>
      </c>
      <c r="I2975" t="s">
        <v>5995</v>
      </c>
      <c r="M2975" t="s">
        <v>1757</v>
      </c>
    </row>
    <row r="2976" spans="1:13" x14ac:dyDescent="0.45">
      <c r="A2976" t="s">
        <v>5996</v>
      </c>
      <c r="B2976">
        <v>1</v>
      </c>
      <c r="C2976" t="s">
        <v>1774</v>
      </c>
      <c r="H2976" t="s">
        <v>1755</v>
      </c>
      <c r="I2976" t="s">
        <v>5996</v>
      </c>
      <c r="M2976" t="s">
        <v>1757</v>
      </c>
    </row>
    <row r="2977" spans="1:13" x14ac:dyDescent="0.45">
      <c r="A2977" t="s">
        <v>5997</v>
      </c>
      <c r="B2977">
        <v>1</v>
      </c>
      <c r="C2977" t="s">
        <v>1774</v>
      </c>
      <c r="H2977" t="s">
        <v>1755</v>
      </c>
      <c r="I2977" t="s">
        <v>5997</v>
      </c>
      <c r="M2977" t="s">
        <v>1757</v>
      </c>
    </row>
    <row r="2978" spans="1:13" x14ac:dyDescent="0.45">
      <c r="A2978" t="s">
        <v>5998</v>
      </c>
      <c r="B2978">
        <v>1</v>
      </c>
      <c r="C2978" t="s">
        <v>1774</v>
      </c>
      <c r="G2978" s="3">
        <v>2469.1603343770512</v>
      </c>
      <c r="H2978" t="s">
        <v>1755</v>
      </c>
      <c r="I2978" t="s">
        <v>5998</v>
      </c>
      <c r="M2978" t="s">
        <v>1757</v>
      </c>
    </row>
    <row r="2979" spans="1:13" x14ac:dyDescent="0.45">
      <c r="A2979" t="s">
        <v>5999</v>
      </c>
      <c r="B2979">
        <v>1</v>
      </c>
      <c r="C2979" t="s">
        <v>1774</v>
      </c>
      <c r="G2979" s="3">
        <v>3874.7377672749112</v>
      </c>
      <c r="H2979" t="s">
        <v>1755</v>
      </c>
      <c r="I2979" t="s">
        <v>5999</v>
      </c>
      <c r="M2979" t="s">
        <v>1757</v>
      </c>
    </row>
    <row r="2980" spans="1:13" x14ac:dyDescent="0.45">
      <c r="A2980" t="s">
        <v>6000</v>
      </c>
      <c r="B2980">
        <v>1</v>
      </c>
      <c r="C2980" t="s">
        <v>1774</v>
      </c>
      <c r="G2980" s="3">
        <v>981.82854384071231</v>
      </c>
      <c r="H2980" t="s">
        <v>1755</v>
      </c>
      <c r="I2980" t="s">
        <v>6000</v>
      </c>
      <c r="M2980" t="s">
        <v>1757</v>
      </c>
    </row>
    <row r="2981" spans="1:13" x14ac:dyDescent="0.45">
      <c r="A2981" t="s">
        <v>6001</v>
      </c>
      <c r="B2981">
        <v>1</v>
      </c>
      <c r="C2981" t="s">
        <v>1774</v>
      </c>
      <c r="G2981" s="3">
        <v>874.10887697220357</v>
      </c>
      <c r="H2981" t="s">
        <v>1755</v>
      </c>
      <c r="I2981" t="s">
        <v>6001</v>
      </c>
      <c r="M2981" t="s">
        <v>1757</v>
      </c>
    </row>
    <row r="2982" spans="1:13" x14ac:dyDescent="0.45">
      <c r="A2982" t="s">
        <v>6002</v>
      </c>
      <c r="B2982">
        <v>1</v>
      </c>
      <c r="C2982" t="s">
        <v>1774</v>
      </c>
      <c r="G2982" s="3">
        <v>1193.6181877110801</v>
      </c>
      <c r="H2982" t="s">
        <v>1755</v>
      </c>
      <c r="I2982" t="s">
        <v>6002</v>
      </c>
      <c r="M2982" t="s">
        <v>1757</v>
      </c>
    </row>
    <row r="2983" spans="1:13" x14ac:dyDescent="0.45">
      <c r="A2983" t="s">
        <v>6003</v>
      </c>
      <c r="B2983">
        <v>1</v>
      </c>
      <c r="C2983" t="s">
        <v>1774</v>
      </c>
      <c r="G2983" s="3">
        <v>2616.6580330718939</v>
      </c>
      <c r="H2983" t="s">
        <v>1755</v>
      </c>
      <c r="I2983" t="s">
        <v>6003</v>
      </c>
      <c r="M2983" t="s">
        <v>1757</v>
      </c>
    </row>
    <row r="2984" spans="1:13" x14ac:dyDescent="0.45">
      <c r="A2984" t="s">
        <v>6004</v>
      </c>
      <c r="B2984">
        <v>5</v>
      </c>
      <c r="C2984" t="s">
        <v>1774</v>
      </c>
      <c r="G2984" s="3">
        <v>118.8500794144704</v>
      </c>
      <c r="H2984" t="s">
        <v>1755</v>
      </c>
      <c r="I2984" t="s">
        <v>6004</v>
      </c>
      <c r="M2984" t="s">
        <v>1757</v>
      </c>
    </row>
    <row r="2985" spans="1:13" x14ac:dyDescent="0.45">
      <c r="A2985" t="s">
        <v>6005</v>
      </c>
      <c r="B2985">
        <v>3</v>
      </c>
      <c r="C2985" t="s">
        <v>1774</v>
      </c>
      <c r="G2985" s="3">
        <v>414.87417401947471</v>
      </c>
      <c r="H2985" t="s">
        <v>1755</v>
      </c>
      <c r="I2985" t="s">
        <v>6005</v>
      </c>
      <c r="M2985" t="s">
        <v>1757</v>
      </c>
    </row>
    <row r="2986" spans="1:13" x14ac:dyDescent="0.45">
      <c r="A2986" t="s">
        <v>6006</v>
      </c>
      <c r="B2986">
        <v>3</v>
      </c>
      <c r="C2986" t="s">
        <v>1774</v>
      </c>
      <c r="G2986" s="3">
        <v>314.21579272853342</v>
      </c>
      <c r="H2986" t="s">
        <v>1755</v>
      </c>
      <c r="I2986" t="s">
        <v>6006</v>
      </c>
      <c r="M2986" t="s">
        <v>1757</v>
      </c>
    </row>
    <row r="2987" spans="1:13" x14ac:dyDescent="0.45">
      <c r="A2987" t="s">
        <v>6007</v>
      </c>
      <c r="B2987">
        <v>1</v>
      </c>
      <c r="C2987" t="s">
        <v>1774</v>
      </c>
      <c r="G2987" s="3">
        <v>874.23281639573599</v>
      </c>
      <c r="H2987" t="s">
        <v>1755</v>
      </c>
      <c r="I2987" t="s">
        <v>6007</v>
      </c>
      <c r="M2987" t="s">
        <v>1757</v>
      </c>
    </row>
    <row r="2988" spans="1:13" x14ac:dyDescent="0.45">
      <c r="A2988" t="s">
        <v>6008</v>
      </c>
      <c r="B2988">
        <v>2</v>
      </c>
      <c r="C2988" t="s">
        <v>1774</v>
      </c>
      <c r="G2988" s="3">
        <v>789.1320943218833</v>
      </c>
      <c r="H2988" t="s">
        <v>1755</v>
      </c>
      <c r="I2988" t="s">
        <v>6008</v>
      </c>
      <c r="M2988" t="s">
        <v>1757</v>
      </c>
    </row>
    <row r="2989" spans="1:13" x14ac:dyDescent="0.45">
      <c r="A2989" t="s">
        <v>6009</v>
      </c>
      <c r="B2989">
        <v>1</v>
      </c>
      <c r="C2989" t="s">
        <v>1774</v>
      </c>
      <c r="G2989" s="3">
        <v>1245.7510231253241</v>
      </c>
      <c r="H2989" t="s">
        <v>1755</v>
      </c>
      <c r="I2989" t="s">
        <v>6009</v>
      </c>
      <c r="M2989" t="s">
        <v>1757</v>
      </c>
    </row>
    <row r="2990" spans="1:13" x14ac:dyDescent="0.45">
      <c r="A2990" t="s">
        <v>6010</v>
      </c>
      <c r="B2990">
        <v>3</v>
      </c>
      <c r="C2990" t="s">
        <v>1774</v>
      </c>
      <c r="G2990" s="3">
        <v>1487.2143742403609</v>
      </c>
      <c r="H2990" t="s">
        <v>1755</v>
      </c>
      <c r="I2990" t="s">
        <v>6010</v>
      </c>
      <c r="M2990" t="s">
        <v>1757</v>
      </c>
    </row>
    <row r="2991" spans="1:13" x14ac:dyDescent="0.45">
      <c r="A2991" t="s">
        <v>6011</v>
      </c>
      <c r="B2991">
        <v>1</v>
      </c>
      <c r="C2991" t="s">
        <v>1774</v>
      </c>
      <c r="G2991" s="3">
        <v>1799.492798085256</v>
      </c>
      <c r="H2991" t="s">
        <v>1755</v>
      </c>
      <c r="I2991" t="s">
        <v>6011</v>
      </c>
      <c r="M2991" t="s">
        <v>1757</v>
      </c>
    </row>
    <row r="2992" spans="1:13" x14ac:dyDescent="0.45">
      <c r="A2992" t="s">
        <v>6012</v>
      </c>
      <c r="B2992">
        <v>1</v>
      </c>
      <c r="C2992" t="s">
        <v>1774</v>
      </c>
      <c r="G2992" s="3">
        <v>1444.370472463489</v>
      </c>
      <c r="H2992" t="s">
        <v>1755</v>
      </c>
      <c r="I2992" t="s">
        <v>6012</v>
      </c>
      <c r="M2992" t="s">
        <v>1757</v>
      </c>
    </row>
    <row r="2993" spans="1:13" x14ac:dyDescent="0.45">
      <c r="A2993" t="s">
        <v>6013</v>
      </c>
      <c r="B2993">
        <v>3</v>
      </c>
      <c r="C2993" t="s">
        <v>1774</v>
      </c>
      <c r="G2993" s="3">
        <v>752.99396767086819</v>
      </c>
      <c r="H2993" t="s">
        <v>1755</v>
      </c>
      <c r="I2993" t="s">
        <v>6013</v>
      </c>
      <c r="M2993" t="s">
        <v>1757</v>
      </c>
    </row>
    <row r="2994" spans="1:13" x14ac:dyDescent="0.45">
      <c r="A2994" t="s">
        <v>6014</v>
      </c>
      <c r="B2994">
        <v>3</v>
      </c>
      <c r="C2994" t="s">
        <v>1774</v>
      </c>
      <c r="G2994" s="3">
        <v>2534.430748685726</v>
      </c>
      <c r="H2994" t="s">
        <v>1755</v>
      </c>
      <c r="I2994" t="s">
        <v>6014</v>
      </c>
      <c r="M2994" t="s">
        <v>1757</v>
      </c>
    </row>
    <row r="2995" spans="1:13" x14ac:dyDescent="0.45">
      <c r="A2995" t="s">
        <v>6015</v>
      </c>
      <c r="B2995">
        <v>1</v>
      </c>
      <c r="C2995" t="s">
        <v>1774</v>
      </c>
      <c r="G2995" s="3">
        <v>2257.517460876657</v>
      </c>
      <c r="H2995" t="s">
        <v>1755</v>
      </c>
      <c r="I2995" t="s">
        <v>6015</v>
      </c>
      <c r="M2995" t="s">
        <v>1757</v>
      </c>
    </row>
    <row r="2996" spans="1:13" x14ac:dyDescent="0.45">
      <c r="A2996" t="s">
        <v>6016</v>
      </c>
      <c r="B2996">
        <v>2</v>
      </c>
      <c r="C2996" t="s">
        <v>1774</v>
      </c>
      <c r="G2996" s="3">
        <v>1945.93048855252</v>
      </c>
      <c r="H2996" t="s">
        <v>1755</v>
      </c>
      <c r="I2996" t="s">
        <v>6016</v>
      </c>
      <c r="M2996" t="s">
        <v>1757</v>
      </c>
    </row>
    <row r="2997" spans="1:13" x14ac:dyDescent="0.45">
      <c r="A2997" t="s">
        <v>6017</v>
      </c>
      <c r="B2997">
        <v>1</v>
      </c>
      <c r="C2997" t="s">
        <v>1774</v>
      </c>
      <c r="G2997" s="3">
        <v>1287.678425480811</v>
      </c>
      <c r="H2997" t="s">
        <v>1755</v>
      </c>
      <c r="I2997" t="s">
        <v>6017</v>
      </c>
      <c r="M2997" t="s">
        <v>1757</v>
      </c>
    </row>
    <row r="2998" spans="1:13" x14ac:dyDescent="0.45">
      <c r="A2998" t="s">
        <v>6018</v>
      </c>
      <c r="B2998">
        <v>1</v>
      </c>
      <c r="C2998" t="s">
        <v>1774</v>
      </c>
      <c r="G2998" s="3">
        <v>2177.433023892087</v>
      </c>
      <c r="H2998" t="s">
        <v>1755</v>
      </c>
      <c r="I2998" t="s">
        <v>6018</v>
      </c>
      <c r="M2998" t="s">
        <v>1757</v>
      </c>
    </row>
    <row r="2999" spans="1:13" x14ac:dyDescent="0.45">
      <c r="A2999" t="s">
        <v>6019</v>
      </c>
      <c r="B2999">
        <v>1</v>
      </c>
      <c r="C2999" t="s">
        <v>1774</v>
      </c>
      <c r="G2999" s="3">
        <v>1803.895909184432</v>
      </c>
      <c r="H2999" t="s">
        <v>1755</v>
      </c>
      <c r="I2999" t="s">
        <v>6019</v>
      </c>
      <c r="M2999" t="s">
        <v>1757</v>
      </c>
    </row>
    <row r="3000" spans="1:13" x14ac:dyDescent="0.45">
      <c r="A3000" t="s">
        <v>6020</v>
      </c>
      <c r="B3000">
        <v>2</v>
      </c>
      <c r="C3000" t="s">
        <v>1774</v>
      </c>
      <c r="G3000" s="3">
        <v>1729.0267126795541</v>
      </c>
      <c r="H3000" t="s">
        <v>1755</v>
      </c>
      <c r="I3000" t="s">
        <v>6020</v>
      </c>
      <c r="M3000" t="s">
        <v>1757</v>
      </c>
    </row>
    <row r="3001" spans="1:13" x14ac:dyDescent="0.45">
      <c r="A3001" t="s">
        <v>6021</v>
      </c>
      <c r="B3001">
        <v>1</v>
      </c>
      <c r="C3001" t="s">
        <v>1774</v>
      </c>
      <c r="G3001" s="3">
        <v>1520.753034560973</v>
      </c>
      <c r="H3001" t="s">
        <v>1755</v>
      </c>
      <c r="I3001" t="s">
        <v>6021</v>
      </c>
      <c r="M3001" t="s">
        <v>1757</v>
      </c>
    </row>
    <row r="3002" spans="1:13" x14ac:dyDescent="0.45">
      <c r="A3002" t="s">
        <v>6022</v>
      </c>
      <c r="B3002">
        <v>1</v>
      </c>
      <c r="C3002" t="s">
        <v>1774</v>
      </c>
      <c r="G3002" s="3">
        <v>1444.452011557918</v>
      </c>
      <c r="H3002" t="s">
        <v>1755</v>
      </c>
      <c r="I3002" t="s">
        <v>6022</v>
      </c>
      <c r="M3002" t="s">
        <v>1757</v>
      </c>
    </row>
    <row r="3003" spans="1:13" x14ac:dyDescent="0.45">
      <c r="A3003" t="s">
        <v>6023</v>
      </c>
      <c r="B3003">
        <v>3</v>
      </c>
      <c r="C3003" t="s">
        <v>1774</v>
      </c>
      <c r="G3003" s="3">
        <v>3343.1681028721619</v>
      </c>
      <c r="H3003" t="s">
        <v>1755</v>
      </c>
      <c r="I3003" t="s">
        <v>6023</v>
      </c>
      <c r="M3003" t="s">
        <v>1757</v>
      </c>
    </row>
    <row r="3004" spans="1:13" x14ac:dyDescent="0.45">
      <c r="A3004" t="s">
        <v>6024</v>
      </c>
      <c r="B3004">
        <v>1</v>
      </c>
      <c r="C3004" t="s">
        <v>1774</v>
      </c>
      <c r="G3004" s="3">
        <v>4075.0303988307628</v>
      </c>
      <c r="H3004" t="s">
        <v>1755</v>
      </c>
      <c r="I3004" t="s">
        <v>6024</v>
      </c>
      <c r="M3004" t="s">
        <v>1757</v>
      </c>
    </row>
    <row r="3005" spans="1:13" x14ac:dyDescent="0.45">
      <c r="A3005" t="s">
        <v>6025</v>
      </c>
      <c r="B3005">
        <v>1</v>
      </c>
      <c r="C3005" t="s">
        <v>1774</v>
      </c>
      <c r="G3005" s="3">
        <v>1000.001977207089</v>
      </c>
      <c r="H3005" t="s">
        <v>1755</v>
      </c>
      <c r="I3005" t="s">
        <v>6025</v>
      </c>
      <c r="M3005" t="s">
        <v>1757</v>
      </c>
    </row>
    <row r="3006" spans="1:13" x14ac:dyDescent="0.45">
      <c r="A3006" t="s">
        <v>6026</v>
      </c>
      <c r="B3006">
        <v>1</v>
      </c>
      <c r="C3006" t="s">
        <v>1774</v>
      </c>
      <c r="G3006" s="3">
        <v>2954.7713035957331</v>
      </c>
      <c r="H3006" t="s">
        <v>1755</v>
      </c>
      <c r="I3006" t="s">
        <v>6026</v>
      </c>
      <c r="M3006" t="s">
        <v>1757</v>
      </c>
    </row>
    <row r="3007" spans="1:13" x14ac:dyDescent="0.45">
      <c r="A3007" t="s">
        <v>6027</v>
      </c>
      <c r="B3007">
        <v>1</v>
      </c>
      <c r="C3007" t="s">
        <v>1774</v>
      </c>
      <c r="G3007" s="3">
        <v>2744.592872231286</v>
      </c>
      <c r="H3007" t="s">
        <v>1755</v>
      </c>
      <c r="I3007" t="s">
        <v>6027</v>
      </c>
      <c r="M3007" t="s">
        <v>1757</v>
      </c>
    </row>
    <row r="3008" spans="1:13" x14ac:dyDescent="0.45">
      <c r="A3008" t="s">
        <v>6028</v>
      </c>
      <c r="B3008">
        <v>1</v>
      </c>
      <c r="C3008" t="s">
        <v>1774</v>
      </c>
      <c r="G3008" s="3">
        <v>913.46290550750598</v>
      </c>
      <c r="H3008" t="s">
        <v>1755</v>
      </c>
      <c r="I3008" t="s">
        <v>6028</v>
      </c>
      <c r="M3008" t="s">
        <v>1757</v>
      </c>
    </row>
    <row r="3009" spans="1:13" x14ac:dyDescent="0.45">
      <c r="A3009" t="s">
        <v>6029</v>
      </c>
      <c r="B3009">
        <v>1</v>
      </c>
      <c r="C3009" t="s">
        <v>1774</v>
      </c>
      <c r="G3009" s="3">
        <v>2653.3962874579079</v>
      </c>
      <c r="H3009" t="s">
        <v>1755</v>
      </c>
      <c r="I3009" t="s">
        <v>6029</v>
      </c>
      <c r="M3009" t="s">
        <v>1757</v>
      </c>
    </row>
    <row r="3010" spans="1:13" x14ac:dyDescent="0.45">
      <c r="A3010" t="s">
        <v>6030</v>
      </c>
      <c r="B3010">
        <v>1</v>
      </c>
      <c r="C3010" t="s">
        <v>1774</v>
      </c>
      <c r="H3010" t="s">
        <v>1755</v>
      </c>
      <c r="I3010" t="s">
        <v>6030</v>
      </c>
      <c r="M3010" t="s">
        <v>1757</v>
      </c>
    </row>
    <row r="3011" spans="1:13" x14ac:dyDescent="0.45">
      <c r="A3011" t="s">
        <v>6031</v>
      </c>
      <c r="B3011">
        <v>1</v>
      </c>
      <c r="C3011" t="s">
        <v>1774</v>
      </c>
      <c r="H3011" t="s">
        <v>1755</v>
      </c>
      <c r="I3011" t="s">
        <v>6031</v>
      </c>
      <c r="M3011" t="s">
        <v>1757</v>
      </c>
    </row>
    <row r="3012" spans="1:13" x14ac:dyDescent="0.45">
      <c r="A3012" t="s">
        <v>6032</v>
      </c>
      <c r="B3012">
        <v>1</v>
      </c>
      <c r="C3012" t="s">
        <v>1774</v>
      </c>
      <c r="G3012" s="3">
        <v>1124.9166083088251</v>
      </c>
      <c r="H3012" t="s">
        <v>1755</v>
      </c>
      <c r="I3012" t="s">
        <v>6032</v>
      </c>
      <c r="M3012" t="s">
        <v>1757</v>
      </c>
    </row>
    <row r="3013" spans="1:13" x14ac:dyDescent="0.45">
      <c r="A3013" t="s">
        <v>6033</v>
      </c>
      <c r="B3013">
        <v>5</v>
      </c>
      <c r="C3013" t="s">
        <v>1774</v>
      </c>
      <c r="G3013" s="3">
        <v>1000.445549880784</v>
      </c>
      <c r="H3013" t="s">
        <v>1755</v>
      </c>
      <c r="I3013" t="s">
        <v>6033</v>
      </c>
      <c r="M3013" t="s">
        <v>1757</v>
      </c>
    </row>
    <row r="3014" spans="1:13" x14ac:dyDescent="0.45">
      <c r="A3014" t="s">
        <v>6034</v>
      </c>
      <c r="B3014">
        <v>1</v>
      </c>
      <c r="C3014" t="s">
        <v>1774</v>
      </c>
      <c r="G3014" s="3">
        <v>2764.2013936596172</v>
      </c>
      <c r="H3014" t="s">
        <v>1755</v>
      </c>
      <c r="I3014" t="s">
        <v>6034</v>
      </c>
      <c r="M3014" t="s">
        <v>1757</v>
      </c>
    </row>
    <row r="3015" spans="1:13" x14ac:dyDescent="0.45">
      <c r="A3015" t="s">
        <v>6035</v>
      </c>
      <c r="B3015">
        <v>1</v>
      </c>
      <c r="C3015" t="s">
        <v>1774</v>
      </c>
      <c r="G3015" s="3">
        <v>2654.0127230117928</v>
      </c>
      <c r="H3015" t="s">
        <v>1755</v>
      </c>
      <c r="I3015" t="s">
        <v>6035</v>
      </c>
      <c r="M3015" t="s">
        <v>1757</v>
      </c>
    </row>
    <row r="3016" spans="1:13" x14ac:dyDescent="0.45">
      <c r="A3016" t="s">
        <v>6036</v>
      </c>
      <c r="B3016">
        <v>1</v>
      </c>
      <c r="C3016" t="s">
        <v>1774</v>
      </c>
      <c r="G3016" s="3">
        <v>1021.0912485902541</v>
      </c>
      <c r="H3016" t="s">
        <v>1755</v>
      </c>
      <c r="I3016" t="s">
        <v>6036</v>
      </c>
      <c r="M3016" t="s">
        <v>1757</v>
      </c>
    </row>
    <row r="3017" spans="1:13" x14ac:dyDescent="0.45">
      <c r="A3017" t="s">
        <v>6037</v>
      </c>
      <c r="B3017">
        <v>1</v>
      </c>
      <c r="C3017" t="s">
        <v>1774</v>
      </c>
      <c r="G3017" s="3">
        <v>2806.1027035048869</v>
      </c>
      <c r="H3017" t="s">
        <v>1755</v>
      </c>
      <c r="I3017" t="s">
        <v>6037</v>
      </c>
      <c r="M3017" t="s">
        <v>1757</v>
      </c>
    </row>
    <row r="3018" spans="1:13" x14ac:dyDescent="0.45">
      <c r="A3018" t="s">
        <v>6038</v>
      </c>
      <c r="B3018">
        <v>1</v>
      </c>
      <c r="C3018" t="s">
        <v>1774</v>
      </c>
      <c r="G3018" s="3">
        <v>1246.3609355516539</v>
      </c>
      <c r="H3018" t="s">
        <v>1755</v>
      </c>
      <c r="I3018" t="s">
        <v>6038</v>
      </c>
      <c r="M3018" t="s">
        <v>1757</v>
      </c>
    </row>
    <row r="3019" spans="1:13" x14ac:dyDescent="0.45">
      <c r="A3019" t="s">
        <v>6039</v>
      </c>
      <c r="B3019">
        <v>1</v>
      </c>
      <c r="C3019" t="s">
        <v>1774</v>
      </c>
      <c r="G3019" s="3">
        <v>3721.2811915591828</v>
      </c>
      <c r="H3019" t="s">
        <v>1755</v>
      </c>
      <c r="I3019" t="s">
        <v>6039</v>
      </c>
      <c r="M3019" t="s">
        <v>1757</v>
      </c>
    </row>
    <row r="3020" spans="1:13" x14ac:dyDescent="0.45">
      <c r="A3020" t="s">
        <v>6040</v>
      </c>
      <c r="B3020">
        <v>3</v>
      </c>
      <c r="C3020" t="s">
        <v>1774</v>
      </c>
      <c r="G3020" s="3">
        <v>2845.2023300655701</v>
      </c>
      <c r="H3020" t="s">
        <v>1755</v>
      </c>
      <c r="I3020" t="s">
        <v>6040</v>
      </c>
      <c r="M3020" t="s">
        <v>1757</v>
      </c>
    </row>
    <row r="3021" spans="1:13" x14ac:dyDescent="0.45">
      <c r="A3021" t="s">
        <v>6041</v>
      </c>
      <c r="B3021">
        <v>1</v>
      </c>
      <c r="C3021" t="s">
        <v>1774</v>
      </c>
      <c r="G3021" s="3">
        <v>1205.620742411056</v>
      </c>
      <c r="H3021" t="s">
        <v>1755</v>
      </c>
      <c r="I3021" t="s">
        <v>6041</v>
      </c>
      <c r="M3021" t="s">
        <v>1757</v>
      </c>
    </row>
    <row r="3022" spans="1:13" x14ac:dyDescent="0.45">
      <c r="A3022" t="s">
        <v>6042</v>
      </c>
      <c r="B3022">
        <v>4</v>
      </c>
      <c r="C3022" t="s">
        <v>1774</v>
      </c>
      <c r="G3022" s="3">
        <v>1015.070401857603</v>
      </c>
      <c r="H3022" t="s">
        <v>1755</v>
      </c>
      <c r="I3022" t="s">
        <v>6042</v>
      </c>
      <c r="M3022" t="s">
        <v>1757</v>
      </c>
    </row>
    <row r="3023" spans="1:13" x14ac:dyDescent="0.45">
      <c r="A3023" t="s">
        <v>6043</v>
      </c>
      <c r="B3023">
        <v>1</v>
      </c>
      <c r="C3023" t="s">
        <v>1774</v>
      </c>
      <c r="G3023" s="3">
        <v>4967.3616326260008</v>
      </c>
      <c r="H3023" t="s">
        <v>1755</v>
      </c>
      <c r="I3023" t="s">
        <v>6043</v>
      </c>
      <c r="M3023" t="s">
        <v>1757</v>
      </c>
    </row>
    <row r="3024" spans="1:13" x14ac:dyDescent="0.45">
      <c r="A3024" t="s">
        <v>6044</v>
      </c>
      <c r="B3024">
        <v>1</v>
      </c>
      <c r="C3024" t="s">
        <v>1774</v>
      </c>
      <c r="G3024" s="3">
        <v>2057.3455071805588</v>
      </c>
      <c r="H3024" t="s">
        <v>1755</v>
      </c>
      <c r="I3024" t="s">
        <v>6044</v>
      </c>
      <c r="M3024" t="s">
        <v>1757</v>
      </c>
    </row>
    <row r="3025" spans="1:13" x14ac:dyDescent="0.45">
      <c r="A3025" t="s">
        <v>6045</v>
      </c>
      <c r="B3025">
        <v>1</v>
      </c>
      <c r="C3025" t="s">
        <v>1774</v>
      </c>
      <c r="G3025" s="3">
        <v>5693.9401952655899</v>
      </c>
      <c r="H3025" t="s">
        <v>1755</v>
      </c>
      <c r="I3025" t="s">
        <v>6045</v>
      </c>
      <c r="M3025" t="s">
        <v>1757</v>
      </c>
    </row>
    <row r="3026" spans="1:13" x14ac:dyDescent="0.45">
      <c r="A3026" t="s">
        <v>6046</v>
      </c>
      <c r="B3026">
        <v>2</v>
      </c>
      <c r="C3026" t="s">
        <v>1774</v>
      </c>
      <c r="G3026" s="3">
        <v>2149.122650306274</v>
      </c>
      <c r="H3026" t="s">
        <v>1755</v>
      </c>
      <c r="I3026" t="s">
        <v>6046</v>
      </c>
      <c r="M3026" t="s">
        <v>1757</v>
      </c>
    </row>
    <row r="3027" spans="1:13" x14ac:dyDescent="0.45">
      <c r="A3027" t="s">
        <v>6047</v>
      </c>
      <c r="B3027">
        <v>1</v>
      </c>
      <c r="C3027" t="s">
        <v>1774</v>
      </c>
      <c r="G3027" s="3">
        <v>1974.139753661241</v>
      </c>
      <c r="H3027" t="s">
        <v>1755</v>
      </c>
      <c r="I3027" t="s">
        <v>6047</v>
      </c>
      <c r="M3027" t="s">
        <v>1757</v>
      </c>
    </row>
    <row r="3028" spans="1:13" x14ac:dyDescent="0.45">
      <c r="A3028" t="s">
        <v>6048</v>
      </c>
      <c r="B3028">
        <v>1</v>
      </c>
      <c r="C3028" t="s">
        <v>1774</v>
      </c>
      <c r="G3028" s="3">
        <v>4213.8751688247803</v>
      </c>
      <c r="H3028" t="s">
        <v>1755</v>
      </c>
      <c r="I3028" t="s">
        <v>6048</v>
      </c>
      <c r="M3028" t="s">
        <v>1757</v>
      </c>
    </row>
    <row r="3029" spans="1:13" x14ac:dyDescent="0.45">
      <c r="A3029" t="s">
        <v>6049</v>
      </c>
      <c r="B3029">
        <v>1</v>
      </c>
      <c r="C3029" t="s">
        <v>1774</v>
      </c>
      <c r="G3029" s="3">
        <v>3062.0995828109822</v>
      </c>
      <c r="H3029" t="s">
        <v>1755</v>
      </c>
      <c r="I3029" t="s">
        <v>6049</v>
      </c>
      <c r="M3029" t="s">
        <v>1757</v>
      </c>
    </row>
    <row r="3030" spans="1:13" x14ac:dyDescent="0.45">
      <c r="A3030" t="s">
        <v>6050</v>
      </c>
      <c r="B3030">
        <v>1</v>
      </c>
      <c r="C3030" t="s">
        <v>1774</v>
      </c>
      <c r="G3030" s="3">
        <v>1815.797355407316</v>
      </c>
      <c r="H3030" t="s">
        <v>1755</v>
      </c>
      <c r="I3030" t="s">
        <v>6050</v>
      </c>
      <c r="M3030" t="s">
        <v>1757</v>
      </c>
    </row>
    <row r="3031" spans="1:13" x14ac:dyDescent="0.45">
      <c r="A3031" t="s">
        <v>6051</v>
      </c>
      <c r="B3031">
        <v>1</v>
      </c>
      <c r="C3031" t="s">
        <v>1774</v>
      </c>
      <c r="G3031" s="3">
        <v>2934.6800707283819</v>
      </c>
      <c r="H3031" t="s">
        <v>1755</v>
      </c>
      <c r="I3031" t="s">
        <v>6051</v>
      </c>
      <c r="M3031" t="s">
        <v>1757</v>
      </c>
    </row>
    <row r="3032" spans="1:13" x14ac:dyDescent="0.45">
      <c r="A3032" t="s">
        <v>6052</v>
      </c>
      <c r="B3032">
        <v>2</v>
      </c>
      <c r="C3032" t="s">
        <v>1774</v>
      </c>
      <c r="G3032" s="3">
        <v>815.74971630734683</v>
      </c>
      <c r="H3032" t="s">
        <v>1755</v>
      </c>
      <c r="I3032" t="s">
        <v>6052</v>
      </c>
      <c r="M3032" t="s">
        <v>1757</v>
      </c>
    </row>
    <row r="3033" spans="1:13" x14ac:dyDescent="0.45">
      <c r="A3033" t="s">
        <v>6053</v>
      </c>
      <c r="B3033">
        <v>1</v>
      </c>
      <c r="C3033" t="s">
        <v>1774</v>
      </c>
      <c r="G3033" s="3">
        <v>2633.6475187871588</v>
      </c>
      <c r="H3033" t="s">
        <v>1755</v>
      </c>
      <c r="I3033" t="s">
        <v>6053</v>
      </c>
      <c r="M3033" t="s">
        <v>1757</v>
      </c>
    </row>
    <row r="3034" spans="1:13" x14ac:dyDescent="0.45">
      <c r="A3034" t="s">
        <v>6054</v>
      </c>
      <c r="B3034">
        <v>2</v>
      </c>
      <c r="C3034" t="s">
        <v>1774</v>
      </c>
      <c r="G3034" s="3">
        <v>3670.0420246198828</v>
      </c>
      <c r="H3034" t="s">
        <v>1755</v>
      </c>
      <c r="I3034" t="s">
        <v>6054</v>
      </c>
      <c r="M3034" t="s">
        <v>1757</v>
      </c>
    </row>
    <row r="3035" spans="1:13" x14ac:dyDescent="0.45">
      <c r="A3035" t="s">
        <v>6055</v>
      </c>
      <c r="B3035">
        <v>1</v>
      </c>
      <c r="C3035" t="s">
        <v>1774</v>
      </c>
      <c r="G3035" s="3">
        <v>5189.2784320244727</v>
      </c>
      <c r="H3035" t="s">
        <v>1755</v>
      </c>
      <c r="I3035" t="s">
        <v>6055</v>
      </c>
      <c r="M3035" t="s">
        <v>1757</v>
      </c>
    </row>
    <row r="3036" spans="1:13" x14ac:dyDescent="0.45">
      <c r="A3036" t="s">
        <v>6056</v>
      </c>
      <c r="B3036">
        <v>1</v>
      </c>
      <c r="C3036" t="s">
        <v>1774</v>
      </c>
      <c r="G3036" s="3">
        <v>323.11920952744498</v>
      </c>
      <c r="H3036" t="s">
        <v>1755</v>
      </c>
      <c r="I3036" t="s">
        <v>6056</v>
      </c>
      <c r="M3036" t="s">
        <v>1757</v>
      </c>
    </row>
    <row r="3037" spans="1:13" x14ac:dyDescent="0.45">
      <c r="A3037" t="s">
        <v>6057</v>
      </c>
      <c r="B3037">
        <v>1</v>
      </c>
      <c r="C3037" t="s">
        <v>1774</v>
      </c>
      <c r="G3037" s="3">
        <v>924.35979008702236</v>
      </c>
      <c r="H3037" t="s">
        <v>1755</v>
      </c>
      <c r="I3037" t="s">
        <v>6057</v>
      </c>
      <c r="M3037" t="s">
        <v>1757</v>
      </c>
    </row>
    <row r="3038" spans="1:13" x14ac:dyDescent="0.45">
      <c r="A3038" t="s">
        <v>6058</v>
      </c>
      <c r="B3038">
        <v>1</v>
      </c>
      <c r="C3038" t="s">
        <v>1774</v>
      </c>
      <c r="G3038" s="3">
        <v>745.06836769235122</v>
      </c>
      <c r="H3038" t="s">
        <v>1755</v>
      </c>
      <c r="I3038" t="s">
        <v>6058</v>
      </c>
      <c r="M3038" t="s">
        <v>1757</v>
      </c>
    </row>
    <row r="3039" spans="1:13" x14ac:dyDescent="0.45">
      <c r="A3039" t="s">
        <v>6059</v>
      </c>
      <c r="B3039">
        <v>1</v>
      </c>
      <c r="C3039" t="s">
        <v>1774</v>
      </c>
      <c r="G3039" s="3">
        <v>1277.3718839449621</v>
      </c>
      <c r="H3039" t="s">
        <v>1755</v>
      </c>
      <c r="I3039" t="s">
        <v>6059</v>
      </c>
      <c r="M3039" t="s">
        <v>1757</v>
      </c>
    </row>
    <row r="3040" spans="1:13" x14ac:dyDescent="0.45">
      <c r="A3040" t="s">
        <v>6060</v>
      </c>
      <c r="B3040">
        <v>1</v>
      </c>
      <c r="C3040" t="s">
        <v>1774</v>
      </c>
      <c r="G3040" s="3">
        <v>1058.762310216538</v>
      </c>
      <c r="H3040" t="s">
        <v>1755</v>
      </c>
      <c r="I3040" t="s">
        <v>6060</v>
      </c>
      <c r="M3040" t="s">
        <v>1757</v>
      </c>
    </row>
    <row r="3041" spans="1:13" x14ac:dyDescent="0.45">
      <c r="A3041" t="s">
        <v>6061</v>
      </c>
      <c r="B3041">
        <v>1</v>
      </c>
      <c r="C3041" t="s">
        <v>1774</v>
      </c>
      <c r="G3041" s="3">
        <v>1084.2840467728729</v>
      </c>
      <c r="H3041" t="s">
        <v>1755</v>
      </c>
      <c r="I3041" t="s">
        <v>6061</v>
      </c>
      <c r="M3041" t="s">
        <v>1757</v>
      </c>
    </row>
    <row r="3042" spans="1:13" x14ac:dyDescent="0.45">
      <c r="A3042" t="s">
        <v>6062</v>
      </c>
      <c r="B3042">
        <v>4</v>
      </c>
      <c r="C3042" t="s">
        <v>1774</v>
      </c>
      <c r="G3042" s="3">
        <v>2556.5147970209259</v>
      </c>
      <c r="H3042" t="s">
        <v>1755</v>
      </c>
      <c r="I3042" t="s">
        <v>6062</v>
      </c>
      <c r="M3042" t="s">
        <v>1757</v>
      </c>
    </row>
    <row r="3043" spans="1:13" x14ac:dyDescent="0.45">
      <c r="A3043" t="s">
        <v>6063</v>
      </c>
      <c r="B3043">
        <v>1</v>
      </c>
      <c r="C3043" t="s">
        <v>1774</v>
      </c>
      <c r="G3043" s="3">
        <v>1259.540914775188</v>
      </c>
      <c r="H3043" t="s">
        <v>1755</v>
      </c>
      <c r="I3043" t="s">
        <v>6063</v>
      </c>
      <c r="M3043" t="s">
        <v>1757</v>
      </c>
    </row>
    <row r="3044" spans="1:13" x14ac:dyDescent="0.45">
      <c r="A3044" t="s">
        <v>6064</v>
      </c>
      <c r="B3044">
        <v>2</v>
      </c>
      <c r="C3044" t="s">
        <v>1774</v>
      </c>
      <c r="G3044" s="3">
        <v>2126.53632114939</v>
      </c>
      <c r="H3044" t="s">
        <v>1755</v>
      </c>
      <c r="I3044" t="s">
        <v>6064</v>
      </c>
      <c r="M3044" t="s">
        <v>1757</v>
      </c>
    </row>
    <row r="3045" spans="1:13" x14ac:dyDescent="0.45">
      <c r="A3045" t="s">
        <v>6065</v>
      </c>
      <c r="B3045">
        <v>1</v>
      </c>
      <c r="C3045" t="s">
        <v>1774</v>
      </c>
      <c r="G3045" s="3">
        <v>1524.3733703536291</v>
      </c>
      <c r="H3045" t="s">
        <v>1755</v>
      </c>
      <c r="I3045" t="s">
        <v>6065</v>
      </c>
      <c r="M3045" t="s">
        <v>1757</v>
      </c>
    </row>
    <row r="3046" spans="1:13" x14ac:dyDescent="0.45">
      <c r="A3046" t="s">
        <v>6066</v>
      </c>
      <c r="B3046">
        <v>1</v>
      </c>
      <c r="C3046" t="s">
        <v>1774</v>
      </c>
      <c r="G3046" s="3">
        <v>1527.253331168868</v>
      </c>
      <c r="H3046" t="s">
        <v>1755</v>
      </c>
      <c r="I3046" t="s">
        <v>6066</v>
      </c>
      <c r="M3046" t="s">
        <v>1757</v>
      </c>
    </row>
    <row r="3047" spans="1:13" x14ac:dyDescent="0.45">
      <c r="A3047" t="s">
        <v>6067</v>
      </c>
      <c r="B3047">
        <v>1</v>
      </c>
      <c r="C3047" t="s">
        <v>1774</v>
      </c>
      <c r="G3047" s="3">
        <v>1485.10740404031</v>
      </c>
      <c r="H3047" t="s">
        <v>1755</v>
      </c>
      <c r="I3047" t="s">
        <v>6067</v>
      </c>
      <c r="M3047" t="s">
        <v>1757</v>
      </c>
    </row>
    <row r="3048" spans="1:13" x14ac:dyDescent="0.45">
      <c r="A3048" t="s">
        <v>6068</v>
      </c>
      <c r="B3048">
        <v>1</v>
      </c>
      <c r="C3048" t="s">
        <v>1774</v>
      </c>
      <c r="H3048" t="s">
        <v>1755</v>
      </c>
      <c r="I3048" t="s">
        <v>6068</v>
      </c>
      <c r="M3048" t="s">
        <v>1757</v>
      </c>
    </row>
    <row r="3049" spans="1:13" x14ac:dyDescent="0.45">
      <c r="A3049" t="s">
        <v>6069</v>
      </c>
      <c r="B3049">
        <v>1</v>
      </c>
      <c r="C3049" t="s">
        <v>1774</v>
      </c>
      <c r="G3049" s="3">
        <v>2241.0009019090812</v>
      </c>
      <c r="H3049" t="s">
        <v>1755</v>
      </c>
      <c r="I3049" t="s">
        <v>6069</v>
      </c>
      <c r="M3049" t="s">
        <v>1757</v>
      </c>
    </row>
    <row r="3050" spans="1:13" x14ac:dyDescent="0.45">
      <c r="A3050" t="s">
        <v>6070</v>
      </c>
      <c r="B3050">
        <v>1</v>
      </c>
      <c r="C3050" t="s">
        <v>1774</v>
      </c>
      <c r="G3050" s="3">
        <v>945.55016994727907</v>
      </c>
      <c r="H3050" t="s">
        <v>1755</v>
      </c>
      <c r="I3050" t="s">
        <v>6070</v>
      </c>
      <c r="M3050" t="s">
        <v>1757</v>
      </c>
    </row>
    <row r="3051" spans="1:13" x14ac:dyDescent="0.45">
      <c r="A3051" t="s">
        <v>6071</v>
      </c>
      <c r="B3051">
        <v>1</v>
      </c>
      <c r="C3051" t="s">
        <v>1774</v>
      </c>
      <c r="G3051" s="3">
        <v>1102.085661868653</v>
      </c>
      <c r="H3051" t="s">
        <v>1755</v>
      </c>
      <c r="I3051" t="s">
        <v>6071</v>
      </c>
      <c r="M3051" t="s">
        <v>1757</v>
      </c>
    </row>
    <row r="3052" spans="1:13" x14ac:dyDescent="0.45">
      <c r="A3052" t="s">
        <v>6072</v>
      </c>
      <c r="B3052">
        <v>1</v>
      </c>
      <c r="C3052" t="s">
        <v>1774</v>
      </c>
      <c r="G3052" s="3">
        <v>804.3342430872608</v>
      </c>
      <c r="H3052" t="s">
        <v>1755</v>
      </c>
      <c r="I3052" t="s">
        <v>6072</v>
      </c>
      <c r="M3052" t="s">
        <v>1757</v>
      </c>
    </row>
    <row r="3053" spans="1:13" x14ac:dyDescent="0.45">
      <c r="A3053" t="s">
        <v>6073</v>
      </c>
      <c r="B3053">
        <v>3</v>
      </c>
      <c r="C3053" t="s">
        <v>1774</v>
      </c>
      <c r="G3053" s="3">
        <v>1048.7297400379709</v>
      </c>
      <c r="H3053" t="s">
        <v>1755</v>
      </c>
      <c r="I3053" t="s">
        <v>6073</v>
      </c>
      <c r="M3053" t="s">
        <v>1757</v>
      </c>
    </row>
    <row r="3054" spans="1:13" x14ac:dyDescent="0.45">
      <c r="A3054" t="s">
        <v>6074</v>
      </c>
      <c r="B3054">
        <v>2</v>
      </c>
      <c r="C3054" t="s">
        <v>1774</v>
      </c>
      <c r="G3054" s="3">
        <v>2034.8929021385391</v>
      </c>
      <c r="H3054" t="s">
        <v>1755</v>
      </c>
      <c r="I3054" t="s">
        <v>6074</v>
      </c>
      <c r="M3054" t="s">
        <v>1757</v>
      </c>
    </row>
    <row r="3055" spans="1:13" x14ac:dyDescent="0.45">
      <c r="A3055" t="s">
        <v>6075</v>
      </c>
      <c r="B3055">
        <v>1</v>
      </c>
      <c r="C3055" t="s">
        <v>1774</v>
      </c>
      <c r="G3055" s="3">
        <v>2709.1788127388031</v>
      </c>
      <c r="H3055" t="s">
        <v>1755</v>
      </c>
      <c r="I3055" t="s">
        <v>6075</v>
      </c>
      <c r="M3055" t="s">
        <v>1757</v>
      </c>
    </row>
    <row r="3056" spans="1:13" x14ac:dyDescent="0.45">
      <c r="A3056" t="s">
        <v>6076</v>
      </c>
      <c r="B3056">
        <v>1</v>
      </c>
      <c r="C3056" t="s">
        <v>1774</v>
      </c>
      <c r="G3056" s="3">
        <v>2084.9187673527331</v>
      </c>
      <c r="H3056" t="s">
        <v>1755</v>
      </c>
      <c r="I3056" t="s">
        <v>6076</v>
      </c>
      <c r="M3056" t="s">
        <v>1757</v>
      </c>
    </row>
    <row r="3057" spans="1:13" x14ac:dyDescent="0.45">
      <c r="A3057" t="s">
        <v>6077</v>
      </c>
      <c r="B3057">
        <v>1</v>
      </c>
      <c r="C3057" t="s">
        <v>1774</v>
      </c>
      <c r="G3057" s="3">
        <v>826.13779693762501</v>
      </c>
      <c r="H3057" t="s">
        <v>1755</v>
      </c>
      <c r="I3057" t="s">
        <v>6077</v>
      </c>
      <c r="M3057" t="s">
        <v>1757</v>
      </c>
    </row>
    <row r="3058" spans="1:13" x14ac:dyDescent="0.45">
      <c r="A3058" t="s">
        <v>6078</v>
      </c>
      <c r="B3058">
        <v>2</v>
      </c>
      <c r="C3058" t="s">
        <v>1774</v>
      </c>
      <c r="G3058" s="3">
        <v>3451.5172515496652</v>
      </c>
      <c r="H3058" t="s">
        <v>1755</v>
      </c>
      <c r="I3058" t="s">
        <v>6078</v>
      </c>
      <c r="M3058" t="s">
        <v>1757</v>
      </c>
    </row>
    <row r="3059" spans="1:13" x14ac:dyDescent="0.45">
      <c r="A3059" t="s">
        <v>6079</v>
      </c>
      <c r="B3059">
        <v>1</v>
      </c>
      <c r="C3059" t="s">
        <v>1774</v>
      </c>
      <c r="G3059" s="3">
        <v>3238.250119288241</v>
      </c>
      <c r="H3059" t="s">
        <v>1755</v>
      </c>
      <c r="I3059" t="s">
        <v>6079</v>
      </c>
      <c r="M3059" t="s">
        <v>1757</v>
      </c>
    </row>
    <row r="3060" spans="1:13" x14ac:dyDescent="0.45">
      <c r="A3060" t="s">
        <v>6080</v>
      </c>
      <c r="B3060">
        <v>1</v>
      </c>
      <c r="C3060" t="s">
        <v>1774</v>
      </c>
      <c r="G3060" s="3">
        <v>2172.6776639049772</v>
      </c>
      <c r="H3060" t="s">
        <v>1755</v>
      </c>
      <c r="I3060" t="s">
        <v>6080</v>
      </c>
      <c r="M3060" t="s">
        <v>1757</v>
      </c>
    </row>
    <row r="3061" spans="1:13" x14ac:dyDescent="0.45">
      <c r="A3061" t="s">
        <v>6081</v>
      </c>
      <c r="B3061">
        <v>1</v>
      </c>
      <c r="C3061" t="s">
        <v>1774</v>
      </c>
      <c r="G3061" s="3">
        <v>2446.303295426661</v>
      </c>
      <c r="H3061" t="s">
        <v>1755</v>
      </c>
      <c r="I3061" t="s">
        <v>6081</v>
      </c>
      <c r="M3061" t="s">
        <v>1757</v>
      </c>
    </row>
    <row r="3062" spans="1:13" x14ac:dyDescent="0.45">
      <c r="A3062" t="s">
        <v>6082</v>
      </c>
      <c r="B3062">
        <v>1</v>
      </c>
      <c r="C3062" t="s">
        <v>1774</v>
      </c>
      <c r="G3062" s="3">
        <v>2557.816160968016</v>
      </c>
      <c r="H3062" t="s">
        <v>1755</v>
      </c>
      <c r="I3062" t="s">
        <v>6082</v>
      </c>
      <c r="M3062" t="s">
        <v>1757</v>
      </c>
    </row>
    <row r="3063" spans="1:13" x14ac:dyDescent="0.45">
      <c r="A3063" t="s">
        <v>6083</v>
      </c>
      <c r="B3063">
        <v>3</v>
      </c>
      <c r="C3063" t="s">
        <v>1774</v>
      </c>
      <c r="G3063" s="3">
        <v>2606.015550466997</v>
      </c>
      <c r="H3063" t="s">
        <v>1755</v>
      </c>
      <c r="I3063" t="s">
        <v>6083</v>
      </c>
      <c r="M3063" t="s">
        <v>1757</v>
      </c>
    </row>
    <row r="3064" spans="1:13" x14ac:dyDescent="0.45">
      <c r="A3064" t="s">
        <v>6084</v>
      </c>
      <c r="B3064">
        <v>3</v>
      </c>
      <c r="C3064" t="s">
        <v>1774</v>
      </c>
      <c r="G3064" s="3">
        <v>4455.5244290751152</v>
      </c>
      <c r="H3064" t="s">
        <v>1755</v>
      </c>
      <c r="I3064" t="s">
        <v>6084</v>
      </c>
      <c r="M3064" t="s">
        <v>1757</v>
      </c>
    </row>
    <row r="3065" spans="1:13" x14ac:dyDescent="0.45">
      <c r="A3065" t="s">
        <v>6085</v>
      </c>
      <c r="B3065">
        <v>1</v>
      </c>
      <c r="C3065" t="s">
        <v>1774</v>
      </c>
      <c r="G3065" s="3">
        <v>1492.8470948835291</v>
      </c>
      <c r="H3065" t="s">
        <v>1755</v>
      </c>
      <c r="I3065" t="s">
        <v>6085</v>
      </c>
      <c r="M3065" t="s">
        <v>1757</v>
      </c>
    </row>
    <row r="3066" spans="1:13" x14ac:dyDescent="0.45">
      <c r="A3066" t="s">
        <v>6086</v>
      </c>
      <c r="B3066">
        <v>1</v>
      </c>
      <c r="C3066" t="s">
        <v>1774</v>
      </c>
      <c r="G3066" s="3">
        <v>824.39938344439474</v>
      </c>
      <c r="H3066" t="s">
        <v>1755</v>
      </c>
      <c r="I3066" t="s">
        <v>6086</v>
      </c>
      <c r="M3066" t="s">
        <v>1757</v>
      </c>
    </row>
    <row r="3067" spans="1:13" x14ac:dyDescent="0.45">
      <c r="A3067" t="s">
        <v>6087</v>
      </c>
      <c r="B3067">
        <v>1</v>
      </c>
      <c r="C3067" t="s">
        <v>1774</v>
      </c>
      <c r="G3067" s="3">
        <v>1020.210626370419</v>
      </c>
      <c r="H3067" t="s">
        <v>1755</v>
      </c>
      <c r="I3067" t="s">
        <v>6087</v>
      </c>
      <c r="M3067" t="s">
        <v>1757</v>
      </c>
    </row>
    <row r="3068" spans="1:13" x14ac:dyDescent="0.45">
      <c r="A3068" t="s">
        <v>6088</v>
      </c>
      <c r="B3068">
        <v>1</v>
      </c>
      <c r="C3068" t="s">
        <v>1774</v>
      </c>
      <c r="G3068" s="3">
        <v>988.10705411175968</v>
      </c>
      <c r="H3068" t="s">
        <v>1755</v>
      </c>
      <c r="I3068" t="s">
        <v>6088</v>
      </c>
      <c r="M3068" t="s">
        <v>1757</v>
      </c>
    </row>
    <row r="3069" spans="1:13" x14ac:dyDescent="0.45">
      <c r="A3069" t="s">
        <v>6089</v>
      </c>
      <c r="B3069">
        <v>2</v>
      </c>
      <c r="C3069" t="s">
        <v>1774</v>
      </c>
      <c r="G3069" s="3">
        <v>1861.2407235145899</v>
      </c>
      <c r="H3069" t="s">
        <v>1755</v>
      </c>
      <c r="I3069" t="s">
        <v>6089</v>
      </c>
      <c r="M3069" t="s">
        <v>1757</v>
      </c>
    </row>
    <row r="3070" spans="1:13" x14ac:dyDescent="0.45">
      <c r="A3070" t="s">
        <v>6090</v>
      </c>
      <c r="B3070">
        <v>1</v>
      </c>
      <c r="C3070" t="s">
        <v>1774</v>
      </c>
      <c r="G3070" s="3">
        <v>2236.1248640622148</v>
      </c>
      <c r="H3070" t="s">
        <v>1755</v>
      </c>
      <c r="I3070" t="s">
        <v>6090</v>
      </c>
      <c r="M3070" t="s">
        <v>1757</v>
      </c>
    </row>
    <row r="3071" spans="1:13" x14ac:dyDescent="0.45">
      <c r="A3071" t="s">
        <v>6091</v>
      </c>
      <c r="B3071">
        <v>1</v>
      </c>
      <c r="C3071" t="s">
        <v>1774</v>
      </c>
      <c r="G3071" s="3">
        <v>1507.8926885876019</v>
      </c>
      <c r="H3071" t="s">
        <v>1755</v>
      </c>
      <c r="I3071" t="s">
        <v>6091</v>
      </c>
      <c r="M3071" t="s">
        <v>1757</v>
      </c>
    </row>
    <row r="3072" spans="1:13" x14ac:dyDescent="0.45">
      <c r="A3072" t="s">
        <v>6092</v>
      </c>
      <c r="B3072">
        <v>1</v>
      </c>
      <c r="C3072" t="s">
        <v>1774</v>
      </c>
      <c r="G3072" s="3">
        <v>1433.1311236873701</v>
      </c>
      <c r="H3072" t="s">
        <v>1755</v>
      </c>
      <c r="I3072" t="s">
        <v>6092</v>
      </c>
      <c r="M3072" t="s">
        <v>1757</v>
      </c>
    </row>
    <row r="3073" spans="1:13" x14ac:dyDescent="0.45">
      <c r="A3073" t="s">
        <v>6093</v>
      </c>
      <c r="B3073">
        <v>1</v>
      </c>
      <c r="C3073" t="s">
        <v>1774</v>
      </c>
      <c r="G3073" s="3">
        <v>508.6604404319242</v>
      </c>
      <c r="H3073" t="s">
        <v>1755</v>
      </c>
      <c r="I3073" t="s">
        <v>6093</v>
      </c>
      <c r="M3073" t="s">
        <v>1757</v>
      </c>
    </row>
    <row r="3074" spans="1:13" x14ac:dyDescent="0.45">
      <c r="A3074" t="s">
        <v>6094</v>
      </c>
      <c r="B3074">
        <v>2</v>
      </c>
      <c r="C3074" t="s">
        <v>1774</v>
      </c>
      <c r="G3074" s="3">
        <v>1002.3372568715409</v>
      </c>
      <c r="H3074" t="s">
        <v>1755</v>
      </c>
      <c r="I3074" t="s">
        <v>6094</v>
      </c>
      <c r="M3074" t="s">
        <v>1757</v>
      </c>
    </row>
    <row r="3075" spans="1:13" x14ac:dyDescent="0.45">
      <c r="A3075" t="s">
        <v>6095</v>
      </c>
      <c r="B3075">
        <v>3</v>
      </c>
      <c r="C3075" t="s">
        <v>1774</v>
      </c>
      <c r="G3075" s="3">
        <v>886.17013982016886</v>
      </c>
      <c r="H3075" t="s">
        <v>1755</v>
      </c>
      <c r="I3075" t="s">
        <v>6095</v>
      </c>
      <c r="M3075" t="s">
        <v>1757</v>
      </c>
    </row>
    <row r="3076" spans="1:13" x14ac:dyDescent="0.45">
      <c r="A3076" t="s">
        <v>6096</v>
      </c>
      <c r="B3076">
        <v>1</v>
      </c>
      <c r="C3076" t="s">
        <v>1774</v>
      </c>
      <c r="G3076" s="3">
        <v>1273.2296979479599</v>
      </c>
      <c r="H3076" t="s">
        <v>1755</v>
      </c>
      <c r="I3076" t="s">
        <v>6096</v>
      </c>
      <c r="M3076" t="s">
        <v>1757</v>
      </c>
    </row>
    <row r="3077" spans="1:13" x14ac:dyDescent="0.45">
      <c r="A3077" t="s">
        <v>6097</v>
      </c>
      <c r="B3077">
        <v>1</v>
      </c>
      <c r="C3077" t="s">
        <v>1774</v>
      </c>
      <c r="G3077" s="3">
        <v>3459.475467165953</v>
      </c>
      <c r="H3077" t="s">
        <v>1755</v>
      </c>
      <c r="I3077" t="s">
        <v>6097</v>
      </c>
      <c r="M3077" t="s">
        <v>1757</v>
      </c>
    </row>
    <row r="3078" spans="1:13" x14ac:dyDescent="0.45">
      <c r="A3078" t="s">
        <v>6098</v>
      </c>
      <c r="B3078">
        <v>1</v>
      </c>
      <c r="C3078" t="s">
        <v>1774</v>
      </c>
      <c r="G3078" s="3">
        <v>1422.093991865436</v>
      </c>
      <c r="H3078" t="s">
        <v>1755</v>
      </c>
      <c r="I3078" t="s">
        <v>6098</v>
      </c>
      <c r="M3078" t="s">
        <v>1757</v>
      </c>
    </row>
    <row r="3079" spans="1:13" x14ac:dyDescent="0.45">
      <c r="A3079" t="s">
        <v>6099</v>
      </c>
      <c r="B3079">
        <v>1</v>
      </c>
      <c r="C3079" t="s">
        <v>1774</v>
      </c>
      <c r="G3079" s="3">
        <v>723.42136890329107</v>
      </c>
      <c r="H3079" t="s">
        <v>1755</v>
      </c>
      <c r="I3079" t="s">
        <v>6099</v>
      </c>
      <c r="M3079" t="s">
        <v>1757</v>
      </c>
    </row>
    <row r="3080" spans="1:13" x14ac:dyDescent="0.45">
      <c r="A3080" t="s">
        <v>6100</v>
      </c>
      <c r="B3080">
        <v>1</v>
      </c>
      <c r="C3080" t="s">
        <v>1774</v>
      </c>
      <c r="G3080" s="3">
        <v>3141.4729988921281</v>
      </c>
      <c r="H3080" t="s">
        <v>1755</v>
      </c>
      <c r="I3080" t="s">
        <v>6100</v>
      </c>
      <c r="M3080" t="s">
        <v>1757</v>
      </c>
    </row>
    <row r="3081" spans="1:13" x14ac:dyDescent="0.45">
      <c r="A3081" t="s">
        <v>6101</v>
      </c>
      <c r="B3081">
        <v>1</v>
      </c>
      <c r="C3081" t="s">
        <v>1774</v>
      </c>
      <c r="G3081" s="3">
        <v>2667.9624312867381</v>
      </c>
      <c r="H3081" t="s">
        <v>1755</v>
      </c>
      <c r="I3081" t="s">
        <v>6101</v>
      </c>
      <c r="M3081" t="s">
        <v>1757</v>
      </c>
    </row>
    <row r="3082" spans="1:13" x14ac:dyDescent="0.45">
      <c r="A3082" t="s">
        <v>6102</v>
      </c>
      <c r="B3082">
        <v>1</v>
      </c>
      <c r="C3082" t="s">
        <v>1774</v>
      </c>
      <c r="G3082" s="3">
        <v>3325.6535053887728</v>
      </c>
      <c r="H3082" t="s">
        <v>1755</v>
      </c>
      <c r="I3082" t="s">
        <v>6102</v>
      </c>
      <c r="M3082" t="s">
        <v>1757</v>
      </c>
    </row>
    <row r="3083" spans="1:13" x14ac:dyDescent="0.45">
      <c r="A3083" t="s">
        <v>6103</v>
      </c>
      <c r="B3083">
        <v>1</v>
      </c>
      <c r="C3083" t="s">
        <v>1774</v>
      </c>
      <c r="G3083" s="3">
        <v>1236.041347760696</v>
      </c>
      <c r="H3083" t="s">
        <v>1755</v>
      </c>
      <c r="I3083" t="s">
        <v>6103</v>
      </c>
      <c r="M3083" t="s">
        <v>1757</v>
      </c>
    </row>
    <row r="3084" spans="1:13" x14ac:dyDescent="0.45">
      <c r="A3084" t="s">
        <v>6104</v>
      </c>
      <c r="B3084">
        <v>1</v>
      </c>
      <c r="C3084" t="s">
        <v>1774</v>
      </c>
      <c r="G3084" s="3">
        <v>2451.9653701438242</v>
      </c>
      <c r="H3084" t="s">
        <v>1755</v>
      </c>
      <c r="I3084" t="s">
        <v>6104</v>
      </c>
      <c r="M3084" t="s">
        <v>1757</v>
      </c>
    </row>
    <row r="3085" spans="1:13" x14ac:dyDescent="0.45">
      <c r="A3085" t="s">
        <v>6105</v>
      </c>
      <c r="B3085">
        <v>3</v>
      </c>
      <c r="C3085" t="s">
        <v>1774</v>
      </c>
      <c r="G3085" s="3">
        <v>2071.56592524901</v>
      </c>
      <c r="H3085" t="s">
        <v>1755</v>
      </c>
      <c r="I3085" t="s">
        <v>6105</v>
      </c>
      <c r="M3085" t="s">
        <v>1757</v>
      </c>
    </row>
    <row r="3086" spans="1:13" x14ac:dyDescent="0.45">
      <c r="A3086" t="s">
        <v>6106</v>
      </c>
      <c r="B3086">
        <v>5</v>
      </c>
      <c r="C3086" t="s">
        <v>1774</v>
      </c>
      <c r="G3086" s="3">
        <v>1887.7800679694019</v>
      </c>
      <c r="H3086" t="s">
        <v>1755</v>
      </c>
      <c r="I3086" t="s">
        <v>6106</v>
      </c>
      <c r="M3086" t="s">
        <v>1757</v>
      </c>
    </row>
    <row r="3087" spans="1:13" x14ac:dyDescent="0.45">
      <c r="A3087" t="s">
        <v>6107</v>
      </c>
      <c r="B3087">
        <v>1</v>
      </c>
      <c r="C3087" t="s">
        <v>1774</v>
      </c>
      <c r="G3087" s="3">
        <v>1734.9692818815529</v>
      </c>
      <c r="H3087" t="s">
        <v>1755</v>
      </c>
      <c r="I3087" t="s">
        <v>6107</v>
      </c>
      <c r="M3087" t="s">
        <v>1757</v>
      </c>
    </row>
    <row r="3088" spans="1:13" x14ac:dyDescent="0.45">
      <c r="A3088" t="s">
        <v>6108</v>
      </c>
      <c r="B3088">
        <v>1</v>
      </c>
      <c r="C3088" t="s">
        <v>1774</v>
      </c>
      <c r="G3088" s="3">
        <v>1014.917108360076</v>
      </c>
      <c r="H3088" t="s">
        <v>1755</v>
      </c>
      <c r="I3088" t="s">
        <v>6108</v>
      </c>
      <c r="M3088" t="s">
        <v>1757</v>
      </c>
    </row>
    <row r="3089" spans="1:13" x14ac:dyDescent="0.45">
      <c r="A3089" t="s">
        <v>6109</v>
      </c>
      <c r="B3089">
        <v>1</v>
      </c>
      <c r="C3089" t="s">
        <v>1774</v>
      </c>
      <c r="G3089" s="3">
        <v>2751.7454815946139</v>
      </c>
      <c r="H3089" t="s">
        <v>1755</v>
      </c>
      <c r="I3089" t="s">
        <v>6109</v>
      </c>
      <c r="M3089" t="s">
        <v>1757</v>
      </c>
    </row>
    <row r="3090" spans="1:13" x14ac:dyDescent="0.45">
      <c r="A3090" t="s">
        <v>6110</v>
      </c>
      <c r="B3090">
        <v>2</v>
      </c>
      <c r="C3090" t="s">
        <v>1774</v>
      </c>
      <c r="G3090" s="3">
        <v>2376.130750760904</v>
      </c>
      <c r="H3090" t="s">
        <v>1755</v>
      </c>
      <c r="I3090" t="s">
        <v>6110</v>
      </c>
      <c r="M3090" t="s">
        <v>1757</v>
      </c>
    </row>
    <row r="3091" spans="1:13" x14ac:dyDescent="0.45">
      <c r="A3091" t="s">
        <v>6111</v>
      </c>
      <c r="B3091">
        <v>1</v>
      </c>
      <c r="C3091" t="s">
        <v>1774</v>
      </c>
      <c r="G3091" s="3">
        <v>2252.1913272285419</v>
      </c>
      <c r="H3091" t="s">
        <v>1755</v>
      </c>
      <c r="I3091" t="s">
        <v>6111</v>
      </c>
      <c r="M3091" t="s">
        <v>1757</v>
      </c>
    </row>
    <row r="3092" spans="1:13" x14ac:dyDescent="0.45">
      <c r="A3092" t="s">
        <v>6112</v>
      </c>
      <c r="B3092">
        <v>1</v>
      </c>
      <c r="C3092" t="s">
        <v>1774</v>
      </c>
      <c r="G3092" s="3">
        <v>3173.89620440095</v>
      </c>
      <c r="H3092" t="s">
        <v>1755</v>
      </c>
      <c r="I3092" t="s">
        <v>6112</v>
      </c>
      <c r="M3092" t="s">
        <v>1757</v>
      </c>
    </row>
    <row r="3093" spans="1:13" x14ac:dyDescent="0.45">
      <c r="A3093" t="s">
        <v>6113</v>
      </c>
      <c r="B3093">
        <v>1</v>
      </c>
      <c r="C3093" t="s">
        <v>1774</v>
      </c>
      <c r="G3093" s="3">
        <v>2200.2444009495962</v>
      </c>
      <c r="H3093" t="s">
        <v>1755</v>
      </c>
      <c r="I3093" t="s">
        <v>6113</v>
      </c>
      <c r="M3093" t="s">
        <v>1757</v>
      </c>
    </row>
    <row r="3094" spans="1:13" x14ac:dyDescent="0.45">
      <c r="A3094" t="s">
        <v>6114</v>
      </c>
      <c r="B3094">
        <v>1</v>
      </c>
      <c r="C3094" t="s">
        <v>1774</v>
      </c>
      <c r="G3094" s="3">
        <v>6839.8906283733677</v>
      </c>
      <c r="H3094" t="s">
        <v>1755</v>
      </c>
      <c r="I3094" t="s">
        <v>6114</v>
      </c>
      <c r="M3094" t="s">
        <v>1757</v>
      </c>
    </row>
    <row r="3095" spans="1:13" x14ac:dyDescent="0.45">
      <c r="A3095" t="s">
        <v>6115</v>
      </c>
      <c r="B3095">
        <v>1</v>
      </c>
      <c r="C3095" t="s">
        <v>1774</v>
      </c>
      <c r="G3095" s="3">
        <v>2158.7507865764719</v>
      </c>
      <c r="H3095" t="s">
        <v>1755</v>
      </c>
      <c r="I3095" t="s">
        <v>6115</v>
      </c>
      <c r="M3095" t="s">
        <v>1757</v>
      </c>
    </row>
    <row r="3096" spans="1:13" x14ac:dyDescent="0.45">
      <c r="A3096" t="s">
        <v>6116</v>
      </c>
      <c r="B3096">
        <v>1</v>
      </c>
      <c r="C3096" t="s">
        <v>1774</v>
      </c>
      <c r="G3096" s="3">
        <v>2533.2826782361631</v>
      </c>
      <c r="H3096" t="s">
        <v>1755</v>
      </c>
      <c r="I3096" t="s">
        <v>6116</v>
      </c>
      <c r="M3096" t="s">
        <v>1757</v>
      </c>
    </row>
    <row r="3097" spans="1:13" x14ac:dyDescent="0.45">
      <c r="A3097" t="s">
        <v>6117</v>
      </c>
      <c r="B3097">
        <v>3</v>
      </c>
      <c r="C3097" t="s">
        <v>1774</v>
      </c>
      <c r="G3097" s="3">
        <v>2977.788159171203</v>
      </c>
      <c r="H3097" t="s">
        <v>1755</v>
      </c>
      <c r="I3097" t="s">
        <v>6117</v>
      </c>
      <c r="M3097" t="s">
        <v>1757</v>
      </c>
    </row>
    <row r="3098" spans="1:13" x14ac:dyDescent="0.45">
      <c r="A3098" t="s">
        <v>6118</v>
      </c>
      <c r="B3098">
        <v>1</v>
      </c>
      <c r="C3098" t="s">
        <v>1774</v>
      </c>
      <c r="G3098" s="3">
        <v>356.51501335461779</v>
      </c>
      <c r="H3098" t="s">
        <v>1755</v>
      </c>
      <c r="I3098" t="s">
        <v>6118</v>
      </c>
      <c r="M3098" t="s">
        <v>1757</v>
      </c>
    </row>
    <row r="3099" spans="1:13" x14ac:dyDescent="0.45">
      <c r="A3099" t="s">
        <v>6119</v>
      </c>
      <c r="B3099">
        <v>2</v>
      </c>
      <c r="C3099" t="s">
        <v>1774</v>
      </c>
      <c r="G3099" s="3">
        <v>2026.663976728745</v>
      </c>
      <c r="H3099" t="s">
        <v>1755</v>
      </c>
      <c r="I3099" t="s">
        <v>6119</v>
      </c>
      <c r="M3099" t="s">
        <v>1757</v>
      </c>
    </row>
    <row r="3100" spans="1:13" x14ac:dyDescent="0.45">
      <c r="A3100" t="s">
        <v>6120</v>
      </c>
      <c r="B3100">
        <v>1</v>
      </c>
      <c r="C3100" t="s">
        <v>1774</v>
      </c>
      <c r="G3100" s="3">
        <v>3237.979409494736</v>
      </c>
      <c r="H3100" t="s">
        <v>1755</v>
      </c>
      <c r="I3100" t="s">
        <v>6120</v>
      </c>
      <c r="M3100" t="s">
        <v>1757</v>
      </c>
    </row>
    <row r="3101" spans="1:13" x14ac:dyDescent="0.45">
      <c r="A3101" t="s">
        <v>6121</v>
      </c>
      <c r="B3101">
        <v>1</v>
      </c>
      <c r="C3101" t="s">
        <v>1774</v>
      </c>
      <c r="G3101" s="3">
        <v>1843.458677801473</v>
      </c>
      <c r="H3101" t="s">
        <v>1755</v>
      </c>
      <c r="I3101" t="s">
        <v>6121</v>
      </c>
      <c r="M3101" t="s">
        <v>1757</v>
      </c>
    </row>
    <row r="3102" spans="1:13" x14ac:dyDescent="0.45">
      <c r="A3102" t="s">
        <v>6122</v>
      </c>
      <c r="B3102">
        <v>1</v>
      </c>
      <c r="C3102" t="s">
        <v>1774</v>
      </c>
      <c r="G3102" s="3">
        <v>2814.8502175552499</v>
      </c>
      <c r="H3102" t="s">
        <v>1755</v>
      </c>
      <c r="I3102" t="s">
        <v>6122</v>
      </c>
      <c r="M3102" t="s">
        <v>1757</v>
      </c>
    </row>
    <row r="3103" spans="1:13" x14ac:dyDescent="0.45">
      <c r="A3103" t="s">
        <v>6123</v>
      </c>
      <c r="B3103">
        <v>1</v>
      </c>
      <c r="C3103" t="s">
        <v>1774</v>
      </c>
      <c r="H3103" t="s">
        <v>1755</v>
      </c>
      <c r="I3103" t="s">
        <v>6123</v>
      </c>
      <c r="M3103" t="s">
        <v>1757</v>
      </c>
    </row>
    <row r="3104" spans="1:13" x14ac:dyDescent="0.45">
      <c r="A3104" t="s">
        <v>6124</v>
      </c>
      <c r="B3104">
        <v>1</v>
      </c>
      <c r="C3104" t="s">
        <v>1774</v>
      </c>
      <c r="G3104" s="3">
        <v>1840.425423488708</v>
      </c>
      <c r="H3104" t="s">
        <v>1755</v>
      </c>
      <c r="I3104" t="s">
        <v>6124</v>
      </c>
      <c r="M3104" t="s">
        <v>1757</v>
      </c>
    </row>
    <row r="3105" spans="1:13" x14ac:dyDescent="0.45">
      <c r="A3105" t="s">
        <v>6125</v>
      </c>
      <c r="B3105">
        <v>1</v>
      </c>
      <c r="C3105" t="s">
        <v>1774</v>
      </c>
      <c r="G3105" s="3">
        <v>1822.594454318933</v>
      </c>
      <c r="H3105" t="s">
        <v>1755</v>
      </c>
      <c r="I3105" t="s">
        <v>6125</v>
      </c>
      <c r="M3105" t="s">
        <v>1757</v>
      </c>
    </row>
    <row r="3106" spans="1:13" x14ac:dyDescent="0.45">
      <c r="A3106" t="s">
        <v>6126</v>
      </c>
      <c r="B3106">
        <v>1</v>
      </c>
      <c r="C3106" t="s">
        <v>1774</v>
      </c>
      <c r="G3106" s="3">
        <v>426.10699966803941</v>
      </c>
      <c r="H3106" t="s">
        <v>1755</v>
      </c>
      <c r="I3106" t="s">
        <v>6126</v>
      </c>
      <c r="M3106" t="s">
        <v>1757</v>
      </c>
    </row>
    <row r="3107" spans="1:13" x14ac:dyDescent="0.45">
      <c r="A3107" t="s">
        <v>6127</v>
      </c>
      <c r="B3107">
        <v>1</v>
      </c>
      <c r="C3107" t="s">
        <v>1774</v>
      </c>
      <c r="G3107" s="3">
        <v>2081.85942052975</v>
      </c>
      <c r="H3107" t="s">
        <v>1755</v>
      </c>
      <c r="I3107" t="s">
        <v>6127</v>
      </c>
      <c r="M3107" t="s">
        <v>1757</v>
      </c>
    </row>
    <row r="3108" spans="1:13" x14ac:dyDescent="0.45">
      <c r="A3108" t="s">
        <v>6128</v>
      </c>
      <c r="B3108">
        <v>2</v>
      </c>
      <c r="C3108" t="s">
        <v>1774</v>
      </c>
      <c r="G3108" s="3">
        <v>2100.9036914246299</v>
      </c>
      <c r="H3108" t="s">
        <v>1755</v>
      </c>
      <c r="I3108" t="s">
        <v>6128</v>
      </c>
      <c r="M3108" t="s">
        <v>1757</v>
      </c>
    </row>
    <row r="3109" spans="1:13" x14ac:dyDescent="0.45">
      <c r="A3109" t="s">
        <v>6129</v>
      </c>
      <c r="B3109">
        <v>1</v>
      </c>
      <c r="C3109" t="s">
        <v>1774</v>
      </c>
      <c r="G3109" s="3">
        <v>1853.050936870123</v>
      </c>
      <c r="H3109" t="s">
        <v>1755</v>
      </c>
      <c r="I3109" t="s">
        <v>6129</v>
      </c>
      <c r="M3109" t="s">
        <v>1757</v>
      </c>
    </row>
    <row r="3110" spans="1:13" x14ac:dyDescent="0.45">
      <c r="A3110" t="s">
        <v>6130</v>
      </c>
      <c r="B3110">
        <v>1</v>
      </c>
      <c r="C3110" t="s">
        <v>1774</v>
      </c>
      <c r="G3110" s="3">
        <v>2360.9644791970759</v>
      </c>
      <c r="H3110" t="s">
        <v>1755</v>
      </c>
      <c r="I3110" t="s">
        <v>6130</v>
      </c>
      <c r="M3110" t="s">
        <v>1757</v>
      </c>
    </row>
    <row r="3111" spans="1:13" x14ac:dyDescent="0.45">
      <c r="A3111" t="s">
        <v>6131</v>
      </c>
      <c r="B3111">
        <v>1</v>
      </c>
      <c r="C3111" t="s">
        <v>1774</v>
      </c>
      <c r="G3111" s="3">
        <v>1646.0036067317569</v>
      </c>
      <c r="H3111" t="s">
        <v>1755</v>
      </c>
      <c r="I3111" t="s">
        <v>6131</v>
      </c>
      <c r="M3111" t="s">
        <v>1757</v>
      </c>
    </row>
    <row r="3112" spans="1:13" x14ac:dyDescent="0.45">
      <c r="A3112" t="s">
        <v>6132</v>
      </c>
      <c r="B3112">
        <v>1</v>
      </c>
      <c r="C3112" t="s">
        <v>1774</v>
      </c>
      <c r="G3112" s="3">
        <v>2516.2018687351369</v>
      </c>
      <c r="H3112" t="s">
        <v>1755</v>
      </c>
      <c r="I3112" t="s">
        <v>6132</v>
      </c>
      <c r="M3112" t="s">
        <v>1757</v>
      </c>
    </row>
    <row r="3113" spans="1:13" x14ac:dyDescent="0.45">
      <c r="A3113" t="s">
        <v>6133</v>
      </c>
      <c r="B3113">
        <v>1</v>
      </c>
      <c r="C3113" t="s">
        <v>1774</v>
      </c>
      <c r="G3113" s="3">
        <v>2227.308857172532</v>
      </c>
      <c r="H3113" t="s">
        <v>1755</v>
      </c>
      <c r="I3113" t="s">
        <v>6133</v>
      </c>
      <c r="M3113" t="s">
        <v>1757</v>
      </c>
    </row>
    <row r="3114" spans="1:13" x14ac:dyDescent="0.45">
      <c r="A3114" t="s">
        <v>6134</v>
      </c>
      <c r="B3114">
        <v>1</v>
      </c>
      <c r="C3114" t="s">
        <v>1774</v>
      </c>
      <c r="G3114" s="3">
        <v>2785.300449734113</v>
      </c>
      <c r="H3114" t="s">
        <v>1755</v>
      </c>
      <c r="I3114" t="s">
        <v>6134</v>
      </c>
      <c r="M3114" t="s">
        <v>1757</v>
      </c>
    </row>
    <row r="3115" spans="1:13" x14ac:dyDescent="0.45">
      <c r="A3115" t="s">
        <v>6135</v>
      </c>
      <c r="B3115">
        <v>1</v>
      </c>
      <c r="C3115" t="s">
        <v>1774</v>
      </c>
      <c r="G3115" s="3">
        <v>2014.1787105897481</v>
      </c>
      <c r="H3115" t="s">
        <v>1755</v>
      </c>
      <c r="I3115" t="s">
        <v>6135</v>
      </c>
      <c r="M3115" t="s">
        <v>1757</v>
      </c>
    </row>
    <row r="3116" spans="1:13" x14ac:dyDescent="0.45">
      <c r="A3116" t="s">
        <v>6136</v>
      </c>
      <c r="B3116">
        <v>1</v>
      </c>
      <c r="C3116" t="s">
        <v>1774</v>
      </c>
      <c r="G3116" s="3">
        <v>1709.865025488695</v>
      </c>
      <c r="H3116" t="s">
        <v>1755</v>
      </c>
      <c r="I3116" t="s">
        <v>6136</v>
      </c>
      <c r="M3116" t="s">
        <v>1757</v>
      </c>
    </row>
    <row r="3117" spans="1:13" x14ac:dyDescent="0.45">
      <c r="A3117" t="s">
        <v>6137</v>
      </c>
      <c r="B3117">
        <v>1</v>
      </c>
      <c r="C3117" t="s">
        <v>1774</v>
      </c>
      <c r="G3117" s="3">
        <v>1765.914998999318</v>
      </c>
      <c r="H3117" t="s">
        <v>1755</v>
      </c>
      <c r="I3117" t="s">
        <v>6137</v>
      </c>
      <c r="M3117" t="s">
        <v>1757</v>
      </c>
    </row>
    <row r="3118" spans="1:13" x14ac:dyDescent="0.45">
      <c r="A3118" t="s">
        <v>6138</v>
      </c>
      <c r="B3118">
        <v>1</v>
      </c>
      <c r="C3118" t="s">
        <v>1774</v>
      </c>
      <c r="G3118" s="3">
        <v>1731.123898188273</v>
      </c>
      <c r="H3118" t="s">
        <v>1755</v>
      </c>
      <c r="I3118" t="s">
        <v>6138</v>
      </c>
      <c r="M3118" t="s">
        <v>1757</v>
      </c>
    </row>
    <row r="3119" spans="1:13" x14ac:dyDescent="0.45">
      <c r="A3119" t="s">
        <v>6139</v>
      </c>
      <c r="B3119">
        <v>4</v>
      </c>
      <c r="C3119" t="s">
        <v>1774</v>
      </c>
      <c r="G3119" s="3">
        <v>3161.2772141470891</v>
      </c>
      <c r="H3119" t="s">
        <v>1755</v>
      </c>
      <c r="I3119" t="s">
        <v>6139</v>
      </c>
      <c r="M3119" t="s">
        <v>1757</v>
      </c>
    </row>
    <row r="3120" spans="1:13" x14ac:dyDescent="0.45">
      <c r="A3120" t="s">
        <v>6140</v>
      </c>
      <c r="B3120">
        <v>1</v>
      </c>
      <c r="C3120" t="s">
        <v>1774</v>
      </c>
      <c r="G3120" s="3">
        <v>1056.417245860755</v>
      </c>
      <c r="H3120" t="s">
        <v>1755</v>
      </c>
      <c r="I3120" t="s">
        <v>6140</v>
      </c>
      <c r="M3120" t="s">
        <v>1757</v>
      </c>
    </row>
    <row r="3121" spans="1:13" x14ac:dyDescent="0.45">
      <c r="A3121" t="s">
        <v>6141</v>
      </c>
      <c r="B3121">
        <v>1</v>
      </c>
      <c r="C3121" t="s">
        <v>1774</v>
      </c>
      <c r="G3121" s="3">
        <v>2295.351600691798</v>
      </c>
      <c r="H3121" t="s">
        <v>1755</v>
      </c>
      <c r="I3121" t="s">
        <v>6141</v>
      </c>
      <c r="M3121" t="s">
        <v>1757</v>
      </c>
    </row>
    <row r="3122" spans="1:13" x14ac:dyDescent="0.45">
      <c r="A3122" t="s">
        <v>6142</v>
      </c>
      <c r="B3122">
        <v>1</v>
      </c>
      <c r="C3122" t="s">
        <v>1774</v>
      </c>
      <c r="G3122" s="3">
        <v>1999.922415319749</v>
      </c>
      <c r="H3122" t="s">
        <v>1755</v>
      </c>
      <c r="I3122" t="s">
        <v>6142</v>
      </c>
      <c r="M3122" t="s">
        <v>1757</v>
      </c>
    </row>
    <row r="3123" spans="1:13" x14ac:dyDescent="0.45">
      <c r="A3123" t="s">
        <v>6143</v>
      </c>
      <c r="B3123">
        <v>1</v>
      </c>
      <c r="C3123" t="s">
        <v>1774</v>
      </c>
      <c r="G3123" s="3">
        <v>2828.6596785877769</v>
      </c>
      <c r="H3123" t="s">
        <v>1755</v>
      </c>
      <c r="I3123" t="s">
        <v>6143</v>
      </c>
      <c r="M3123" t="s">
        <v>1757</v>
      </c>
    </row>
    <row r="3124" spans="1:13" x14ac:dyDescent="0.45">
      <c r="A3124" t="s">
        <v>6144</v>
      </c>
      <c r="B3124">
        <v>1</v>
      </c>
      <c r="C3124" t="s">
        <v>1774</v>
      </c>
      <c r="G3124" s="3">
        <v>6030.1095737782371</v>
      </c>
      <c r="H3124" t="s">
        <v>1755</v>
      </c>
      <c r="I3124" t="s">
        <v>6144</v>
      </c>
      <c r="M3124" t="s">
        <v>1757</v>
      </c>
    </row>
    <row r="3125" spans="1:13" x14ac:dyDescent="0.45">
      <c r="A3125" t="s">
        <v>6145</v>
      </c>
      <c r="B3125">
        <v>1</v>
      </c>
      <c r="C3125" t="s">
        <v>1774</v>
      </c>
      <c r="G3125" s="3">
        <v>1908.624722069279</v>
      </c>
      <c r="H3125" t="s">
        <v>1755</v>
      </c>
      <c r="I3125" t="s">
        <v>6145</v>
      </c>
      <c r="M3125" t="s">
        <v>1757</v>
      </c>
    </row>
    <row r="3126" spans="1:13" x14ac:dyDescent="0.45">
      <c r="A3126" t="s">
        <v>6146</v>
      </c>
      <c r="B3126">
        <v>1</v>
      </c>
      <c r="C3126" t="s">
        <v>1774</v>
      </c>
      <c r="G3126" s="3">
        <v>2262.7620554303412</v>
      </c>
      <c r="H3126" t="s">
        <v>1755</v>
      </c>
      <c r="I3126" t="s">
        <v>6146</v>
      </c>
      <c r="M3126" t="s">
        <v>1757</v>
      </c>
    </row>
    <row r="3127" spans="1:13" x14ac:dyDescent="0.45">
      <c r="A3127" t="s">
        <v>6147</v>
      </c>
      <c r="B3127">
        <v>1</v>
      </c>
      <c r="C3127" t="s">
        <v>1774</v>
      </c>
      <c r="G3127" s="3">
        <v>2569.7665306475578</v>
      </c>
      <c r="H3127" t="s">
        <v>1755</v>
      </c>
      <c r="I3127" t="s">
        <v>6147</v>
      </c>
      <c r="M3127" t="s">
        <v>1757</v>
      </c>
    </row>
    <row r="3128" spans="1:13" x14ac:dyDescent="0.45">
      <c r="A3128" t="s">
        <v>6148</v>
      </c>
      <c r="B3128">
        <v>1</v>
      </c>
      <c r="C3128" t="s">
        <v>1774</v>
      </c>
      <c r="G3128" s="3">
        <v>3944.5352321062942</v>
      </c>
      <c r="H3128" t="s">
        <v>1755</v>
      </c>
      <c r="I3128" t="s">
        <v>6148</v>
      </c>
      <c r="M3128" t="s">
        <v>1757</v>
      </c>
    </row>
    <row r="3129" spans="1:13" x14ac:dyDescent="0.45">
      <c r="A3129" t="s">
        <v>6149</v>
      </c>
      <c r="B3129">
        <v>2</v>
      </c>
      <c r="C3129" t="s">
        <v>1774</v>
      </c>
      <c r="G3129" s="3">
        <v>1998.6960673395349</v>
      </c>
      <c r="H3129" t="s">
        <v>1755</v>
      </c>
      <c r="I3129" t="s">
        <v>6149</v>
      </c>
      <c r="M3129" t="s">
        <v>1757</v>
      </c>
    </row>
    <row r="3130" spans="1:13" x14ac:dyDescent="0.45">
      <c r="A3130" t="s">
        <v>6150</v>
      </c>
      <c r="B3130">
        <v>2</v>
      </c>
      <c r="C3130" t="s">
        <v>1774</v>
      </c>
      <c r="G3130" s="3">
        <v>3793.916216876702</v>
      </c>
      <c r="H3130" t="s">
        <v>1755</v>
      </c>
      <c r="I3130" t="s">
        <v>6150</v>
      </c>
      <c r="M3130" t="s">
        <v>1757</v>
      </c>
    </row>
    <row r="3131" spans="1:13" x14ac:dyDescent="0.45">
      <c r="A3131" t="s">
        <v>6151</v>
      </c>
      <c r="B3131">
        <v>1</v>
      </c>
      <c r="C3131" t="s">
        <v>1774</v>
      </c>
      <c r="G3131" s="3">
        <v>4637.3239940144294</v>
      </c>
      <c r="H3131" t="s">
        <v>1755</v>
      </c>
      <c r="I3131" t="s">
        <v>6151</v>
      </c>
      <c r="M3131" t="s">
        <v>1757</v>
      </c>
    </row>
    <row r="3132" spans="1:13" x14ac:dyDescent="0.45">
      <c r="A3132" t="s">
        <v>6152</v>
      </c>
      <c r="B3132">
        <v>1</v>
      </c>
      <c r="C3132" t="s">
        <v>1774</v>
      </c>
      <c r="G3132" s="3">
        <v>2560.774399313907</v>
      </c>
      <c r="H3132" t="s">
        <v>1755</v>
      </c>
      <c r="I3132" t="s">
        <v>6152</v>
      </c>
      <c r="M3132" t="s">
        <v>1757</v>
      </c>
    </row>
    <row r="3133" spans="1:13" x14ac:dyDescent="0.45">
      <c r="A3133" t="s">
        <v>6153</v>
      </c>
      <c r="B3133">
        <v>1</v>
      </c>
      <c r="C3133" t="s">
        <v>1774</v>
      </c>
      <c r="G3133" s="3">
        <v>3761.0070383650832</v>
      </c>
      <c r="H3133" t="s">
        <v>1755</v>
      </c>
      <c r="I3133" t="s">
        <v>6153</v>
      </c>
      <c r="M3133" t="s">
        <v>1757</v>
      </c>
    </row>
    <row r="3134" spans="1:13" x14ac:dyDescent="0.45">
      <c r="A3134" t="s">
        <v>6154</v>
      </c>
      <c r="B3134">
        <v>1</v>
      </c>
      <c r="C3134" t="s">
        <v>1774</v>
      </c>
      <c r="G3134" s="3">
        <v>3175.9803436545599</v>
      </c>
      <c r="H3134" t="s">
        <v>1755</v>
      </c>
      <c r="I3134" t="s">
        <v>6154</v>
      </c>
      <c r="M3134" t="s">
        <v>1757</v>
      </c>
    </row>
    <row r="3135" spans="1:13" x14ac:dyDescent="0.45">
      <c r="A3135" t="s">
        <v>6155</v>
      </c>
      <c r="B3135">
        <v>1</v>
      </c>
      <c r="C3135" t="s">
        <v>1774</v>
      </c>
      <c r="G3135" s="3">
        <v>2508.7948573971898</v>
      </c>
      <c r="H3135" t="s">
        <v>1755</v>
      </c>
      <c r="I3135" t="s">
        <v>6155</v>
      </c>
      <c r="M3135" t="s">
        <v>1757</v>
      </c>
    </row>
    <row r="3136" spans="1:13" x14ac:dyDescent="0.45">
      <c r="A3136" t="s">
        <v>6156</v>
      </c>
      <c r="B3136">
        <v>2</v>
      </c>
      <c r="C3136" t="s">
        <v>1774</v>
      </c>
      <c r="G3136" s="3">
        <v>2097.214862792654</v>
      </c>
      <c r="H3136" t="s">
        <v>1755</v>
      </c>
      <c r="I3136" t="s">
        <v>6156</v>
      </c>
      <c r="M3136" t="s">
        <v>1757</v>
      </c>
    </row>
    <row r="3137" spans="1:13" x14ac:dyDescent="0.45">
      <c r="A3137" t="s">
        <v>6157</v>
      </c>
      <c r="B3137">
        <v>1</v>
      </c>
      <c r="C3137" t="s">
        <v>1774</v>
      </c>
      <c r="G3137" s="3">
        <v>3339.3520732528768</v>
      </c>
      <c r="H3137" t="s">
        <v>1755</v>
      </c>
      <c r="I3137" t="s">
        <v>6157</v>
      </c>
      <c r="M3137" t="s">
        <v>1757</v>
      </c>
    </row>
    <row r="3138" spans="1:13" x14ac:dyDescent="0.45">
      <c r="A3138" t="s">
        <v>6158</v>
      </c>
      <c r="B3138">
        <v>1</v>
      </c>
      <c r="C3138" t="s">
        <v>1774</v>
      </c>
      <c r="G3138" s="3">
        <v>2163.7801179208641</v>
      </c>
      <c r="H3138" t="s">
        <v>1755</v>
      </c>
      <c r="I3138" t="s">
        <v>6158</v>
      </c>
      <c r="M3138" t="s">
        <v>1757</v>
      </c>
    </row>
    <row r="3139" spans="1:13" x14ac:dyDescent="0.45">
      <c r="A3139" t="s">
        <v>6159</v>
      </c>
      <c r="B3139">
        <v>2</v>
      </c>
      <c r="C3139" t="s">
        <v>1774</v>
      </c>
      <c r="G3139" s="3">
        <v>2221.4054267358579</v>
      </c>
      <c r="H3139" t="s">
        <v>1755</v>
      </c>
      <c r="I3139" t="s">
        <v>6159</v>
      </c>
      <c r="M3139" t="s">
        <v>1757</v>
      </c>
    </row>
    <row r="3140" spans="1:13" x14ac:dyDescent="0.45">
      <c r="A3140" t="s">
        <v>6160</v>
      </c>
      <c r="B3140">
        <v>1</v>
      </c>
      <c r="C3140" t="s">
        <v>1774</v>
      </c>
      <c r="G3140" s="3">
        <v>1821.6388161322241</v>
      </c>
      <c r="H3140" t="s">
        <v>1755</v>
      </c>
      <c r="I3140" t="s">
        <v>6160</v>
      </c>
      <c r="M3140" t="s">
        <v>1757</v>
      </c>
    </row>
    <row r="3141" spans="1:13" x14ac:dyDescent="0.45">
      <c r="A3141" t="s">
        <v>6161</v>
      </c>
      <c r="B3141">
        <v>1</v>
      </c>
      <c r="C3141" t="s">
        <v>1774</v>
      </c>
      <c r="G3141" s="3">
        <v>1914.6651381845929</v>
      </c>
      <c r="H3141" t="s">
        <v>1755</v>
      </c>
      <c r="I3141" t="s">
        <v>6161</v>
      </c>
      <c r="M3141" t="s">
        <v>1757</v>
      </c>
    </row>
    <row r="3142" spans="1:13" x14ac:dyDescent="0.45">
      <c r="A3142" t="s">
        <v>6162</v>
      </c>
      <c r="B3142">
        <v>3</v>
      </c>
      <c r="C3142" t="s">
        <v>1774</v>
      </c>
      <c r="G3142" s="3">
        <v>3343.429027974335</v>
      </c>
      <c r="H3142" t="s">
        <v>1755</v>
      </c>
      <c r="I3142" t="s">
        <v>6162</v>
      </c>
      <c r="M3142" t="s">
        <v>1757</v>
      </c>
    </row>
    <row r="3143" spans="1:13" x14ac:dyDescent="0.45">
      <c r="A3143" t="s">
        <v>6163</v>
      </c>
      <c r="B3143">
        <v>1</v>
      </c>
      <c r="C3143" t="s">
        <v>1774</v>
      </c>
      <c r="G3143" s="3">
        <v>2021.2660886775329</v>
      </c>
      <c r="H3143" t="s">
        <v>1755</v>
      </c>
      <c r="I3143" t="s">
        <v>6163</v>
      </c>
      <c r="M3143" t="s">
        <v>1757</v>
      </c>
    </row>
    <row r="3144" spans="1:13" x14ac:dyDescent="0.45">
      <c r="A3144" t="s">
        <v>6164</v>
      </c>
      <c r="B3144">
        <v>1</v>
      </c>
      <c r="C3144" t="s">
        <v>1774</v>
      </c>
      <c r="G3144" s="3">
        <v>1352.978193863481</v>
      </c>
      <c r="H3144" t="s">
        <v>1755</v>
      </c>
      <c r="I3144" t="s">
        <v>6164</v>
      </c>
      <c r="M3144" t="s">
        <v>1757</v>
      </c>
    </row>
    <row r="3145" spans="1:13" x14ac:dyDescent="0.45">
      <c r="A3145" t="s">
        <v>6165</v>
      </c>
      <c r="B3145">
        <v>1</v>
      </c>
      <c r="C3145" t="s">
        <v>1774</v>
      </c>
      <c r="G3145" s="3">
        <v>3781.1635025079768</v>
      </c>
      <c r="H3145" t="s">
        <v>1755</v>
      </c>
      <c r="I3145" t="s">
        <v>6165</v>
      </c>
      <c r="M3145" t="s">
        <v>1757</v>
      </c>
    </row>
    <row r="3146" spans="1:13" x14ac:dyDescent="0.45">
      <c r="A3146" t="s">
        <v>6166</v>
      </c>
      <c r="B3146">
        <v>3</v>
      </c>
      <c r="C3146" t="s">
        <v>1774</v>
      </c>
      <c r="G3146" s="3">
        <v>5021.6014382402946</v>
      </c>
      <c r="H3146" t="s">
        <v>1755</v>
      </c>
      <c r="I3146" t="s">
        <v>6166</v>
      </c>
      <c r="M3146" t="s">
        <v>1757</v>
      </c>
    </row>
    <row r="3147" spans="1:13" x14ac:dyDescent="0.45">
      <c r="A3147" t="s">
        <v>6167</v>
      </c>
      <c r="B3147">
        <v>1</v>
      </c>
      <c r="C3147" t="s">
        <v>1774</v>
      </c>
      <c r="G3147" s="3">
        <v>3347.9626016245988</v>
      </c>
      <c r="H3147" t="s">
        <v>1755</v>
      </c>
      <c r="I3147" t="s">
        <v>6167</v>
      </c>
      <c r="M3147" t="s">
        <v>1757</v>
      </c>
    </row>
    <row r="3148" spans="1:13" x14ac:dyDescent="0.45">
      <c r="A3148" t="s">
        <v>6168</v>
      </c>
      <c r="B3148">
        <v>2</v>
      </c>
      <c r="C3148" t="s">
        <v>1774</v>
      </c>
      <c r="G3148" s="3">
        <v>1815.3211670958499</v>
      </c>
      <c r="H3148" t="s">
        <v>1755</v>
      </c>
      <c r="I3148" t="s">
        <v>6168</v>
      </c>
      <c r="M3148" t="s">
        <v>1757</v>
      </c>
    </row>
    <row r="3149" spans="1:13" x14ac:dyDescent="0.45">
      <c r="A3149" t="s">
        <v>6169</v>
      </c>
      <c r="B3149">
        <v>1</v>
      </c>
      <c r="C3149" t="s">
        <v>1774</v>
      </c>
      <c r="G3149" s="3">
        <v>3963.158761273919</v>
      </c>
      <c r="H3149" t="s">
        <v>1755</v>
      </c>
      <c r="I3149" t="s">
        <v>6169</v>
      </c>
      <c r="M3149" t="s">
        <v>1757</v>
      </c>
    </row>
    <row r="3150" spans="1:13" x14ac:dyDescent="0.45">
      <c r="A3150" t="s">
        <v>6170</v>
      </c>
      <c r="B3150">
        <v>2</v>
      </c>
      <c r="C3150" t="s">
        <v>1774</v>
      </c>
      <c r="G3150" s="3">
        <v>1693.149511130712</v>
      </c>
      <c r="H3150" t="s">
        <v>1755</v>
      </c>
      <c r="I3150" t="s">
        <v>6170</v>
      </c>
      <c r="M3150" t="s">
        <v>1757</v>
      </c>
    </row>
    <row r="3151" spans="1:13" x14ac:dyDescent="0.45">
      <c r="A3151" t="s">
        <v>6171</v>
      </c>
      <c r="B3151">
        <v>1</v>
      </c>
      <c r="C3151" t="s">
        <v>1774</v>
      </c>
      <c r="G3151" s="3">
        <v>3087.6669812601972</v>
      </c>
      <c r="H3151" t="s">
        <v>1755</v>
      </c>
      <c r="I3151" t="s">
        <v>6171</v>
      </c>
      <c r="M3151" t="s">
        <v>1757</v>
      </c>
    </row>
    <row r="3152" spans="1:13" x14ac:dyDescent="0.45">
      <c r="A3152" t="s">
        <v>6172</v>
      </c>
      <c r="B3152">
        <v>1</v>
      </c>
      <c r="C3152" t="s">
        <v>1774</v>
      </c>
      <c r="G3152" s="3">
        <v>3476.239904980594</v>
      </c>
      <c r="H3152" t="s">
        <v>1755</v>
      </c>
      <c r="I3152" t="s">
        <v>6172</v>
      </c>
      <c r="M3152" t="s">
        <v>1757</v>
      </c>
    </row>
    <row r="3153" spans="1:13" x14ac:dyDescent="0.45">
      <c r="A3153" t="s">
        <v>6173</v>
      </c>
      <c r="B3153">
        <v>1</v>
      </c>
      <c r="C3153" t="s">
        <v>1774</v>
      </c>
      <c r="G3153" s="3">
        <v>1092.8815288894859</v>
      </c>
      <c r="H3153" t="s">
        <v>1755</v>
      </c>
      <c r="I3153" t="s">
        <v>6173</v>
      </c>
      <c r="M3153" t="s">
        <v>1757</v>
      </c>
    </row>
    <row r="3154" spans="1:13" x14ac:dyDescent="0.45">
      <c r="A3154" t="s">
        <v>6174</v>
      </c>
      <c r="B3154">
        <v>2</v>
      </c>
      <c r="C3154" t="s">
        <v>1774</v>
      </c>
      <c r="G3154" s="3">
        <v>2758.7089202588668</v>
      </c>
      <c r="H3154" t="s">
        <v>1755</v>
      </c>
      <c r="I3154" t="s">
        <v>6174</v>
      </c>
      <c r="M3154" t="s">
        <v>1757</v>
      </c>
    </row>
    <row r="3155" spans="1:13" x14ac:dyDescent="0.45">
      <c r="A3155" t="s">
        <v>6175</v>
      </c>
      <c r="B3155">
        <v>1</v>
      </c>
      <c r="C3155" t="s">
        <v>1774</v>
      </c>
      <c r="G3155" s="3">
        <v>4551.7079448637833</v>
      </c>
      <c r="H3155" t="s">
        <v>1755</v>
      </c>
      <c r="I3155" t="s">
        <v>6175</v>
      </c>
      <c r="M3155" t="s">
        <v>1757</v>
      </c>
    </row>
    <row r="3156" spans="1:13" x14ac:dyDescent="0.45">
      <c r="A3156" t="s">
        <v>6176</v>
      </c>
      <c r="B3156">
        <v>1</v>
      </c>
      <c r="C3156" t="s">
        <v>1774</v>
      </c>
      <c r="G3156" s="3">
        <v>4714.6882868088396</v>
      </c>
      <c r="H3156" t="s">
        <v>1755</v>
      </c>
      <c r="I3156" t="s">
        <v>6176</v>
      </c>
      <c r="M3156" t="s">
        <v>1757</v>
      </c>
    </row>
    <row r="3157" spans="1:13" x14ac:dyDescent="0.45">
      <c r="A3157" t="s">
        <v>6177</v>
      </c>
      <c r="B3157">
        <v>1</v>
      </c>
      <c r="C3157" t="s">
        <v>1774</v>
      </c>
      <c r="G3157" s="3">
        <v>2809.8176246470812</v>
      </c>
      <c r="H3157" t="s">
        <v>1755</v>
      </c>
      <c r="I3157" t="s">
        <v>6177</v>
      </c>
      <c r="M3157" t="s">
        <v>1757</v>
      </c>
    </row>
    <row r="3158" spans="1:13" x14ac:dyDescent="0.45">
      <c r="A3158" t="s">
        <v>6178</v>
      </c>
      <c r="B3158">
        <v>1</v>
      </c>
      <c r="C3158" t="s">
        <v>1774</v>
      </c>
      <c r="G3158" s="3">
        <v>1722.0893665255189</v>
      </c>
      <c r="H3158" t="s">
        <v>1755</v>
      </c>
      <c r="I3158" t="s">
        <v>6178</v>
      </c>
      <c r="M3158" t="s">
        <v>1757</v>
      </c>
    </row>
    <row r="3159" spans="1:13" x14ac:dyDescent="0.45">
      <c r="A3159" t="s">
        <v>6179</v>
      </c>
      <c r="B3159">
        <v>1</v>
      </c>
      <c r="C3159" t="s">
        <v>1774</v>
      </c>
      <c r="H3159" t="s">
        <v>1755</v>
      </c>
      <c r="I3159" t="s">
        <v>6179</v>
      </c>
      <c r="M3159" t="s">
        <v>1757</v>
      </c>
    </row>
    <row r="3160" spans="1:13" x14ac:dyDescent="0.45">
      <c r="A3160" t="s">
        <v>6180</v>
      </c>
      <c r="B3160">
        <v>3</v>
      </c>
      <c r="C3160" t="s">
        <v>1774</v>
      </c>
      <c r="G3160" s="3">
        <v>3084.7054813505292</v>
      </c>
      <c r="H3160" t="s">
        <v>1755</v>
      </c>
      <c r="I3160" t="s">
        <v>6180</v>
      </c>
      <c r="M3160" t="s">
        <v>1757</v>
      </c>
    </row>
    <row r="3161" spans="1:13" x14ac:dyDescent="0.45">
      <c r="A3161" t="s">
        <v>6181</v>
      </c>
      <c r="B3161">
        <v>1</v>
      </c>
      <c r="C3161" t="s">
        <v>1774</v>
      </c>
      <c r="G3161" s="3">
        <v>565.40512702708327</v>
      </c>
      <c r="H3161" t="s">
        <v>1755</v>
      </c>
      <c r="I3161" t="s">
        <v>6181</v>
      </c>
      <c r="M3161" t="s">
        <v>1757</v>
      </c>
    </row>
    <row r="3162" spans="1:13" x14ac:dyDescent="0.45">
      <c r="A3162" t="s">
        <v>6182</v>
      </c>
      <c r="B3162">
        <v>1</v>
      </c>
      <c r="C3162" t="s">
        <v>1774</v>
      </c>
      <c r="G3162" s="3">
        <v>3985.5004731475169</v>
      </c>
      <c r="H3162" t="s">
        <v>1755</v>
      </c>
      <c r="I3162" t="s">
        <v>6182</v>
      </c>
      <c r="M3162" t="s">
        <v>1757</v>
      </c>
    </row>
    <row r="3163" spans="1:13" x14ac:dyDescent="0.45">
      <c r="A3163" t="s">
        <v>6183</v>
      </c>
      <c r="B3163">
        <v>3</v>
      </c>
      <c r="C3163" t="s">
        <v>1774</v>
      </c>
      <c r="G3163" s="3">
        <v>2937.6187396916089</v>
      </c>
      <c r="H3163" t="s">
        <v>1755</v>
      </c>
      <c r="I3163" t="s">
        <v>6183</v>
      </c>
      <c r="M3163" t="s">
        <v>1757</v>
      </c>
    </row>
    <row r="3164" spans="1:13" x14ac:dyDescent="0.45">
      <c r="A3164" t="s">
        <v>6184</v>
      </c>
      <c r="B3164">
        <v>5</v>
      </c>
      <c r="C3164" t="s">
        <v>1774</v>
      </c>
      <c r="G3164" s="3">
        <v>981.31973989147446</v>
      </c>
      <c r="H3164" t="s">
        <v>1755</v>
      </c>
      <c r="I3164" t="s">
        <v>6184</v>
      </c>
      <c r="M3164" t="s">
        <v>1757</v>
      </c>
    </row>
    <row r="3165" spans="1:13" x14ac:dyDescent="0.45">
      <c r="A3165" t="s">
        <v>6185</v>
      </c>
      <c r="B3165">
        <v>1</v>
      </c>
      <c r="C3165" t="s">
        <v>1774</v>
      </c>
      <c r="G3165" s="3">
        <v>4420.3321559194792</v>
      </c>
      <c r="H3165" t="s">
        <v>1755</v>
      </c>
      <c r="I3165" t="s">
        <v>6185</v>
      </c>
      <c r="M3165" t="s">
        <v>1757</v>
      </c>
    </row>
    <row r="3166" spans="1:13" x14ac:dyDescent="0.45">
      <c r="A3166" t="s">
        <v>6186</v>
      </c>
      <c r="B3166">
        <v>1</v>
      </c>
      <c r="C3166" t="s">
        <v>1774</v>
      </c>
      <c r="H3166" t="s">
        <v>1755</v>
      </c>
      <c r="I3166" t="s">
        <v>6186</v>
      </c>
      <c r="M3166" t="s">
        <v>1757</v>
      </c>
    </row>
    <row r="3167" spans="1:13" x14ac:dyDescent="0.45">
      <c r="A3167" t="s">
        <v>6187</v>
      </c>
      <c r="B3167">
        <v>1</v>
      </c>
      <c r="C3167" t="s">
        <v>1774</v>
      </c>
      <c r="G3167" s="3">
        <v>928.76616274997559</v>
      </c>
      <c r="H3167" t="s">
        <v>1755</v>
      </c>
      <c r="I3167" t="s">
        <v>6187</v>
      </c>
      <c r="M3167" t="s">
        <v>1757</v>
      </c>
    </row>
    <row r="3168" spans="1:13" x14ac:dyDescent="0.45">
      <c r="A3168" t="s">
        <v>6188</v>
      </c>
      <c r="B3168">
        <v>1</v>
      </c>
      <c r="C3168" t="s">
        <v>1774</v>
      </c>
      <c r="G3168" s="3">
        <v>2406.0621215439701</v>
      </c>
      <c r="H3168" t="s">
        <v>1755</v>
      </c>
      <c r="I3168" t="s">
        <v>6188</v>
      </c>
      <c r="M3168" t="s">
        <v>1757</v>
      </c>
    </row>
    <row r="3169" spans="1:13" x14ac:dyDescent="0.45">
      <c r="A3169" t="s">
        <v>6189</v>
      </c>
      <c r="B3169">
        <v>1</v>
      </c>
      <c r="C3169" t="s">
        <v>1774</v>
      </c>
      <c r="G3169" s="3">
        <v>2440.2628793113481</v>
      </c>
      <c r="H3169" t="s">
        <v>1755</v>
      </c>
      <c r="I3169" t="s">
        <v>6189</v>
      </c>
      <c r="M3169" t="s">
        <v>1757</v>
      </c>
    </row>
    <row r="3170" spans="1:13" x14ac:dyDescent="0.45">
      <c r="A3170" t="s">
        <v>6190</v>
      </c>
      <c r="B3170">
        <v>2</v>
      </c>
      <c r="C3170" t="s">
        <v>1774</v>
      </c>
      <c r="G3170" s="3">
        <v>2481.0976578014838</v>
      </c>
      <c r="H3170" t="s">
        <v>1755</v>
      </c>
      <c r="I3170" t="s">
        <v>6190</v>
      </c>
      <c r="M3170" t="s">
        <v>1757</v>
      </c>
    </row>
    <row r="3171" spans="1:13" x14ac:dyDescent="0.45">
      <c r="A3171" t="s">
        <v>6191</v>
      </c>
      <c r="B3171">
        <v>1</v>
      </c>
      <c r="C3171" t="s">
        <v>1774</v>
      </c>
      <c r="G3171" s="3">
        <v>2073.190184010039</v>
      </c>
      <c r="H3171" t="s">
        <v>1755</v>
      </c>
      <c r="I3171" t="s">
        <v>6191</v>
      </c>
      <c r="M3171" t="s">
        <v>1757</v>
      </c>
    </row>
    <row r="3172" spans="1:13" x14ac:dyDescent="0.45">
      <c r="A3172" t="s">
        <v>6192</v>
      </c>
      <c r="B3172">
        <v>1</v>
      </c>
      <c r="C3172" t="s">
        <v>1774</v>
      </c>
      <c r="G3172" s="3">
        <v>3210.3800568123452</v>
      </c>
      <c r="H3172" t="s">
        <v>1755</v>
      </c>
      <c r="I3172" t="s">
        <v>6192</v>
      </c>
      <c r="M3172" t="s">
        <v>1757</v>
      </c>
    </row>
    <row r="3173" spans="1:13" x14ac:dyDescent="0.45">
      <c r="A3173" t="s">
        <v>6193</v>
      </c>
      <c r="B3173">
        <v>1</v>
      </c>
      <c r="C3173" t="s">
        <v>1774</v>
      </c>
      <c r="G3173" s="3">
        <v>1213.4648032951441</v>
      </c>
      <c r="H3173" t="s">
        <v>1755</v>
      </c>
      <c r="I3173" t="s">
        <v>6193</v>
      </c>
      <c r="M3173" t="s">
        <v>1757</v>
      </c>
    </row>
    <row r="3174" spans="1:13" x14ac:dyDescent="0.45">
      <c r="A3174" t="s">
        <v>6194</v>
      </c>
      <c r="B3174">
        <v>1</v>
      </c>
      <c r="C3174" t="s">
        <v>1774</v>
      </c>
      <c r="G3174" s="3">
        <v>632.85100437512858</v>
      </c>
      <c r="H3174" t="s">
        <v>1755</v>
      </c>
      <c r="I3174" t="s">
        <v>6194</v>
      </c>
      <c r="M3174" t="s">
        <v>1757</v>
      </c>
    </row>
    <row r="3175" spans="1:13" x14ac:dyDescent="0.45">
      <c r="A3175" t="s">
        <v>6195</v>
      </c>
      <c r="B3175">
        <v>1</v>
      </c>
      <c r="C3175" t="s">
        <v>1774</v>
      </c>
      <c r="G3175" s="3">
        <v>2739.0090750447762</v>
      </c>
      <c r="H3175" t="s">
        <v>1755</v>
      </c>
      <c r="I3175" t="s">
        <v>6195</v>
      </c>
      <c r="M3175" t="s">
        <v>1757</v>
      </c>
    </row>
    <row r="3176" spans="1:13" x14ac:dyDescent="0.45">
      <c r="A3176" t="s">
        <v>6196</v>
      </c>
      <c r="B3176">
        <v>1</v>
      </c>
      <c r="C3176" t="s">
        <v>1774</v>
      </c>
      <c r="G3176" s="3">
        <v>2485.2007050331599</v>
      </c>
      <c r="H3176" t="s">
        <v>1755</v>
      </c>
      <c r="I3176" t="s">
        <v>6196</v>
      </c>
      <c r="M3176" t="s">
        <v>1757</v>
      </c>
    </row>
    <row r="3177" spans="1:13" x14ac:dyDescent="0.45">
      <c r="A3177" t="s">
        <v>6197</v>
      </c>
      <c r="B3177">
        <v>1</v>
      </c>
      <c r="C3177" t="s">
        <v>1774</v>
      </c>
      <c r="H3177" t="s">
        <v>1755</v>
      </c>
      <c r="I3177" t="s">
        <v>6197</v>
      </c>
      <c r="M3177" t="s">
        <v>1757</v>
      </c>
    </row>
    <row r="3178" spans="1:13" x14ac:dyDescent="0.45">
      <c r="A3178" t="s">
        <v>6198</v>
      </c>
      <c r="B3178">
        <v>2</v>
      </c>
      <c r="C3178" t="s">
        <v>1774</v>
      </c>
      <c r="G3178" s="3">
        <v>2219.6246129135252</v>
      </c>
      <c r="H3178" t="s">
        <v>1755</v>
      </c>
      <c r="I3178" t="s">
        <v>6198</v>
      </c>
      <c r="M3178" t="s">
        <v>1757</v>
      </c>
    </row>
    <row r="3179" spans="1:13" x14ac:dyDescent="0.45">
      <c r="A3179" t="s">
        <v>6199</v>
      </c>
      <c r="B3179">
        <v>1</v>
      </c>
      <c r="C3179" t="s">
        <v>1774</v>
      </c>
      <c r="G3179" s="3">
        <v>2896.3566963466651</v>
      </c>
      <c r="H3179" t="s">
        <v>1755</v>
      </c>
      <c r="I3179" t="s">
        <v>6199</v>
      </c>
      <c r="M3179" t="s">
        <v>1757</v>
      </c>
    </row>
    <row r="3180" spans="1:13" x14ac:dyDescent="0.45">
      <c r="A3180" t="s">
        <v>6200</v>
      </c>
      <c r="B3180">
        <v>1</v>
      </c>
      <c r="C3180" t="s">
        <v>1774</v>
      </c>
      <c r="G3180" s="3">
        <v>3721.705194850214</v>
      </c>
      <c r="H3180" t="s">
        <v>1755</v>
      </c>
      <c r="I3180" t="s">
        <v>6200</v>
      </c>
      <c r="M3180" t="s">
        <v>1757</v>
      </c>
    </row>
    <row r="3181" spans="1:13" x14ac:dyDescent="0.45">
      <c r="A3181" t="s">
        <v>6201</v>
      </c>
      <c r="B3181">
        <v>1</v>
      </c>
      <c r="C3181" t="s">
        <v>1774</v>
      </c>
      <c r="G3181" s="3">
        <v>1012.066501618832</v>
      </c>
      <c r="H3181" t="s">
        <v>1755</v>
      </c>
      <c r="I3181" t="s">
        <v>6201</v>
      </c>
      <c r="M3181" t="s">
        <v>1757</v>
      </c>
    </row>
    <row r="3182" spans="1:13" x14ac:dyDescent="0.45">
      <c r="A3182" t="s">
        <v>6202</v>
      </c>
      <c r="B3182">
        <v>1</v>
      </c>
      <c r="C3182" t="s">
        <v>1774</v>
      </c>
      <c r="G3182" s="3">
        <v>2563.8859311573251</v>
      </c>
      <c r="H3182" t="s">
        <v>1755</v>
      </c>
      <c r="I3182" t="s">
        <v>6202</v>
      </c>
      <c r="M3182" t="s">
        <v>1757</v>
      </c>
    </row>
    <row r="3183" spans="1:13" x14ac:dyDescent="0.45">
      <c r="A3183" t="s">
        <v>6203</v>
      </c>
      <c r="B3183">
        <v>1</v>
      </c>
      <c r="C3183" t="s">
        <v>1774</v>
      </c>
      <c r="G3183" s="3">
        <v>3232.9076778212402</v>
      </c>
      <c r="H3183" t="s">
        <v>1755</v>
      </c>
      <c r="I3183" t="s">
        <v>6203</v>
      </c>
      <c r="M3183" t="s">
        <v>1757</v>
      </c>
    </row>
    <row r="3184" spans="1:13" x14ac:dyDescent="0.45">
      <c r="A3184" t="s">
        <v>6204</v>
      </c>
      <c r="B3184">
        <v>1</v>
      </c>
      <c r="C3184" t="s">
        <v>1774</v>
      </c>
      <c r="G3184" s="3">
        <v>2773.118509026393</v>
      </c>
      <c r="H3184" t="s">
        <v>1755</v>
      </c>
      <c r="I3184" t="s">
        <v>6204</v>
      </c>
      <c r="M3184" t="s">
        <v>1757</v>
      </c>
    </row>
    <row r="3185" spans="1:13" x14ac:dyDescent="0.45">
      <c r="A3185" t="s">
        <v>6205</v>
      </c>
      <c r="B3185">
        <v>1</v>
      </c>
      <c r="C3185" t="s">
        <v>1774</v>
      </c>
      <c r="G3185" s="3">
        <v>1819.257874574891</v>
      </c>
      <c r="H3185" t="s">
        <v>1755</v>
      </c>
      <c r="I3185" t="s">
        <v>6205</v>
      </c>
      <c r="M3185" t="s">
        <v>1757</v>
      </c>
    </row>
    <row r="3186" spans="1:13" x14ac:dyDescent="0.45">
      <c r="A3186" t="s">
        <v>6206</v>
      </c>
      <c r="B3186">
        <v>1</v>
      </c>
      <c r="C3186" t="s">
        <v>1774</v>
      </c>
      <c r="G3186" s="3">
        <v>3163.449415622682</v>
      </c>
      <c r="H3186" t="s">
        <v>1755</v>
      </c>
      <c r="I3186" t="s">
        <v>6206</v>
      </c>
      <c r="M3186" t="s">
        <v>1757</v>
      </c>
    </row>
    <row r="3187" spans="1:13" x14ac:dyDescent="0.45">
      <c r="A3187" t="s">
        <v>6207</v>
      </c>
      <c r="B3187">
        <v>1</v>
      </c>
      <c r="C3187" t="s">
        <v>1774</v>
      </c>
      <c r="G3187" s="3">
        <v>2549.1795400860769</v>
      </c>
      <c r="H3187" t="s">
        <v>1755</v>
      </c>
      <c r="I3187" t="s">
        <v>6207</v>
      </c>
      <c r="M3187" t="s">
        <v>1757</v>
      </c>
    </row>
    <row r="3188" spans="1:13" x14ac:dyDescent="0.45">
      <c r="A3188" t="s">
        <v>6208</v>
      </c>
      <c r="B3188">
        <v>1</v>
      </c>
      <c r="C3188" t="s">
        <v>1774</v>
      </c>
      <c r="G3188" s="3">
        <v>3468.934002119739</v>
      </c>
      <c r="H3188" t="s">
        <v>1755</v>
      </c>
      <c r="I3188" t="s">
        <v>6208</v>
      </c>
      <c r="M3188" t="s">
        <v>1757</v>
      </c>
    </row>
    <row r="3189" spans="1:13" x14ac:dyDescent="0.45">
      <c r="A3189" t="s">
        <v>6209</v>
      </c>
      <c r="B3189">
        <v>1</v>
      </c>
      <c r="C3189" t="s">
        <v>1774</v>
      </c>
      <c r="G3189" s="3">
        <v>4298.9041364955356</v>
      </c>
      <c r="H3189" t="s">
        <v>1755</v>
      </c>
      <c r="I3189" t="s">
        <v>6209</v>
      </c>
      <c r="M3189" t="s">
        <v>1757</v>
      </c>
    </row>
    <row r="3190" spans="1:13" x14ac:dyDescent="0.45">
      <c r="A3190" t="s">
        <v>6210</v>
      </c>
      <c r="B3190">
        <v>1</v>
      </c>
      <c r="C3190" t="s">
        <v>1774</v>
      </c>
      <c r="G3190" s="3">
        <v>3827.673401970384</v>
      </c>
      <c r="H3190" t="s">
        <v>1755</v>
      </c>
      <c r="I3190" t="s">
        <v>6210</v>
      </c>
      <c r="M3190" t="s">
        <v>1757</v>
      </c>
    </row>
    <row r="3191" spans="1:13" x14ac:dyDescent="0.45">
      <c r="A3191" t="s">
        <v>6211</v>
      </c>
      <c r="B3191">
        <v>1</v>
      </c>
      <c r="C3191" t="s">
        <v>1774</v>
      </c>
      <c r="G3191" s="3">
        <v>1473.5549451415829</v>
      </c>
      <c r="H3191" t="s">
        <v>1755</v>
      </c>
      <c r="I3191" t="s">
        <v>6211</v>
      </c>
      <c r="M3191" t="s">
        <v>1757</v>
      </c>
    </row>
    <row r="3192" spans="1:13" x14ac:dyDescent="0.45">
      <c r="A3192" t="s">
        <v>6212</v>
      </c>
      <c r="B3192">
        <v>2</v>
      </c>
      <c r="C3192" t="s">
        <v>1774</v>
      </c>
      <c r="G3192" s="3">
        <v>3548.1573862671348</v>
      </c>
      <c r="H3192" t="s">
        <v>1755</v>
      </c>
      <c r="I3192" t="s">
        <v>6212</v>
      </c>
      <c r="M3192" t="s">
        <v>1757</v>
      </c>
    </row>
    <row r="3193" spans="1:13" x14ac:dyDescent="0.45">
      <c r="A3193" t="s">
        <v>6213</v>
      </c>
      <c r="B3193">
        <v>1</v>
      </c>
      <c r="C3193" t="s">
        <v>1774</v>
      </c>
      <c r="G3193" s="3">
        <v>2074.452409191802</v>
      </c>
      <c r="H3193" t="s">
        <v>1755</v>
      </c>
      <c r="I3193" t="s">
        <v>6213</v>
      </c>
      <c r="M3193" t="s">
        <v>1757</v>
      </c>
    </row>
    <row r="3194" spans="1:13" x14ac:dyDescent="0.45">
      <c r="A3194" t="s">
        <v>6214</v>
      </c>
      <c r="B3194">
        <v>1</v>
      </c>
      <c r="C3194" t="s">
        <v>1774</v>
      </c>
      <c r="G3194" s="3">
        <v>1675.6218673922151</v>
      </c>
      <c r="H3194" t="s">
        <v>1755</v>
      </c>
      <c r="I3194" t="s">
        <v>6214</v>
      </c>
      <c r="M3194" t="s">
        <v>1757</v>
      </c>
    </row>
    <row r="3195" spans="1:13" x14ac:dyDescent="0.45">
      <c r="A3195" t="s">
        <v>6215</v>
      </c>
      <c r="B3195">
        <v>4</v>
      </c>
      <c r="C3195" t="s">
        <v>1774</v>
      </c>
      <c r="G3195" s="3">
        <v>990.62824291151026</v>
      </c>
      <c r="H3195" t="s">
        <v>1755</v>
      </c>
      <c r="I3195" t="s">
        <v>6215</v>
      </c>
      <c r="M3195" t="s">
        <v>1757</v>
      </c>
    </row>
    <row r="3196" spans="1:13" x14ac:dyDescent="0.45">
      <c r="A3196" t="s">
        <v>6216</v>
      </c>
      <c r="B3196">
        <v>1</v>
      </c>
      <c r="C3196" t="s">
        <v>1774</v>
      </c>
      <c r="G3196" s="3">
        <v>2884.4552501237799</v>
      </c>
      <c r="H3196" t="s">
        <v>1755</v>
      </c>
      <c r="I3196" t="s">
        <v>6216</v>
      </c>
      <c r="M3196" t="s">
        <v>1757</v>
      </c>
    </row>
    <row r="3197" spans="1:13" x14ac:dyDescent="0.45">
      <c r="A3197" t="s">
        <v>6217</v>
      </c>
      <c r="B3197">
        <v>1</v>
      </c>
      <c r="C3197" t="s">
        <v>1774</v>
      </c>
      <c r="G3197" s="3">
        <v>1661.4666805993079</v>
      </c>
      <c r="H3197" t="s">
        <v>1755</v>
      </c>
      <c r="I3197" t="s">
        <v>6217</v>
      </c>
      <c r="M3197" t="s">
        <v>1757</v>
      </c>
    </row>
    <row r="3198" spans="1:13" x14ac:dyDescent="0.45">
      <c r="A3198" t="s">
        <v>6218</v>
      </c>
      <c r="B3198">
        <v>1</v>
      </c>
      <c r="C3198" t="s">
        <v>1774</v>
      </c>
      <c r="G3198" s="3">
        <v>1286.849988281411</v>
      </c>
      <c r="H3198" t="s">
        <v>1755</v>
      </c>
      <c r="I3198" t="s">
        <v>6218</v>
      </c>
      <c r="M3198" t="s">
        <v>1757</v>
      </c>
    </row>
    <row r="3199" spans="1:13" x14ac:dyDescent="0.45">
      <c r="A3199" t="s">
        <v>6219</v>
      </c>
      <c r="B3199">
        <v>2</v>
      </c>
      <c r="C3199" t="s">
        <v>1774</v>
      </c>
      <c r="G3199" s="3">
        <v>1942.6982788493469</v>
      </c>
      <c r="H3199" t="s">
        <v>1755</v>
      </c>
      <c r="I3199" t="s">
        <v>6219</v>
      </c>
      <c r="M3199" t="s">
        <v>1757</v>
      </c>
    </row>
    <row r="3200" spans="1:13" x14ac:dyDescent="0.45">
      <c r="A3200" t="s">
        <v>6220</v>
      </c>
      <c r="B3200">
        <v>1</v>
      </c>
      <c r="C3200" t="s">
        <v>1774</v>
      </c>
      <c r="G3200" s="3">
        <v>3177.1675528694491</v>
      </c>
      <c r="H3200" t="s">
        <v>1755</v>
      </c>
      <c r="I3200" t="s">
        <v>6220</v>
      </c>
      <c r="M3200" t="s">
        <v>1757</v>
      </c>
    </row>
    <row r="3201" spans="1:13" x14ac:dyDescent="0.45">
      <c r="A3201" t="s">
        <v>6221</v>
      </c>
      <c r="B3201">
        <v>1</v>
      </c>
      <c r="C3201" t="s">
        <v>1774</v>
      </c>
      <c r="G3201" s="3">
        <v>2454.5289592726781</v>
      </c>
      <c r="H3201" t="s">
        <v>1755</v>
      </c>
      <c r="I3201" t="s">
        <v>6221</v>
      </c>
      <c r="M3201" t="s">
        <v>1757</v>
      </c>
    </row>
    <row r="3202" spans="1:13" x14ac:dyDescent="0.45">
      <c r="A3202" t="s">
        <v>6222</v>
      </c>
      <c r="B3202">
        <v>2</v>
      </c>
      <c r="C3202" t="s">
        <v>1774</v>
      </c>
      <c r="G3202" s="3">
        <v>2903.939832128578</v>
      </c>
      <c r="H3202" t="s">
        <v>1755</v>
      </c>
      <c r="I3202" t="s">
        <v>6222</v>
      </c>
      <c r="M3202" t="s">
        <v>1757</v>
      </c>
    </row>
    <row r="3203" spans="1:13" x14ac:dyDescent="0.45">
      <c r="A3203" t="s">
        <v>6223</v>
      </c>
      <c r="B3203">
        <v>1</v>
      </c>
      <c r="C3203" t="s">
        <v>1774</v>
      </c>
      <c r="G3203" s="3">
        <v>5518.1745233140373</v>
      </c>
      <c r="H3203" t="s">
        <v>1755</v>
      </c>
      <c r="I3203" t="s">
        <v>6223</v>
      </c>
      <c r="M3203" t="s">
        <v>1757</v>
      </c>
    </row>
    <row r="3204" spans="1:13" x14ac:dyDescent="0.45">
      <c r="A3204" t="s">
        <v>6224</v>
      </c>
      <c r="B3204">
        <v>1</v>
      </c>
      <c r="C3204" t="s">
        <v>1774</v>
      </c>
      <c r="G3204" s="3">
        <v>1266.739186031396</v>
      </c>
      <c r="H3204" t="s">
        <v>1755</v>
      </c>
      <c r="I3204" t="s">
        <v>6224</v>
      </c>
      <c r="M3204" t="s">
        <v>1757</v>
      </c>
    </row>
    <row r="3205" spans="1:13" x14ac:dyDescent="0.45">
      <c r="A3205" t="s">
        <v>6225</v>
      </c>
      <c r="B3205">
        <v>1</v>
      </c>
      <c r="C3205" t="s">
        <v>1774</v>
      </c>
      <c r="G3205" s="3">
        <v>2356.9364479322739</v>
      </c>
      <c r="H3205" t="s">
        <v>1755</v>
      </c>
      <c r="I3205" t="s">
        <v>6225</v>
      </c>
      <c r="M3205" t="s">
        <v>1757</v>
      </c>
    </row>
    <row r="3206" spans="1:13" x14ac:dyDescent="0.45">
      <c r="A3206" t="s">
        <v>6226</v>
      </c>
      <c r="B3206">
        <v>1</v>
      </c>
      <c r="C3206" t="s">
        <v>1774</v>
      </c>
      <c r="G3206" s="3">
        <v>3923.5307613813361</v>
      </c>
      <c r="H3206" t="s">
        <v>1755</v>
      </c>
      <c r="I3206" t="s">
        <v>6226</v>
      </c>
      <c r="M3206" t="s">
        <v>1757</v>
      </c>
    </row>
    <row r="3207" spans="1:13" x14ac:dyDescent="0.45">
      <c r="A3207" t="s">
        <v>6227</v>
      </c>
      <c r="B3207">
        <v>1</v>
      </c>
      <c r="C3207" t="s">
        <v>1774</v>
      </c>
      <c r="G3207" s="3">
        <v>1853.973959419061</v>
      </c>
      <c r="H3207" t="s">
        <v>1755</v>
      </c>
      <c r="I3207" t="s">
        <v>6227</v>
      </c>
      <c r="M3207" t="s">
        <v>1757</v>
      </c>
    </row>
    <row r="3208" spans="1:13" x14ac:dyDescent="0.45">
      <c r="A3208" t="s">
        <v>6228</v>
      </c>
      <c r="B3208">
        <v>1</v>
      </c>
      <c r="C3208" t="s">
        <v>1774</v>
      </c>
      <c r="G3208" s="3">
        <v>1744.2451692638169</v>
      </c>
      <c r="H3208" t="s">
        <v>1755</v>
      </c>
      <c r="I3208" t="s">
        <v>6228</v>
      </c>
      <c r="M3208" t="s">
        <v>1757</v>
      </c>
    </row>
    <row r="3209" spans="1:13" x14ac:dyDescent="0.45">
      <c r="A3209" t="s">
        <v>6229</v>
      </c>
      <c r="B3209">
        <v>1</v>
      </c>
      <c r="C3209" t="s">
        <v>1774</v>
      </c>
      <c r="G3209" s="3">
        <v>2660.2520945175138</v>
      </c>
      <c r="H3209" t="s">
        <v>1755</v>
      </c>
      <c r="I3209" t="s">
        <v>6229</v>
      </c>
      <c r="M3209" t="s">
        <v>1757</v>
      </c>
    </row>
    <row r="3210" spans="1:13" x14ac:dyDescent="0.45">
      <c r="A3210" t="s">
        <v>6230</v>
      </c>
      <c r="B3210">
        <v>1</v>
      </c>
      <c r="C3210" t="s">
        <v>1774</v>
      </c>
      <c r="G3210" s="3">
        <v>3467.335835868927</v>
      </c>
      <c r="H3210" t="s">
        <v>1755</v>
      </c>
      <c r="I3210" t="s">
        <v>6230</v>
      </c>
      <c r="M3210" t="s">
        <v>1757</v>
      </c>
    </row>
    <row r="3211" spans="1:13" x14ac:dyDescent="0.45">
      <c r="A3211" t="s">
        <v>6231</v>
      </c>
      <c r="B3211">
        <v>1</v>
      </c>
      <c r="C3211" t="s">
        <v>1774</v>
      </c>
      <c r="G3211" s="3">
        <v>3946.8835580258542</v>
      </c>
      <c r="H3211" t="s">
        <v>1755</v>
      </c>
      <c r="I3211" t="s">
        <v>6231</v>
      </c>
      <c r="M3211" t="s">
        <v>1757</v>
      </c>
    </row>
    <row r="3212" spans="1:13" x14ac:dyDescent="0.45">
      <c r="A3212" t="s">
        <v>6232</v>
      </c>
      <c r="B3212">
        <v>1</v>
      </c>
      <c r="C3212" t="s">
        <v>1774</v>
      </c>
      <c r="G3212" s="3">
        <v>1998.8102220717351</v>
      </c>
      <c r="H3212" t="s">
        <v>1755</v>
      </c>
      <c r="I3212" t="s">
        <v>6232</v>
      </c>
      <c r="M3212" t="s">
        <v>1757</v>
      </c>
    </row>
    <row r="3213" spans="1:13" x14ac:dyDescent="0.45">
      <c r="A3213" t="s">
        <v>6233</v>
      </c>
      <c r="B3213">
        <v>1</v>
      </c>
      <c r="C3213" t="s">
        <v>1774</v>
      </c>
      <c r="G3213" s="3">
        <v>4920.7538862502788</v>
      </c>
      <c r="H3213" t="s">
        <v>1755</v>
      </c>
      <c r="I3213" t="s">
        <v>6233</v>
      </c>
      <c r="M3213" t="s">
        <v>1757</v>
      </c>
    </row>
    <row r="3214" spans="1:13" x14ac:dyDescent="0.45">
      <c r="A3214" t="s">
        <v>6234</v>
      </c>
      <c r="B3214">
        <v>1</v>
      </c>
      <c r="C3214" t="s">
        <v>1774</v>
      </c>
      <c r="G3214" s="3">
        <v>7509.5875187391566</v>
      </c>
      <c r="H3214" t="s">
        <v>1755</v>
      </c>
      <c r="I3214" t="s">
        <v>6234</v>
      </c>
      <c r="M3214" t="s">
        <v>1757</v>
      </c>
    </row>
    <row r="3215" spans="1:13" x14ac:dyDescent="0.45">
      <c r="A3215" t="s">
        <v>6235</v>
      </c>
      <c r="B3215">
        <v>1</v>
      </c>
      <c r="C3215" t="s">
        <v>1774</v>
      </c>
      <c r="G3215" s="3">
        <v>2559.0816477135568</v>
      </c>
      <c r="H3215" t="s">
        <v>1755</v>
      </c>
      <c r="I3215" t="s">
        <v>6235</v>
      </c>
      <c r="M3215" t="s">
        <v>1757</v>
      </c>
    </row>
    <row r="3216" spans="1:13" x14ac:dyDescent="0.45">
      <c r="A3216" t="s">
        <v>6236</v>
      </c>
      <c r="B3216">
        <v>1</v>
      </c>
      <c r="C3216" t="s">
        <v>1774</v>
      </c>
      <c r="G3216" s="3">
        <v>6729.9433134450528</v>
      </c>
      <c r="H3216" t="s">
        <v>1755</v>
      </c>
      <c r="I3216" t="s">
        <v>6236</v>
      </c>
      <c r="M3216" t="s">
        <v>1757</v>
      </c>
    </row>
    <row r="3217" spans="1:13" x14ac:dyDescent="0.45">
      <c r="A3217" t="s">
        <v>6237</v>
      </c>
      <c r="B3217">
        <v>1</v>
      </c>
      <c r="C3217" t="s">
        <v>1774</v>
      </c>
      <c r="G3217" s="3">
        <v>3689.4483290940288</v>
      </c>
      <c r="H3217" t="s">
        <v>1755</v>
      </c>
      <c r="I3217" t="s">
        <v>6237</v>
      </c>
      <c r="M3217" t="s">
        <v>1757</v>
      </c>
    </row>
    <row r="3218" spans="1:13" x14ac:dyDescent="0.45">
      <c r="A3218" t="s">
        <v>6238</v>
      </c>
      <c r="B3218">
        <v>1</v>
      </c>
      <c r="C3218" t="s">
        <v>1774</v>
      </c>
      <c r="G3218" s="3">
        <v>3065.0349902104331</v>
      </c>
      <c r="H3218" t="s">
        <v>1755</v>
      </c>
      <c r="I3218" t="s">
        <v>6238</v>
      </c>
      <c r="M3218" t="s">
        <v>1757</v>
      </c>
    </row>
    <row r="3219" spans="1:13" x14ac:dyDescent="0.45">
      <c r="A3219" t="s">
        <v>6239</v>
      </c>
      <c r="B3219">
        <v>1</v>
      </c>
      <c r="C3219" t="s">
        <v>1774</v>
      </c>
      <c r="G3219" s="3">
        <v>3810.3544983136262</v>
      </c>
      <c r="H3219" t="s">
        <v>1755</v>
      </c>
      <c r="I3219" t="s">
        <v>6239</v>
      </c>
      <c r="M3219" t="s">
        <v>1757</v>
      </c>
    </row>
    <row r="3220" spans="1:13" x14ac:dyDescent="0.45">
      <c r="A3220" t="s">
        <v>6240</v>
      </c>
      <c r="B3220">
        <v>1</v>
      </c>
      <c r="C3220" t="s">
        <v>1774</v>
      </c>
      <c r="G3220" s="3">
        <v>3372.2286361267252</v>
      </c>
      <c r="H3220" t="s">
        <v>1755</v>
      </c>
      <c r="I3220" t="s">
        <v>6240</v>
      </c>
      <c r="M3220" t="s">
        <v>1757</v>
      </c>
    </row>
    <row r="3221" spans="1:13" x14ac:dyDescent="0.45">
      <c r="A3221" t="s">
        <v>6241</v>
      </c>
      <c r="B3221">
        <v>1</v>
      </c>
      <c r="C3221" t="s">
        <v>1774</v>
      </c>
      <c r="G3221" s="3">
        <v>2994.8004758329089</v>
      </c>
      <c r="H3221" t="s">
        <v>1755</v>
      </c>
      <c r="I3221" t="s">
        <v>6241</v>
      </c>
      <c r="M3221" t="s">
        <v>1757</v>
      </c>
    </row>
    <row r="3222" spans="1:13" x14ac:dyDescent="0.45">
      <c r="A3222" t="s">
        <v>6242</v>
      </c>
      <c r="B3222">
        <v>1</v>
      </c>
      <c r="C3222" t="s">
        <v>1774</v>
      </c>
      <c r="G3222" s="3">
        <v>1116.283248990663</v>
      </c>
      <c r="H3222" t="s">
        <v>1755</v>
      </c>
      <c r="I3222" t="s">
        <v>6242</v>
      </c>
      <c r="M3222" t="s">
        <v>1757</v>
      </c>
    </row>
    <row r="3223" spans="1:13" x14ac:dyDescent="0.45">
      <c r="A3223" t="s">
        <v>6243</v>
      </c>
      <c r="B3223">
        <v>1</v>
      </c>
      <c r="C3223" t="s">
        <v>1774</v>
      </c>
      <c r="G3223" s="3">
        <v>2171.1577751848172</v>
      </c>
      <c r="H3223" t="s">
        <v>1755</v>
      </c>
      <c r="I3223" t="s">
        <v>6243</v>
      </c>
      <c r="M3223" t="s">
        <v>1757</v>
      </c>
    </row>
    <row r="3224" spans="1:13" x14ac:dyDescent="0.45">
      <c r="A3224" t="s">
        <v>6244</v>
      </c>
      <c r="B3224">
        <v>1</v>
      </c>
      <c r="C3224" t="s">
        <v>1774</v>
      </c>
      <c r="G3224" s="3">
        <v>962.80058076471778</v>
      </c>
      <c r="H3224" t="s">
        <v>1755</v>
      </c>
      <c r="I3224" t="s">
        <v>6244</v>
      </c>
      <c r="M3224" t="s">
        <v>1757</v>
      </c>
    </row>
    <row r="3225" spans="1:13" x14ac:dyDescent="0.45">
      <c r="A3225" t="s">
        <v>6245</v>
      </c>
      <c r="B3225">
        <v>1</v>
      </c>
      <c r="C3225" t="s">
        <v>1774</v>
      </c>
      <c r="G3225" s="3">
        <v>6373.3565456873384</v>
      </c>
      <c r="H3225" t="s">
        <v>1755</v>
      </c>
      <c r="I3225" t="s">
        <v>6245</v>
      </c>
      <c r="M3225" t="s">
        <v>1757</v>
      </c>
    </row>
    <row r="3226" spans="1:13" x14ac:dyDescent="0.45">
      <c r="A3226" t="s">
        <v>6246</v>
      </c>
      <c r="B3226">
        <v>1</v>
      </c>
      <c r="C3226" t="s">
        <v>1774</v>
      </c>
      <c r="G3226" s="3">
        <v>5956.1046916743089</v>
      </c>
      <c r="H3226" t="s">
        <v>1755</v>
      </c>
      <c r="I3226" t="s">
        <v>6246</v>
      </c>
      <c r="M3226" t="s">
        <v>1757</v>
      </c>
    </row>
    <row r="3227" spans="1:13" x14ac:dyDescent="0.45">
      <c r="A3227" t="s">
        <v>6247</v>
      </c>
      <c r="B3227">
        <v>1</v>
      </c>
      <c r="C3227" t="s">
        <v>1774</v>
      </c>
      <c r="G3227" s="3">
        <v>3007.9576241100031</v>
      </c>
      <c r="H3227" t="s">
        <v>1755</v>
      </c>
      <c r="I3227" t="s">
        <v>6247</v>
      </c>
      <c r="M3227" t="s">
        <v>1757</v>
      </c>
    </row>
    <row r="3228" spans="1:13" x14ac:dyDescent="0.45">
      <c r="A3228" t="s">
        <v>6248</v>
      </c>
      <c r="B3228">
        <v>4</v>
      </c>
      <c r="C3228" t="s">
        <v>1774</v>
      </c>
      <c r="G3228" s="3">
        <v>470.20660349912009</v>
      </c>
      <c r="H3228" t="s">
        <v>1755</v>
      </c>
      <c r="I3228" t="s">
        <v>6248</v>
      </c>
      <c r="M3228" t="s">
        <v>1757</v>
      </c>
    </row>
    <row r="3229" spans="1:13" x14ac:dyDescent="0.45">
      <c r="A3229" t="s">
        <v>6249</v>
      </c>
      <c r="B3229">
        <v>1</v>
      </c>
      <c r="C3229" t="s">
        <v>1774</v>
      </c>
      <c r="G3229" s="3">
        <v>4867.8187061468507</v>
      </c>
      <c r="H3229" t="s">
        <v>1755</v>
      </c>
      <c r="I3229" t="s">
        <v>6249</v>
      </c>
      <c r="M3229" t="s">
        <v>1757</v>
      </c>
    </row>
    <row r="3230" spans="1:13" x14ac:dyDescent="0.45">
      <c r="A3230" t="s">
        <v>6250</v>
      </c>
      <c r="B3230">
        <v>1</v>
      </c>
      <c r="C3230" t="s">
        <v>1774</v>
      </c>
      <c r="G3230" s="3">
        <v>2240.4431745031852</v>
      </c>
      <c r="H3230" t="s">
        <v>1755</v>
      </c>
      <c r="I3230" t="s">
        <v>6250</v>
      </c>
      <c r="M3230" t="s">
        <v>1757</v>
      </c>
    </row>
    <row r="3231" spans="1:13" x14ac:dyDescent="0.45">
      <c r="A3231" t="s">
        <v>6251</v>
      </c>
      <c r="B3231">
        <v>1</v>
      </c>
      <c r="C3231" t="s">
        <v>1774</v>
      </c>
      <c r="G3231" s="3">
        <v>6455.4501059586428</v>
      </c>
      <c r="H3231" t="s">
        <v>1755</v>
      </c>
      <c r="I3231" t="s">
        <v>6251</v>
      </c>
      <c r="M3231" t="s">
        <v>1757</v>
      </c>
    </row>
    <row r="3232" spans="1:13" x14ac:dyDescent="0.45">
      <c r="A3232" t="s">
        <v>6252</v>
      </c>
      <c r="B3232">
        <v>1</v>
      </c>
      <c r="C3232" t="s">
        <v>1774</v>
      </c>
      <c r="G3232" s="3">
        <v>3336.8080535066861</v>
      </c>
      <c r="H3232" t="s">
        <v>1755</v>
      </c>
      <c r="I3232" t="s">
        <v>6252</v>
      </c>
      <c r="M3232" t="s">
        <v>1757</v>
      </c>
    </row>
    <row r="3233" spans="1:13" x14ac:dyDescent="0.45">
      <c r="A3233" t="s">
        <v>6253</v>
      </c>
      <c r="B3233">
        <v>1</v>
      </c>
      <c r="C3233" t="s">
        <v>1774</v>
      </c>
      <c r="G3233" s="3">
        <v>5646.6475204966619</v>
      </c>
      <c r="H3233" t="s">
        <v>1755</v>
      </c>
      <c r="I3233" t="s">
        <v>6253</v>
      </c>
      <c r="M3233" t="s">
        <v>1757</v>
      </c>
    </row>
    <row r="3234" spans="1:13" x14ac:dyDescent="0.45">
      <c r="A3234" t="s">
        <v>6254</v>
      </c>
      <c r="B3234">
        <v>1</v>
      </c>
      <c r="C3234" t="s">
        <v>1774</v>
      </c>
      <c r="G3234" s="3">
        <v>3061.6788410837271</v>
      </c>
      <c r="H3234" t="s">
        <v>1755</v>
      </c>
      <c r="I3234" t="s">
        <v>6254</v>
      </c>
      <c r="M3234" t="s">
        <v>1757</v>
      </c>
    </row>
    <row r="3235" spans="1:13" x14ac:dyDescent="0.45">
      <c r="A3235" t="s">
        <v>6255</v>
      </c>
      <c r="B3235">
        <v>1</v>
      </c>
      <c r="C3235" t="s">
        <v>1774</v>
      </c>
      <c r="G3235" s="3">
        <v>4862.7958979300129</v>
      </c>
      <c r="H3235" t="s">
        <v>1755</v>
      </c>
      <c r="I3235" t="s">
        <v>6255</v>
      </c>
      <c r="M3235" t="s">
        <v>1757</v>
      </c>
    </row>
    <row r="3236" spans="1:13" x14ac:dyDescent="0.45">
      <c r="A3236" t="s">
        <v>6256</v>
      </c>
      <c r="B3236">
        <v>1</v>
      </c>
      <c r="C3236" t="s">
        <v>1774</v>
      </c>
      <c r="G3236" s="3">
        <v>2066.7225030399159</v>
      </c>
      <c r="H3236" t="s">
        <v>1755</v>
      </c>
      <c r="I3236" t="s">
        <v>6256</v>
      </c>
      <c r="M3236" t="s">
        <v>1757</v>
      </c>
    </row>
    <row r="3237" spans="1:13" x14ac:dyDescent="0.45">
      <c r="A3237" t="s">
        <v>6257</v>
      </c>
      <c r="B3237">
        <v>1</v>
      </c>
      <c r="C3237" t="s">
        <v>1774</v>
      </c>
      <c r="G3237" s="3">
        <v>4428.3882184490822</v>
      </c>
      <c r="H3237" t="s">
        <v>1755</v>
      </c>
      <c r="I3237" t="s">
        <v>6257</v>
      </c>
      <c r="M3237" t="s">
        <v>1757</v>
      </c>
    </row>
    <row r="3238" spans="1:13" x14ac:dyDescent="0.45">
      <c r="A3238" t="s">
        <v>6258</v>
      </c>
      <c r="B3238">
        <v>1</v>
      </c>
      <c r="C3238" t="s">
        <v>1774</v>
      </c>
      <c r="G3238" s="3">
        <v>3691.2095735336989</v>
      </c>
      <c r="H3238" t="s">
        <v>1755</v>
      </c>
      <c r="I3238" t="s">
        <v>6258</v>
      </c>
      <c r="M3238" t="s">
        <v>1757</v>
      </c>
    </row>
    <row r="3239" spans="1:13" x14ac:dyDescent="0.45">
      <c r="A3239" t="s">
        <v>6259</v>
      </c>
      <c r="B3239">
        <v>2</v>
      </c>
      <c r="C3239" t="s">
        <v>1774</v>
      </c>
      <c r="G3239" s="3">
        <v>2382.980034692956</v>
      </c>
      <c r="H3239" t="s">
        <v>1755</v>
      </c>
      <c r="I3239" t="s">
        <v>6259</v>
      </c>
      <c r="M3239" t="s">
        <v>1757</v>
      </c>
    </row>
    <row r="3240" spans="1:13" x14ac:dyDescent="0.45">
      <c r="A3240" t="s">
        <v>6260</v>
      </c>
      <c r="B3240">
        <v>1</v>
      </c>
      <c r="C3240" t="s">
        <v>1774</v>
      </c>
      <c r="G3240" s="3">
        <v>5431.5147737546986</v>
      </c>
      <c r="H3240" t="s">
        <v>1755</v>
      </c>
      <c r="I3240" t="s">
        <v>6260</v>
      </c>
      <c r="M3240" t="s">
        <v>1757</v>
      </c>
    </row>
    <row r="3241" spans="1:13" x14ac:dyDescent="0.45">
      <c r="A3241" t="s">
        <v>6261</v>
      </c>
      <c r="B3241">
        <v>1</v>
      </c>
      <c r="C3241" t="s">
        <v>1774</v>
      </c>
      <c r="G3241" s="3">
        <v>910.35137366408821</v>
      </c>
      <c r="H3241" t="s">
        <v>1755</v>
      </c>
      <c r="I3241" t="s">
        <v>6261</v>
      </c>
      <c r="M3241" t="s">
        <v>1757</v>
      </c>
    </row>
    <row r="3242" spans="1:13" x14ac:dyDescent="0.45">
      <c r="A3242" t="s">
        <v>6262</v>
      </c>
      <c r="B3242">
        <v>1</v>
      </c>
      <c r="C3242" t="s">
        <v>1774</v>
      </c>
      <c r="G3242" s="3">
        <v>3233.3055886020552</v>
      </c>
      <c r="H3242" t="s">
        <v>1755</v>
      </c>
      <c r="I3242" t="s">
        <v>6262</v>
      </c>
      <c r="M3242" t="s">
        <v>1757</v>
      </c>
    </row>
    <row r="3243" spans="1:13" x14ac:dyDescent="0.45">
      <c r="A3243" t="s">
        <v>6263</v>
      </c>
      <c r="B3243">
        <v>1</v>
      </c>
      <c r="C3243" t="s">
        <v>1774</v>
      </c>
      <c r="G3243" s="3">
        <v>3755.7233050460709</v>
      </c>
      <c r="H3243" t="s">
        <v>1755</v>
      </c>
      <c r="I3243" t="s">
        <v>6263</v>
      </c>
      <c r="M3243" t="s">
        <v>1757</v>
      </c>
    </row>
    <row r="3244" spans="1:13" x14ac:dyDescent="0.45">
      <c r="A3244" t="s">
        <v>6264</v>
      </c>
      <c r="B3244">
        <v>1</v>
      </c>
      <c r="C3244" t="s">
        <v>1774</v>
      </c>
      <c r="G3244" s="3">
        <v>3336.7754378689142</v>
      </c>
      <c r="H3244" t="s">
        <v>1755</v>
      </c>
      <c r="I3244" t="s">
        <v>6264</v>
      </c>
      <c r="M3244" t="s">
        <v>1757</v>
      </c>
    </row>
    <row r="3245" spans="1:13" x14ac:dyDescent="0.45">
      <c r="A3245" t="s">
        <v>6265</v>
      </c>
      <c r="B3245">
        <v>1</v>
      </c>
      <c r="C3245" t="s">
        <v>1774</v>
      </c>
      <c r="G3245" s="3">
        <v>2749.3254012719558</v>
      </c>
      <c r="H3245" t="s">
        <v>1755</v>
      </c>
      <c r="I3245" t="s">
        <v>6265</v>
      </c>
      <c r="M3245" t="s">
        <v>1757</v>
      </c>
    </row>
    <row r="3246" spans="1:13" x14ac:dyDescent="0.45">
      <c r="A3246" t="s">
        <v>6266</v>
      </c>
      <c r="B3246">
        <v>1</v>
      </c>
      <c r="C3246" t="s">
        <v>1774</v>
      </c>
      <c r="G3246" s="3">
        <v>4619.8093965310391</v>
      </c>
      <c r="H3246" t="s">
        <v>1755</v>
      </c>
      <c r="I3246" t="s">
        <v>6266</v>
      </c>
      <c r="M3246" t="s">
        <v>1757</v>
      </c>
    </row>
    <row r="3247" spans="1:13" x14ac:dyDescent="0.45">
      <c r="A3247" t="s">
        <v>6267</v>
      </c>
      <c r="B3247">
        <v>1</v>
      </c>
      <c r="C3247" t="s">
        <v>1774</v>
      </c>
      <c r="G3247" s="3">
        <v>4166.0932594892774</v>
      </c>
      <c r="H3247" t="s">
        <v>1755</v>
      </c>
      <c r="I3247" t="s">
        <v>6267</v>
      </c>
      <c r="M3247" t="s">
        <v>1757</v>
      </c>
    </row>
    <row r="3248" spans="1:13" x14ac:dyDescent="0.45">
      <c r="A3248" t="s">
        <v>6268</v>
      </c>
      <c r="B3248">
        <v>1</v>
      </c>
      <c r="C3248" t="s">
        <v>1774</v>
      </c>
      <c r="G3248" s="3">
        <v>6508.6788268020146</v>
      </c>
      <c r="H3248" t="s">
        <v>1755</v>
      </c>
      <c r="I3248" t="s">
        <v>6268</v>
      </c>
      <c r="M3248" t="s">
        <v>1757</v>
      </c>
    </row>
    <row r="3249" spans="1:13" x14ac:dyDescent="0.45">
      <c r="A3249" t="s">
        <v>6269</v>
      </c>
      <c r="B3249">
        <v>1</v>
      </c>
      <c r="C3249" t="s">
        <v>1774</v>
      </c>
      <c r="G3249" s="3">
        <v>3008.9948013911421</v>
      </c>
      <c r="H3249" t="s">
        <v>1755</v>
      </c>
      <c r="I3249" t="s">
        <v>6269</v>
      </c>
      <c r="M3249" t="s">
        <v>1757</v>
      </c>
    </row>
    <row r="3250" spans="1:13" x14ac:dyDescent="0.45">
      <c r="A3250" t="s">
        <v>6270</v>
      </c>
      <c r="B3250">
        <v>1</v>
      </c>
      <c r="C3250" t="s">
        <v>1774</v>
      </c>
      <c r="G3250" s="3">
        <v>4865.4703802272907</v>
      </c>
      <c r="H3250" t="s">
        <v>1755</v>
      </c>
      <c r="I3250" t="s">
        <v>6270</v>
      </c>
      <c r="M3250" t="s">
        <v>1757</v>
      </c>
    </row>
    <row r="3251" spans="1:13" x14ac:dyDescent="0.45">
      <c r="A3251" t="s">
        <v>6271</v>
      </c>
      <c r="B3251">
        <v>1</v>
      </c>
      <c r="C3251" t="s">
        <v>1774</v>
      </c>
      <c r="G3251" s="3">
        <v>2524.9461212217229</v>
      </c>
      <c r="H3251" t="s">
        <v>1755</v>
      </c>
      <c r="I3251" t="s">
        <v>6271</v>
      </c>
      <c r="M3251" t="s">
        <v>1757</v>
      </c>
    </row>
    <row r="3252" spans="1:13" x14ac:dyDescent="0.45">
      <c r="A3252" t="s">
        <v>6272</v>
      </c>
      <c r="B3252">
        <v>1</v>
      </c>
      <c r="C3252" t="s">
        <v>1774</v>
      </c>
      <c r="G3252" s="3">
        <v>3235.7028379782728</v>
      </c>
      <c r="H3252" t="s">
        <v>1755</v>
      </c>
      <c r="I3252" t="s">
        <v>6272</v>
      </c>
      <c r="M3252" t="s">
        <v>1757</v>
      </c>
    </row>
    <row r="3253" spans="1:13" x14ac:dyDescent="0.45">
      <c r="A3253" t="s">
        <v>6273</v>
      </c>
      <c r="B3253">
        <v>1</v>
      </c>
      <c r="C3253" t="s">
        <v>1774</v>
      </c>
      <c r="G3253" s="3">
        <v>3773.074824340601</v>
      </c>
      <c r="H3253" t="s">
        <v>1755</v>
      </c>
      <c r="I3253" t="s">
        <v>6273</v>
      </c>
      <c r="M3253" t="s">
        <v>1757</v>
      </c>
    </row>
    <row r="3254" spans="1:13" x14ac:dyDescent="0.45">
      <c r="A3254" t="s">
        <v>6274</v>
      </c>
      <c r="B3254">
        <v>1</v>
      </c>
      <c r="C3254" t="s">
        <v>1774</v>
      </c>
      <c r="G3254" s="3">
        <v>4007.9074162966572</v>
      </c>
      <c r="H3254" t="s">
        <v>1755</v>
      </c>
      <c r="I3254" t="s">
        <v>6274</v>
      </c>
      <c r="M3254" t="s">
        <v>1757</v>
      </c>
    </row>
    <row r="3255" spans="1:13" x14ac:dyDescent="0.45">
      <c r="A3255" t="s">
        <v>6275</v>
      </c>
      <c r="B3255">
        <v>1</v>
      </c>
      <c r="C3255" t="s">
        <v>1774</v>
      </c>
      <c r="G3255" s="3">
        <v>903.06504018589601</v>
      </c>
      <c r="H3255" t="s">
        <v>1755</v>
      </c>
      <c r="I3255" t="s">
        <v>6275</v>
      </c>
      <c r="M3255" t="s">
        <v>1757</v>
      </c>
    </row>
    <row r="3256" spans="1:13" x14ac:dyDescent="0.45">
      <c r="A3256" t="s">
        <v>6276</v>
      </c>
      <c r="B3256">
        <v>1</v>
      </c>
      <c r="C3256" t="s">
        <v>1774</v>
      </c>
      <c r="G3256" s="3">
        <v>1930.1151657970349</v>
      </c>
      <c r="H3256" t="s">
        <v>1755</v>
      </c>
      <c r="I3256" t="s">
        <v>6276</v>
      </c>
      <c r="M3256" t="s">
        <v>1757</v>
      </c>
    </row>
    <row r="3257" spans="1:13" x14ac:dyDescent="0.45">
      <c r="A3257" t="s">
        <v>6277</v>
      </c>
      <c r="B3257">
        <v>1</v>
      </c>
      <c r="C3257" t="s">
        <v>1774</v>
      </c>
      <c r="G3257" s="3">
        <v>4547.3374494023792</v>
      </c>
      <c r="H3257" t="s">
        <v>1755</v>
      </c>
      <c r="I3257" t="s">
        <v>6277</v>
      </c>
      <c r="M3257" t="s">
        <v>1757</v>
      </c>
    </row>
    <row r="3258" spans="1:13" x14ac:dyDescent="0.45">
      <c r="A3258" t="s">
        <v>6278</v>
      </c>
      <c r="B3258">
        <v>1</v>
      </c>
      <c r="C3258" t="s">
        <v>1774</v>
      </c>
      <c r="G3258" s="3">
        <v>2168.4278463033279</v>
      </c>
      <c r="H3258" t="s">
        <v>1755</v>
      </c>
      <c r="I3258" t="s">
        <v>6278</v>
      </c>
      <c r="M3258" t="s">
        <v>1757</v>
      </c>
    </row>
    <row r="3259" spans="1:13" x14ac:dyDescent="0.45">
      <c r="A3259" t="s">
        <v>6279</v>
      </c>
      <c r="B3259">
        <v>1</v>
      </c>
      <c r="C3259" t="s">
        <v>1774</v>
      </c>
      <c r="G3259" s="3">
        <v>4723.8532810226798</v>
      </c>
      <c r="H3259" t="s">
        <v>1755</v>
      </c>
      <c r="I3259" t="s">
        <v>6279</v>
      </c>
      <c r="M3259" t="s">
        <v>1757</v>
      </c>
    </row>
    <row r="3260" spans="1:13" x14ac:dyDescent="0.45">
      <c r="A3260" t="s">
        <v>6280</v>
      </c>
      <c r="B3260">
        <v>1</v>
      </c>
      <c r="C3260" t="s">
        <v>1774</v>
      </c>
      <c r="G3260" s="3">
        <v>2037.0911961243501</v>
      </c>
      <c r="H3260" t="s">
        <v>1755</v>
      </c>
      <c r="I3260" t="s">
        <v>6280</v>
      </c>
      <c r="M3260" t="s">
        <v>1757</v>
      </c>
    </row>
    <row r="3261" spans="1:13" x14ac:dyDescent="0.45">
      <c r="A3261" t="s">
        <v>6281</v>
      </c>
      <c r="B3261">
        <v>2</v>
      </c>
      <c r="C3261" t="s">
        <v>1774</v>
      </c>
      <c r="G3261" s="3">
        <v>2845.6915646321449</v>
      </c>
      <c r="H3261" t="s">
        <v>1755</v>
      </c>
      <c r="I3261" t="s">
        <v>6281</v>
      </c>
      <c r="M3261" t="s">
        <v>1757</v>
      </c>
    </row>
    <row r="3262" spans="1:13" x14ac:dyDescent="0.45">
      <c r="A3262" t="s">
        <v>6282</v>
      </c>
      <c r="B3262">
        <v>1</v>
      </c>
      <c r="C3262" t="s">
        <v>1774</v>
      </c>
      <c r="G3262" s="3">
        <v>3554.68051382147</v>
      </c>
      <c r="H3262" t="s">
        <v>1755</v>
      </c>
      <c r="I3262" t="s">
        <v>6282</v>
      </c>
      <c r="M3262" t="s">
        <v>1757</v>
      </c>
    </row>
    <row r="3263" spans="1:13" x14ac:dyDescent="0.45">
      <c r="A3263" t="s">
        <v>6283</v>
      </c>
      <c r="B3263">
        <v>1</v>
      </c>
      <c r="C3263" t="s">
        <v>1774</v>
      </c>
      <c r="G3263" s="3">
        <v>6795.0441264373148</v>
      </c>
      <c r="H3263" t="s">
        <v>1755</v>
      </c>
      <c r="I3263" t="s">
        <v>6283</v>
      </c>
      <c r="M3263" t="s">
        <v>1757</v>
      </c>
    </row>
    <row r="3264" spans="1:13" x14ac:dyDescent="0.45">
      <c r="A3264" t="s">
        <v>6284</v>
      </c>
      <c r="B3264">
        <v>1</v>
      </c>
      <c r="C3264" t="s">
        <v>1774</v>
      </c>
      <c r="G3264" s="3">
        <v>4329.5302203631381</v>
      </c>
      <c r="H3264" t="s">
        <v>1755</v>
      </c>
      <c r="I3264" t="s">
        <v>6284</v>
      </c>
      <c r="M3264" t="s">
        <v>1757</v>
      </c>
    </row>
    <row r="3265" spans="1:13" x14ac:dyDescent="0.45">
      <c r="A3265" t="s">
        <v>6285</v>
      </c>
      <c r="B3265">
        <v>2</v>
      </c>
      <c r="C3265" t="s">
        <v>1774</v>
      </c>
      <c r="G3265" s="3">
        <v>2071.1223525753148</v>
      </c>
      <c r="H3265" t="s">
        <v>1755</v>
      </c>
      <c r="I3265" t="s">
        <v>6285</v>
      </c>
      <c r="M3265" t="s">
        <v>1757</v>
      </c>
    </row>
    <row r="3266" spans="1:13" x14ac:dyDescent="0.45">
      <c r="A3266" t="s">
        <v>6286</v>
      </c>
      <c r="B3266">
        <v>1</v>
      </c>
      <c r="C3266" t="s">
        <v>1774</v>
      </c>
      <c r="G3266" s="3">
        <v>9150.2519455676902</v>
      </c>
      <c r="H3266" t="s">
        <v>1755</v>
      </c>
      <c r="I3266" t="s">
        <v>6286</v>
      </c>
      <c r="M3266" t="s">
        <v>1757</v>
      </c>
    </row>
    <row r="3267" spans="1:13" x14ac:dyDescent="0.45">
      <c r="A3267" t="s">
        <v>6287</v>
      </c>
      <c r="B3267">
        <v>1</v>
      </c>
      <c r="C3267" t="s">
        <v>1774</v>
      </c>
      <c r="G3267" s="3">
        <v>4247.6323539184632</v>
      </c>
      <c r="H3267" t="s">
        <v>1755</v>
      </c>
      <c r="I3267" t="s">
        <v>6287</v>
      </c>
      <c r="M3267" t="s">
        <v>1757</v>
      </c>
    </row>
    <row r="3268" spans="1:13" x14ac:dyDescent="0.45">
      <c r="A3268" t="s">
        <v>6288</v>
      </c>
      <c r="B3268">
        <v>1</v>
      </c>
      <c r="C3268" t="s">
        <v>1774</v>
      </c>
      <c r="G3268" s="3">
        <v>8145.7881491134367</v>
      </c>
      <c r="H3268" t="s">
        <v>1755</v>
      </c>
      <c r="I3268" t="s">
        <v>6288</v>
      </c>
      <c r="M3268" t="s">
        <v>1757</v>
      </c>
    </row>
    <row r="3269" spans="1:13" x14ac:dyDescent="0.45">
      <c r="A3269" t="s">
        <v>6289</v>
      </c>
      <c r="B3269">
        <v>1</v>
      </c>
      <c r="C3269" t="s">
        <v>1774</v>
      </c>
      <c r="G3269" s="3">
        <v>3474.7722012808681</v>
      </c>
      <c r="H3269" t="s">
        <v>1755</v>
      </c>
      <c r="I3269" t="s">
        <v>6289</v>
      </c>
      <c r="M3269" t="s">
        <v>1757</v>
      </c>
    </row>
    <row r="3270" spans="1:13" x14ac:dyDescent="0.45">
      <c r="A3270" t="s">
        <v>6290</v>
      </c>
      <c r="B3270">
        <v>1</v>
      </c>
      <c r="C3270" t="s">
        <v>1774</v>
      </c>
      <c r="G3270" s="3">
        <v>3022.1584727957888</v>
      </c>
      <c r="H3270" t="s">
        <v>1755</v>
      </c>
      <c r="I3270" t="s">
        <v>6290</v>
      </c>
      <c r="M3270" t="s">
        <v>1757</v>
      </c>
    </row>
    <row r="3271" spans="1:13" x14ac:dyDescent="0.45">
      <c r="A3271" t="s">
        <v>6291</v>
      </c>
      <c r="B3271">
        <v>2</v>
      </c>
      <c r="C3271" t="s">
        <v>1774</v>
      </c>
      <c r="G3271" s="3">
        <v>4042.708301799034</v>
      </c>
      <c r="H3271" t="s">
        <v>1755</v>
      </c>
      <c r="I3271" t="s">
        <v>6291</v>
      </c>
      <c r="M3271" t="s">
        <v>1757</v>
      </c>
    </row>
    <row r="3272" spans="1:13" x14ac:dyDescent="0.45">
      <c r="A3272" t="s">
        <v>6292</v>
      </c>
      <c r="B3272">
        <v>1</v>
      </c>
      <c r="C3272" t="s">
        <v>1774</v>
      </c>
      <c r="G3272" s="3">
        <v>3495.7440563680552</v>
      </c>
      <c r="H3272" t="s">
        <v>1755</v>
      </c>
      <c r="I3272" t="s">
        <v>6292</v>
      </c>
      <c r="M3272" t="s">
        <v>1757</v>
      </c>
    </row>
    <row r="3273" spans="1:13" x14ac:dyDescent="0.45">
      <c r="A3273" t="s">
        <v>6293</v>
      </c>
      <c r="B3273">
        <v>1</v>
      </c>
      <c r="C3273" t="s">
        <v>1774</v>
      </c>
      <c r="G3273" s="3">
        <v>2782.502028013304</v>
      </c>
      <c r="H3273" t="s">
        <v>1755</v>
      </c>
      <c r="I3273" t="s">
        <v>6293</v>
      </c>
      <c r="M3273" t="s">
        <v>1757</v>
      </c>
    </row>
    <row r="3274" spans="1:13" x14ac:dyDescent="0.45">
      <c r="A3274" t="s">
        <v>6294</v>
      </c>
      <c r="B3274">
        <v>2</v>
      </c>
      <c r="C3274" t="s">
        <v>1774</v>
      </c>
      <c r="G3274" s="3">
        <v>2473.7950165044058</v>
      </c>
      <c r="H3274" t="s">
        <v>1755</v>
      </c>
      <c r="I3274" t="s">
        <v>6294</v>
      </c>
      <c r="M3274" t="s">
        <v>1757</v>
      </c>
    </row>
    <row r="3275" spans="1:13" x14ac:dyDescent="0.45">
      <c r="A3275" t="s">
        <v>6295</v>
      </c>
      <c r="B3275">
        <v>1</v>
      </c>
      <c r="C3275" t="s">
        <v>1774</v>
      </c>
      <c r="G3275" s="3">
        <v>2485.5757848675348</v>
      </c>
      <c r="H3275" t="s">
        <v>1755</v>
      </c>
      <c r="I3275" t="s">
        <v>6295</v>
      </c>
      <c r="M3275" t="s">
        <v>1757</v>
      </c>
    </row>
    <row r="3276" spans="1:13" x14ac:dyDescent="0.45">
      <c r="A3276" t="s">
        <v>6296</v>
      </c>
      <c r="B3276">
        <v>1</v>
      </c>
      <c r="C3276" t="s">
        <v>1774</v>
      </c>
      <c r="G3276" s="3">
        <v>2713.105735526512</v>
      </c>
      <c r="H3276" t="s">
        <v>1755</v>
      </c>
      <c r="I3276" t="s">
        <v>6296</v>
      </c>
      <c r="M3276" t="s">
        <v>1757</v>
      </c>
    </row>
    <row r="3277" spans="1:13" x14ac:dyDescent="0.45">
      <c r="A3277" t="s">
        <v>6297</v>
      </c>
      <c r="B3277">
        <v>1</v>
      </c>
      <c r="C3277" t="s">
        <v>1774</v>
      </c>
      <c r="G3277" s="3">
        <v>5757.4102263692675</v>
      </c>
      <c r="H3277" t="s">
        <v>1755</v>
      </c>
      <c r="I3277" t="s">
        <v>6297</v>
      </c>
      <c r="M3277" t="s">
        <v>1757</v>
      </c>
    </row>
    <row r="3278" spans="1:13" x14ac:dyDescent="0.45">
      <c r="A3278" t="s">
        <v>6298</v>
      </c>
      <c r="B3278">
        <v>1</v>
      </c>
      <c r="C3278" t="s">
        <v>1774</v>
      </c>
      <c r="G3278" s="3">
        <v>6265.9532505052148</v>
      </c>
      <c r="H3278" t="s">
        <v>1755</v>
      </c>
      <c r="I3278" t="s">
        <v>6298</v>
      </c>
      <c r="M3278" t="s">
        <v>1757</v>
      </c>
    </row>
    <row r="3279" spans="1:13" x14ac:dyDescent="0.45">
      <c r="A3279" t="s">
        <v>6299</v>
      </c>
      <c r="B3279">
        <v>2</v>
      </c>
      <c r="C3279" t="s">
        <v>1774</v>
      </c>
      <c r="G3279" s="3">
        <v>6311.2563713700702</v>
      </c>
      <c r="H3279" t="s">
        <v>1755</v>
      </c>
      <c r="I3279" t="s">
        <v>6299</v>
      </c>
      <c r="M3279" t="s">
        <v>1757</v>
      </c>
    </row>
    <row r="3280" spans="1:13" x14ac:dyDescent="0.45">
      <c r="A3280" t="s">
        <v>6300</v>
      </c>
      <c r="B3280">
        <v>1</v>
      </c>
      <c r="C3280" t="s">
        <v>1774</v>
      </c>
      <c r="G3280" s="3">
        <v>4100.3075181038103</v>
      </c>
      <c r="H3280" t="s">
        <v>1755</v>
      </c>
      <c r="I3280" t="s">
        <v>6300</v>
      </c>
      <c r="M3280" t="s">
        <v>1757</v>
      </c>
    </row>
    <row r="3281" spans="1:13" x14ac:dyDescent="0.45">
      <c r="A3281" t="s">
        <v>6301</v>
      </c>
      <c r="B3281">
        <v>2</v>
      </c>
      <c r="C3281" t="s">
        <v>1774</v>
      </c>
      <c r="G3281" s="3">
        <v>570.20614890707373</v>
      </c>
      <c r="H3281" t="s">
        <v>1755</v>
      </c>
      <c r="I3281" t="s">
        <v>6301</v>
      </c>
      <c r="M3281" t="s">
        <v>1757</v>
      </c>
    </row>
    <row r="3282" spans="1:13" x14ac:dyDescent="0.45">
      <c r="A3282" t="s">
        <v>6302</v>
      </c>
      <c r="B3282">
        <v>1</v>
      </c>
      <c r="C3282" t="s">
        <v>1774</v>
      </c>
      <c r="G3282" s="3">
        <v>2989.8950839120489</v>
      </c>
      <c r="H3282" t="s">
        <v>1755</v>
      </c>
      <c r="I3282" t="s">
        <v>6302</v>
      </c>
      <c r="M3282" t="s">
        <v>1757</v>
      </c>
    </row>
    <row r="3283" spans="1:13" x14ac:dyDescent="0.45">
      <c r="A3283" t="s">
        <v>6303</v>
      </c>
      <c r="B3283">
        <v>1</v>
      </c>
      <c r="C3283" t="s">
        <v>1774</v>
      </c>
      <c r="G3283" s="3">
        <v>3774.3142185759261</v>
      </c>
      <c r="H3283" t="s">
        <v>1755</v>
      </c>
      <c r="I3283" t="s">
        <v>6303</v>
      </c>
      <c r="M3283" t="s">
        <v>1757</v>
      </c>
    </row>
    <row r="3284" spans="1:13" x14ac:dyDescent="0.45">
      <c r="A3284" t="s">
        <v>6304</v>
      </c>
      <c r="B3284">
        <v>1</v>
      </c>
      <c r="C3284" t="s">
        <v>1774</v>
      </c>
      <c r="G3284" s="3">
        <v>2266.9792573942191</v>
      </c>
      <c r="H3284" t="s">
        <v>1755</v>
      </c>
      <c r="I3284" t="s">
        <v>6304</v>
      </c>
      <c r="M3284" t="s">
        <v>1757</v>
      </c>
    </row>
    <row r="3285" spans="1:13" x14ac:dyDescent="0.45">
      <c r="A3285" t="s">
        <v>6305</v>
      </c>
      <c r="B3285">
        <v>1</v>
      </c>
      <c r="C3285" t="s">
        <v>1774</v>
      </c>
      <c r="G3285" s="3">
        <v>3279.2740684774521</v>
      </c>
      <c r="H3285" t="s">
        <v>1755</v>
      </c>
      <c r="I3285" t="s">
        <v>6305</v>
      </c>
      <c r="M3285" t="s">
        <v>1757</v>
      </c>
    </row>
    <row r="3286" spans="1:13" x14ac:dyDescent="0.45">
      <c r="A3286" t="s">
        <v>6306</v>
      </c>
      <c r="B3286">
        <v>1</v>
      </c>
      <c r="C3286" t="s">
        <v>1774</v>
      </c>
      <c r="G3286" s="3">
        <v>669.00543884502952</v>
      </c>
      <c r="H3286" t="s">
        <v>1755</v>
      </c>
      <c r="I3286" t="s">
        <v>6306</v>
      </c>
      <c r="M3286" t="s">
        <v>1757</v>
      </c>
    </row>
    <row r="3287" spans="1:13" x14ac:dyDescent="0.45">
      <c r="A3287" t="s">
        <v>6307</v>
      </c>
      <c r="B3287">
        <v>1</v>
      </c>
      <c r="C3287" t="s">
        <v>1774</v>
      </c>
      <c r="G3287" s="3">
        <v>3632.2405004425118</v>
      </c>
      <c r="H3287" t="s">
        <v>1755</v>
      </c>
      <c r="I3287" t="s">
        <v>6307</v>
      </c>
      <c r="M3287" t="s">
        <v>1757</v>
      </c>
    </row>
    <row r="3288" spans="1:13" x14ac:dyDescent="0.45">
      <c r="A3288" t="s">
        <v>6308</v>
      </c>
      <c r="B3288">
        <v>1</v>
      </c>
      <c r="C3288" t="s">
        <v>1774</v>
      </c>
      <c r="G3288" s="3">
        <v>4470.462391174543</v>
      </c>
      <c r="H3288" t="s">
        <v>1755</v>
      </c>
      <c r="I3288" t="s">
        <v>6308</v>
      </c>
      <c r="M3288" t="s">
        <v>1757</v>
      </c>
    </row>
    <row r="3289" spans="1:13" x14ac:dyDescent="0.45">
      <c r="A3289" t="s">
        <v>6309</v>
      </c>
      <c r="B3289">
        <v>1</v>
      </c>
      <c r="C3289" t="s">
        <v>1774</v>
      </c>
      <c r="G3289" s="3">
        <v>3840.654425803511</v>
      </c>
      <c r="H3289" t="s">
        <v>1755</v>
      </c>
      <c r="I3289" t="s">
        <v>6309</v>
      </c>
      <c r="M3289" t="s">
        <v>1757</v>
      </c>
    </row>
    <row r="3290" spans="1:13" x14ac:dyDescent="0.45">
      <c r="A3290" t="s">
        <v>6310</v>
      </c>
      <c r="B3290">
        <v>1</v>
      </c>
      <c r="C3290" t="s">
        <v>1774</v>
      </c>
      <c r="G3290" s="3">
        <v>4703.2401979509823</v>
      </c>
      <c r="H3290" t="s">
        <v>1755</v>
      </c>
      <c r="I3290" t="s">
        <v>6310</v>
      </c>
      <c r="M3290" t="s">
        <v>1757</v>
      </c>
    </row>
    <row r="3291" spans="1:13" x14ac:dyDescent="0.45">
      <c r="A3291" t="s">
        <v>6311</v>
      </c>
      <c r="B3291">
        <v>1</v>
      </c>
      <c r="C3291" t="s">
        <v>1774</v>
      </c>
      <c r="G3291" s="3">
        <v>5420.2949943612421</v>
      </c>
      <c r="H3291" t="s">
        <v>1755</v>
      </c>
      <c r="I3291" t="s">
        <v>6311</v>
      </c>
      <c r="M3291" t="s">
        <v>1757</v>
      </c>
    </row>
    <row r="3292" spans="1:13" x14ac:dyDescent="0.45">
      <c r="A3292" t="s">
        <v>6312</v>
      </c>
      <c r="B3292">
        <v>1</v>
      </c>
      <c r="C3292" t="s">
        <v>1774</v>
      </c>
      <c r="G3292" s="3">
        <v>1595.7298626704981</v>
      </c>
      <c r="H3292" t="s">
        <v>1755</v>
      </c>
      <c r="I3292" t="s">
        <v>6312</v>
      </c>
      <c r="M3292" t="s">
        <v>1757</v>
      </c>
    </row>
    <row r="3293" spans="1:13" x14ac:dyDescent="0.45">
      <c r="A3293" t="s">
        <v>6313</v>
      </c>
      <c r="B3293">
        <v>1</v>
      </c>
      <c r="C3293" t="s">
        <v>1774</v>
      </c>
      <c r="G3293" s="3">
        <v>909.93389350061079</v>
      </c>
      <c r="H3293" t="s">
        <v>1755</v>
      </c>
      <c r="I3293" t="s">
        <v>6313</v>
      </c>
      <c r="M3293" t="s">
        <v>1757</v>
      </c>
    </row>
    <row r="3294" spans="1:13" x14ac:dyDescent="0.45">
      <c r="A3294" t="s">
        <v>6314</v>
      </c>
      <c r="B3294">
        <v>1</v>
      </c>
      <c r="C3294" t="s">
        <v>1774</v>
      </c>
      <c r="G3294" s="3">
        <v>1467.5862834293671</v>
      </c>
      <c r="H3294" t="s">
        <v>1755</v>
      </c>
      <c r="I3294" t="s">
        <v>6314</v>
      </c>
      <c r="M3294" t="s">
        <v>1757</v>
      </c>
    </row>
    <row r="3295" spans="1:13" x14ac:dyDescent="0.45">
      <c r="A3295" t="s">
        <v>6315</v>
      </c>
      <c r="B3295">
        <v>1</v>
      </c>
      <c r="C3295" t="s">
        <v>1774</v>
      </c>
      <c r="G3295" s="3">
        <v>5806.8229175933557</v>
      </c>
      <c r="H3295" t="s">
        <v>1755</v>
      </c>
      <c r="I3295" t="s">
        <v>6315</v>
      </c>
      <c r="M3295" t="s">
        <v>1757</v>
      </c>
    </row>
    <row r="3296" spans="1:13" x14ac:dyDescent="0.45">
      <c r="A3296" t="s">
        <v>6316</v>
      </c>
      <c r="B3296">
        <v>1</v>
      </c>
      <c r="C3296" t="s">
        <v>1774</v>
      </c>
      <c r="H3296" t="s">
        <v>1755</v>
      </c>
      <c r="I3296" t="s">
        <v>6316</v>
      </c>
      <c r="M3296" t="s">
        <v>1757</v>
      </c>
    </row>
    <row r="3297" spans="1:13" x14ac:dyDescent="0.45">
      <c r="A3297" t="s">
        <v>6317</v>
      </c>
      <c r="B3297">
        <v>1</v>
      </c>
      <c r="C3297" t="s">
        <v>1774</v>
      </c>
      <c r="G3297" s="3">
        <v>10916.975812383749</v>
      </c>
      <c r="H3297" t="s">
        <v>1755</v>
      </c>
      <c r="I3297" t="s">
        <v>6317</v>
      </c>
      <c r="M3297" t="s">
        <v>1757</v>
      </c>
    </row>
    <row r="3298" spans="1:13" x14ac:dyDescent="0.45">
      <c r="A3298" t="s">
        <v>6318</v>
      </c>
      <c r="B3298">
        <v>1</v>
      </c>
      <c r="C3298" t="s">
        <v>1774</v>
      </c>
      <c r="G3298" s="3">
        <v>5564.1951882098692</v>
      </c>
      <c r="H3298" t="s">
        <v>1755</v>
      </c>
      <c r="I3298" t="s">
        <v>6318</v>
      </c>
      <c r="M3298" t="s">
        <v>1757</v>
      </c>
    </row>
    <row r="3299" spans="1:13" x14ac:dyDescent="0.45">
      <c r="A3299" t="s">
        <v>6319</v>
      </c>
      <c r="B3299">
        <v>1</v>
      </c>
      <c r="C3299" t="s">
        <v>1774</v>
      </c>
      <c r="G3299" s="3">
        <v>2351.6755455597031</v>
      </c>
      <c r="H3299" t="s">
        <v>1755</v>
      </c>
      <c r="I3299" t="s">
        <v>6319</v>
      </c>
      <c r="M3299" t="s">
        <v>1757</v>
      </c>
    </row>
    <row r="3300" spans="1:13" x14ac:dyDescent="0.45">
      <c r="A3300" t="s">
        <v>6320</v>
      </c>
      <c r="B3300">
        <v>1</v>
      </c>
      <c r="C3300" t="s">
        <v>1774</v>
      </c>
      <c r="G3300" s="3">
        <v>2724.566870639479</v>
      </c>
      <c r="H3300" t="s">
        <v>1755</v>
      </c>
      <c r="I3300" t="s">
        <v>6320</v>
      </c>
      <c r="M3300" t="s">
        <v>1757</v>
      </c>
    </row>
    <row r="3301" spans="1:13" x14ac:dyDescent="0.45">
      <c r="A3301" t="s">
        <v>6321</v>
      </c>
      <c r="B3301">
        <v>2</v>
      </c>
      <c r="C3301" t="s">
        <v>1774</v>
      </c>
      <c r="G3301" s="3">
        <v>4227.0518864845371</v>
      </c>
      <c r="H3301" t="s">
        <v>1755</v>
      </c>
      <c r="I3301" t="s">
        <v>6321</v>
      </c>
      <c r="M3301" t="s">
        <v>1757</v>
      </c>
    </row>
    <row r="3302" spans="1:13" x14ac:dyDescent="0.45">
      <c r="A3302" t="s">
        <v>6322</v>
      </c>
      <c r="B3302">
        <v>1</v>
      </c>
      <c r="C3302" t="s">
        <v>1774</v>
      </c>
      <c r="G3302" s="3">
        <v>2480.1909430714309</v>
      </c>
      <c r="H3302" t="s">
        <v>1755</v>
      </c>
      <c r="I3302" t="s">
        <v>6322</v>
      </c>
      <c r="M3302" t="s">
        <v>1757</v>
      </c>
    </row>
    <row r="3303" spans="1:13" x14ac:dyDescent="0.45">
      <c r="A3303" t="s">
        <v>6323</v>
      </c>
      <c r="B3303">
        <v>1</v>
      </c>
      <c r="C3303" t="s">
        <v>1774</v>
      </c>
      <c r="G3303" s="3">
        <v>4019.1924269656561</v>
      </c>
      <c r="H3303" t="s">
        <v>1755</v>
      </c>
      <c r="I3303" t="s">
        <v>6323</v>
      </c>
      <c r="M3303" t="s">
        <v>1757</v>
      </c>
    </row>
    <row r="3304" spans="1:13" x14ac:dyDescent="0.45">
      <c r="A3304" t="s">
        <v>6324</v>
      </c>
      <c r="B3304">
        <v>1</v>
      </c>
      <c r="C3304" t="s">
        <v>1774</v>
      </c>
      <c r="G3304" s="3">
        <v>896.17009436096419</v>
      </c>
      <c r="H3304" t="s">
        <v>1755</v>
      </c>
      <c r="I3304" t="s">
        <v>6324</v>
      </c>
      <c r="M3304" t="s">
        <v>1757</v>
      </c>
    </row>
    <row r="3305" spans="1:13" x14ac:dyDescent="0.45">
      <c r="A3305" t="s">
        <v>6325</v>
      </c>
      <c r="B3305">
        <v>1</v>
      </c>
      <c r="C3305" t="s">
        <v>1774</v>
      </c>
      <c r="G3305" s="3">
        <v>5773.8485078061922</v>
      </c>
      <c r="H3305" t="s">
        <v>1755</v>
      </c>
      <c r="I3305" t="s">
        <v>6325</v>
      </c>
      <c r="M3305" t="s">
        <v>1757</v>
      </c>
    </row>
    <row r="3306" spans="1:13" x14ac:dyDescent="0.45">
      <c r="A3306" t="s">
        <v>6326</v>
      </c>
      <c r="B3306">
        <v>2</v>
      </c>
      <c r="C3306" t="s">
        <v>1774</v>
      </c>
      <c r="G3306" s="3">
        <v>1301.47484025823</v>
      </c>
      <c r="H3306" t="s">
        <v>1755</v>
      </c>
      <c r="I3306" t="s">
        <v>6326</v>
      </c>
      <c r="M3306" t="s">
        <v>1757</v>
      </c>
    </row>
    <row r="3307" spans="1:13" x14ac:dyDescent="0.45">
      <c r="A3307" t="s">
        <v>6327</v>
      </c>
      <c r="B3307">
        <v>1</v>
      </c>
      <c r="C3307" t="s">
        <v>1774</v>
      </c>
      <c r="H3307" t="s">
        <v>1755</v>
      </c>
      <c r="I3307" t="s">
        <v>6327</v>
      </c>
      <c r="M3307" t="s">
        <v>1757</v>
      </c>
    </row>
    <row r="3308" spans="1:13" x14ac:dyDescent="0.45">
      <c r="A3308" t="s">
        <v>6328</v>
      </c>
      <c r="B3308">
        <v>1</v>
      </c>
      <c r="C3308" t="s">
        <v>1774</v>
      </c>
      <c r="G3308" s="3">
        <v>3485.5679773832931</v>
      </c>
      <c r="H3308" t="s">
        <v>1755</v>
      </c>
      <c r="I3308" t="s">
        <v>6328</v>
      </c>
      <c r="M3308" t="s">
        <v>1757</v>
      </c>
    </row>
    <row r="3309" spans="1:13" x14ac:dyDescent="0.45">
      <c r="A3309" t="s">
        <v>6329</v>
      </c>
      <c r="B3309">
        <v>4</v>
      </c>
      <c r="C3309" t="s">
        <v>1774</v>
      </c>
      <c r="G3309" s="3">
        <v>4899.9124937141778</v>
      </c>
      <c r="H3309" t="s">
        <v>1755</v>
      </c>
      <c r="I3309" t="s">
        <v>6329</v>
      </c>
      <c r="M3309" t="s">
        <v>1757</v>
      </c>
    </row>
    <row r="3310" spans="1:13" x14ac:dyDescent="0.45">
      <c r="A3310" t="s">
        <v>6330</v>
      </c>
      <c r="B3310">
        <v>1</v>
      </c>
      <c r="C3310" t="s">
        <v>1774</v>
      </c>
      <c r="G3310" s="3">
        <v>3501.223483513696</v>
      </c>
      <c r="H3310" t="s">
        <v>1755</v>
      </c>
      <c r="I3310" t="s">
        <v>6330</v>
      </c>
      <c r="M3310" t="s">
        <v>1757</v>
      </c>
    </row>
    <row r="3311" spans="1:13" x14ac:dyDescent="0.45">
      <c r="A3311" t="s">
        <v>6331</v>
      </c>
      <c r="B3311">
        <v>1</v>
      </c>
      <c r="C3311" t="s">
        <v>1774</v>
      </c>
      <c r="G3311" s="3">
        <v>2684.1365260577109</v>
      </c>
      <c r="H3311" t="s">
        <v>1755</v>
      </c>
      <c r="I3311" t="s">
        <v>6331</v>
      </c>
      <c r="M3311" t="s">
        <v>1757</v>
      </c>
    </row>
    <row r="3312" spans="1:13" x14ac:dyDescent="0.45">
      <c r="A3312" t="s">
        <v>6332</v>
      </c>
      <c r="B3312">
        <v>2</v>
      </c>
      <c r="C3312" t="s">
        <v>1774</v>
      </c>
      <c r="G3312" s="3">
        <v>2584.2543969457361</v>
      </c>
      <c r="H3312" t="s">
        <v>1755</v>
      </c>
      <c r="I3312" t="s">
        <v>6332</v>
      </c>
      <c r="M3312" t="s">
        <v>1757</v>
      </c>
    </row>
    <row r="3313" spans="1:13" x14ac:dyDescent="0.45">
      <c r="A3313" t="s">
        <v>6333</v>
      </c>
      <c r="B3313">
        <v>1</v>
      </c>
      <c r="C3313" t="s">
        <v>1774</v>
      </c>
      <c r="G3313" s="3">
        <v>2709.403860639427</v>
      </c>
      <c r="H3313" t="s">
        <v>1755</v>
      </c>
      <c r="I3313" t="s">
        <v>6333</v>
      </c>
      <c r="M3313" t="s">
        <v>1757</v>
      </c>
    </row>
    <row r="3314" spans="1:13" x14ac:dyDescent="0.45">
      <c r="A3314" t="s">
        <v>6334</v>
      </c>
      <c r="B3314">
        <v>1</v>
      </c>
      <c r="C3314" t="s">
        <v>1774</v>
      </c>
      <c r="G3314" s="3">
        <v>6191.296055645852</v>
      </c>
      <c r="H3314" t="s">
        <v>1755</v>
      </c>
      <c r="I3314" t="s">
        <v>6334</v>
      </c>
      <c r="M3314" t="s">
        <v>1757</v>
      </c>
    </row>
    <row r="3315" spans="1:13" x14ac:dyDescent="0.45">
      <c r="A3315" t="s">
        <v>6335</v>
      </c>
      <c r="B3315">
        <v>3</v>
      </c>
      <c r="C3315" t="s">
        <v>1774</v>
      </c>
      <c r="G3315" s="3">
        <v>3139.1214114087911</v>
      </c>
      <c r="H3315" t="s">
        <v>1755</v>
      </c>
      <c r="I3315" t="s">
        <v>6335</v>
      </c>
      <c r="M3315" t="s">
        <v>1757</v>
      </c>
    </row>
    <row r="3316" spans="1:13" x14ac:dyDescent="0.45">
      <c r="A3316" t="s">
        <v>6336</v>
      </c>
      <c r="B3316">
        <v>1</v>
      </c>
      <c r="C3316" t="s">
        <v>1774</v>
      </c>
      <c r="G3316" s="3">
        <v>3417.5969882671229</v>
      </c>
      <c r="H3316" t="s">
        <v>1755</v>
      </c>
      <c r="I3316" t="s">
        <v>6336</v>
      </c>
      <c r="M3316" t="s">
        <v>1757</v>
      </c>
    </row>
    <row r="3317" spans="1:13" x14ac:dyDescent="0.45">
      <c r="A3317" t="s">
        <v>6337</v>
      </c>
      <c r="B3317">
        <v>1</v>
      </c>
      <c r="C3317" t="s">
        <v>1774</v>
      </c>
      <c r="G3317" s="3">
        <v>3510.3558620897652</v>
      </c>
      <c r="H3317" t="s">
        <v>1755</v>
      </c>
      <c r="I3317" t="s">
        <v>6337</v>
      </c>
      <c r="M3317" t="s">
        <v>1757</v>
      </c>
    </row>
    <row r="3318" spans="1:13" x14ac:dyDescent="0.45">
      <c r="A3318" t="s">
        <v>6338</v>
      </c>
      <c r="B3318">
        <v>1</v>
      </c>
      <c r="C3318" t="s">
        <v>1774</v>
      </c>
      <c r="G3318" s="3">
        <v>7493.8341656954381</v>
      </c>
      <c r="H3318" t="s">
        <v>1755</v>
      </c>
      <c r="I3318" t="s">
        <v>6338</v>
      </c>
      <c r="M3318" t="s">
        <v>1757</v>
      </c>
    </row>
    <row r="3319" spans="1:13" x14ac:dyDescent="0.45">
      <c r="A3319" t="s">
        <v>6339</v>
      </c>
      <c r="B3319">
        <v>1</v>
      </c>
      <c r="C3319" t="s">
        <v>1774</v>
      </c>
      <c r="G3319" s="3">
        <v>7341.8779093172079</v>
      </c>
      <c r="H3319" t="s">
        <v>1755</v>
      </c>
      <c r="I3319" t="s">
        <v>6339</v>
      </c>
      <c r="M3319" t="s">
        <v>1757</v>
      </c>
    </row>
    <row r="3320" spans="1:13" x14ac:dyDescent="0.45">
      <c r="A3320" t="s">
        <v>6340</v>
      </c>
      <c r="B3320">
        <v>1</v>
      </c>
      <c r="C3320" t="s">
        <v>1774</v>
      </c>
      <c r="G3320" s="3">
        <v>2558.8924770144808</v>
      </c>
      <c r="H3320" t="s">
        <v>1755</v>
      </c>
      <c r="I3320" t="s">
        <v>6340</v>
      </c>
      <c r="M3320" t="s">
        <v>1757</v>
      </c>
    </row>
    <row r="3321" spans="1:13" x14ac:dyDescent="0.45">
      <c r="A3321" t="s">
        <v>6341</v>
      </c>
      <c r="B3321">
        <v>2</v>
      </c>
      <c r="C3321" t="s">
        <v>1774</v>
      </c>
      <c r="G3321" s="3">
        <v>3814.6271468617151</v>
      </c>
      <c r="H3321" t="s">
        <v>1755</v>
      </c>
      <c r="I3321" t="s">
        <v>6341</v>
      </c>
      <c r="M3321" t="s">
        <v>1757</v>
      </c>
    </row>
    <row r="3322" spans="1:13" x14ac:dyDescent="0.45">
      <c r="A3322" t="s">
        <v>6342</v>
      </c>
      <c r="B3322">
        <v>1</v>
      </c>
      <c r="C3322" t="s">
        <v>1774</v>
      </c>
      <c r="G3322" s="3">
        <v>2085.479756322406</v>
      </c>
      <c r="H3322" t="s">
        <v>1755</v>
      </c>
      <c r="I3322" t="s">
        <v>6342</v>
      </c>
      <c r="M3322" t="s">
        <v>1757</v>
      </c>
    </row>
    <row r="3323" spans="1:13" x14ac:dyDescent="0.45">
      <c r="A3323" t="s">
        <v>6343</v>
      </c>
      <c r="B3323">
        <v>3</v>
      </c>
      <c r="C3323" t="s">
        <v>1774</v>
      </c>
      <c r="G3323" s="3">
        <v>3034.7448474118778</v>
      </c>
      <c r="H3323" t="s">
        <v>1755</v>
      </c>
      <c r="I3323" t="s">
        <v>6343</v>
      </c>
      <c r="M3323" t="s">
        <v>1757</v>
      </c>
    </row>
    <row r="3324" spans="1:13" x14ac:dyDescent="0.45">
      <c r="A3324" t="s">
        <v>6344</v>
      </c>
      <c r="B3324">
        <v>1</v>
      </c>
      <c r="C3324" t="s">
        <v>1774</v>
      </c>
      <c r="G3324" s="3">
        <v>4546.1306708048269</v>
      </c>
      <c r="H3324" t="s">
        <v>1755</v>
      </c>
      <c r="I3324" t="s">
        <v>6344</v>
      </c>
      <c r="M3324" t="s">
        <v>1757</v>
      </c>
    </row>
    <row r="3325" spans="1:13" x14ac:dyDescent="0.45">
      <c r="A3325" t="s">
        <v>6345</v>
      </c>
      <c r="B3325">
        <v>1</v>
      </c>
      <c r="C3325" t="s">
        <v>1774</v>
      </c>
      <c r="G3325" s="3">
        <v>3686.2519965924048</v>
      </c>
      <c r="H3325" t="s">
        <v>1755</v>
      </c>
      <c r="I3325" t="s">
        <v>6345</v>
      </c>
      <c r="M3325" t="s">
        <v>1757</v>
      </c>
    </row>
    <row r="3326" spans="1:13" x14ac:dyDescent="0.45">
      <c r="A3326" t="s">
        <v>6346</v>
      </c>
      <c r="B3326">
        <v>1</v>
      </c>
      <c r="C3326" t="s">
        <v>1774</v>
      </c>
      <c r="G3326" s="3">
        <v>1784.1601867687921</v>
      </c>
      <c r="H3326" t="s">
        <v>1755</v>
      </c>
      <c r="I3326" t="s">
        <v>6346</v>
      </c>
      <c r="M3326" t="s">
        <v>1757</v>
      </c>
    </row>
    <row r="3327" spans="1:13" x14ac:dyDescent="0.45">
      <c r="A3327" t="s">
        <v>6347</v>
      </c>
      <c r="B3327">
        <v>1</v>
      </c>
      <c r="C3327" t="s">
        <v>1774</v>
      </c>
      <c r="G3327" s="3">
        <v>2993.4762809393792</v>
      </c>
      <c r="H3327" t="s">
        <v>1755</v>
      </c>
      <c r="I3327" t="s">
        <v>6347</v>
      </c>
      <c r="M3327" t="s">
        <v>1757</v>
      </c>
    </row>
    <row r="3328" spans="1:13" x14ac:dyDescent="0.45">
      <c r="A3328" t="s">
        <v>6348</v>
      </c>
      <c r="B3328">
        <v>1</v>
      </c>
      <c r="C3328" t="s">
        <v>1774</v>
      </c>
      <c r="G3328" s="3">
        <v>1300.3072004260041</v>
      </c>
      <c r="H3328" t="s">
        <v>1755</v>
      </c>
      <c r="I3328" t="s">
        <v>6348</v>
      </c>
      <c r="M3328" t="s">
        <v>1757</v>
      </c>
    </row>
    <row r="3329" spans="1:13" x14ac:dyDescent="0.45">
      <c r="A3329" t="s">
        <v>6349</v>
      </c>
      <c r="B3329">
        <v>1</v>
      </c>
      <c r="C3329" t="s">
        <v>1774</v>
      </c>
      <c r="G3329" s="3">
        <v>2374.105319655283</v>
      </c>
      <c r="H3329" t="s">
        <v>1755</v>
      </c>
      <c r="I3329" t="s">
        <v>6349</v>
      </c>
      <c r="M3329" t="s">
        <v>1757</v>
      </c>
    </row>
    <row r="3330" spans="1:13" x14ac:dyDescent="0.45">
      <c r="A3330" t="s">
        <v>6350</v>
      </c>
      <c r="B3330">
        <v>1</v>
      </c>
      <c r="C3330" t="s">
        <v>1774</v>
      </c>
      <c r="G3330" s="3">
        <v>1445.2184790455531</v>
      </c>
      <c r="H3330" t="s">
        <v>1755</v>
      </c>
      <c r="I3330" t="s">
        <v>6350</v>
      </c>
      <c r="M3330" t="s">
        <v>1757</v>
      </c>
    </row>
    <row r="3331" spans="1:13" x14ac:dyDescent="0.45">
      <c r="A3331" t="s">
        <v>6351</v>
      </c>
      <c r="B3331">
        <v>1</v>
      </c>
      <c r="C3331" t="s">
        <v>1774</v>
      </c>
      <c r="G3331" s="3">
        <v>3059.894765697617</v>
      </c>
      <c r="H3331" t="s">
        <v>1755</v>
      </c>
      <c r="I3331" t="s">
        <v>6351</v>
      </c>
      <c r="M3331" t="s">
        <v>1757</v>
      </c>
    </row>
    <row r="3332" spans="1:13" x14ac:dyDescent="0.45">
      <c r="A3332" t="s">
        <v>6352</v>
      </c>
      <c r="B3332">
        <v>1</v>
      </c>
      <c r="C3332" t="s">
        <v>1774</v>
      </c>
      <c r="G3332" s="3">
        <v>923.52809132384448</v>
      </c>
      <c r="H3332" t="s">
        <v>1755</v>
      </c>
      <c r="I3332" t="s">
        <v>6352</v>
      </c>
      <c r="M3332" t="s">
        <v>1757</v>
      </c>
    </row>
    <row r="3333" spans="1:13" x14ac:dyDescent="0.45">
      <c r="A3333" t="s">
        <v>6353</v>
      </c>
      <c r="B3333">
        <v>1</v>
      </c>
      <c r="C3333" t="s">
        <v>1774</v>
      </c>
      <c r="G3333" s="3">
        <v>405.6602563489767</v>
      </c>
      <c r="H3333" t="s">
        <v>1755</v>
      </c>
      <c r="I3333" t="s">
        <v>6353</v>
      </c>
      <c r="M3333" t="s">
        <v>1757</v>
      </c>
    </row>
    <row r="3334" spans="1:13" x14ac:dyDescent="0.45">
      <c r="A3334" t="s">
        <v>6354</v>
      </c>
      <c r="B3334">
        <v>1</v>
      </c>
      <c r="C3334" t="s">
        <v>1774</v>
      </c>
      <c r="G3334" s="3">
        <v>1818.817563464974</v>
      </c>
      <c r="H3334" t="s">
        <v>1755</v>
      </c>
      <c r="I3334" t="s">
        <v>6354</v>
      </c>
      <c r="M3334" t="s">
        <v>1757</v>
      </c>
    </row>
    <row r="3335" spans="1:13" x14ac:dyDescent="0.45">
      <c r="A3335" t="s">
        <v>6355</v>
      </c>
      <c r="B3335">
        <v>1</v>
      </c>
      <c r="C3335" t="s">
        <v>1774</v>
      </c>
      <c r="G3335" s="3">
        <v>3471.8367938814181</v>
      </c>
      <c r="H3335" t="s">
        <v>1755</v>
      </c>
      <c r="I3335" t="s">
        <v>6355</v>
      </c>
      <c r="M3335" t="s">
        <v>1757</v>
      </c>
    </row>
    <row r="3336" spans="1:13" x14ac:dyDescent="0.45">
      <c r="A3336" t="s">
        <v>6356</v>
      </c>
      <c r="B3336">
        <v>1</v>
      </c>
      <c r="C3336" t="s">
        <v>1774</v>
      </c>
      <c r="G3336" s="3">
        <v>1457.410204444604</v>
      </c>
      <c r="H3336" t="s">
        <v>1755</v>
      </c>
      <c r="I3336" t="s">
        <v>6356</v>
      </c>
      <c r="M3336" t="s">
        <v>1757</v>
      </c>
    </row>
    <row r="3337" spans="1:13" x14ac:dyDescent="0.45">
      <c r="A3337" t="s">
        <v>6357</v>
      </c>
      <c r="B3337">
        <v>2</v>
      </c>
      <c r="C3337" t="s">
        <v>1774</v>
      </c>
      <c r="G3337" s="3">
        <v>1683.2604497583411</v>
      </c>
      <c r="H3337" t="s">
        <v>1755</v>
      </c>
      <c r="I3337" t="s">
        <v>6357</v>
      </c>
      <c r="M3337" t="s">
        <v>1757</v>
      </c>
    </row>
    <row r="3338" spans="1:13" x14ac:dyDescent="0.45">
      <c r="A3338" t="s">
        <v>6358</v>
      </c>
      <c r="B3338">
        <v>2</v>
      </c>
      <c r="C3338" t="s">
        <v>1774</v>
      </c>
      <c r="G3338" s="3">
        <v>4252.1659275687261</v>
      </c>
      <c r="H3338" t="s">
        <v>1755</v>
      </c>
      <c r="I3338" t="s">
        <v>6358</v>
      </c>
      <c r="M3338" t="s">
        <v>1757</v>
      </c>
    </row>
    <row r="3339" spans="1:13" x14ac:dyDescent="0.45">
      <c r="A3339" t="s">
        <v>6359</v>
      </c>
      <c r="B3339">
        <v>1</v>
      </c>
      <c r="C3339" t="s">
        <v>1774</v>
      </c>
      <c r="G3339" s="3">
        <v>2094.0902846941281</v>
      </c>
      <c r="H3339" t="s">
        <v>1755</v>
      </c>
      <c r="I3339" t="s">
        <v>6359</v>
      </c>
      <c r="M3339" t="s">
        <v>1757</v>
      </c>
    </row>
    <row r="3340" spans="1:13" x14ac:dyDescent="0.45">
      <c r="A3340" t="s">
        <v>6360</v>
      </c>
      <c r="B3340">
        <v>1</v>
      </c>
      <c r="C3340" t="s">
        <v>1774</v>
      </c>
      <c r="G3340" s="3">
        <v>1582.895609207344</v>
      </c>
      <c r="H3340" t="s">
        <v>1755</v>
      </c>
      <c r="I3340" t="s">
        <v>6360</v>
      </c>
      <c r="M3340" t="s">
        <v>1757</v>
      </c>
    </row>
    <row r="3341" spans="1:13" x14ac:dyDescent="0.45">
      <c r="A3341" t="s">
        <v>6361</v>
      </c>
      <c r="B3341">
        <v>1</v>
      </c>
      <c r="C3341" t="s">
        <v>1774</v>
      </c>
      <c r="G3341" s="3">
        <v>1642.4191481406499</v>
      </c>
      <c r="H3341" t="s">
        <v>1755</v>
      </c>
      <c r="I3341" t="s">
        <v>6361</v>
      </c>
      <c r="M3341" t="s">
        <v>1757</v>
      </c>
    </row>
    <row r="3342" spans="1:13" x14ac:dyDescent="0.45">
      <c r="A3342" t="s">
        <v>6362</v>
      </c>
      <c r="B3342">
        <v>1</v>
      </c>
      <c r="C3342" t="s">
        <v>1774</v>
      </c>
      <c r="G3342" s="3">
        <v>5791.8849554939279</v>
      </c>
      <c r="H3342" t="s">
        <v>1755</v>
      </c>
      <c r="I3342" t="s">
        <v>6362</v>
      </c>
      <c r="M3342" t="s">
        <v>1757</v>
      </c>
    </row>
    <row r="3343" spans="1:13" x14ac:dyDescent="0.45">
      <c r="A3343" t="s">
        <v>6363</v>
      </c>
      <c r="B3343">
        <v>1</v>
      </c>
      <c r="C3343" t="s">
        <v>1774</v>
      </c>
      <c r="G3343" s="3">
        <v>4827.6362404121483</v>
      </c>
      <c r="H3343" t="s">
        <v>1755</v>
      </c>
      <c r="I3343" t="s">
        <v>6363</v>
      </c>
      <c r="M3343" t="s">
        <v>1757</v>
      </c>
    </row>
    <row r="3344" spans="1:13" x14ac:dyDescent="0.45">
      <c r="A3344" t="s">
        <v>6364</v>
      </c>
      <c r="B3344">
        <v>4</v>
      </c>
      <c r="C3344" t="s">
        <v>1774</v>
      </c>
      <c r="G3344" s="3">
        <v>3329.1433786303428</v>
      </c>
      <c r="H3344" t="s">
        <v>1755</v>
      </c>
      <c r="I3344" t="s">
        <v>6364</v>
      </c>
      <c r="M3344" t="s">
        <v>1757</v>
      </c>
    </row>
    <row r="3345" spans="1:13" x14ac:dyDescent="0.45">
      <c r="A3345" t="s">
        <v>6365</v>
      </c>
      <c r="B3345">
        <v>1</v>
      </c>
      <c r="C3345" t="s">
        <v>1774</v>
      </c>
      <c r="G3345" s="3">
        <v>2293.42727806327</v>
      </c>
      <c r="H3345" t="s">
        <v>1755</v>
      </c>
      <c r="I3345" t="s">
        <v>6365</v>
      </c>
      <c r="M3345" t="s">
        <v>1757</v>
      </c>
    </row>
    <row r="3346" spans="1:13" x14ac:dyDescent="0.45">
      <c r="A3346" t="s">
        <v>6366</v>
      </c>
      <c r="B3346">
        <v>1</v>
      </c>
      <c r="C3346" t="s">
        <v>1774</v>
      </c>
      <c r="G3346" s="3">
        <v>4130.2486735782068</v>
      </c>
      <c r="H3346" t="s">
        <v>1755</v>
      </c>
      <c r="I3346" t="s">
        <v>6366</v>
      </c>
      <c r="M3346" t="s">
        <v>1757</v>
      </c>
    </row>
    <row r="3347" spans="1:13" x14ac:dyDescent="0.45">
      <c r="A3347" t="s">
        <v>6367</v>
      </c>
      <c r="B3347">
        <v>1</v>
      </c>
      <c r="C3347" t="s">
        <v>1774</v>
      </c>
      <c r="G3347" s="3">
        <v>4649.2613174388616</v>
      </c>
      <c r="H3347" t="s">
        <v>1755</v>
      </c>
      <c r="I3347" t="s">
        <v>6367</v>
      </c>
      <c r="M3347" t="s">
        <v>1757</v>
      </c>
    </row>
    <row r="3348" spans="1:13" x14ac:dyDescent="0.45">
      <c r="A3348" t="s">
        <v>6368</v>
      </c>
      <c r="B3348">
        <v>1</v>
      </c>
      <c r="C3348" t="s">
        <v>1774</v>
      </c>
      <c r="G3348" s="3">
        <v>3214.920153590162</v>
      </c>
      <c r="H3348" t="s">
        <v>1755</v>
      </c>
      <c r="I3348" t="s">
        <v>6368</v>
      </c>
      <c r="M3348" t="s">
        <v>1757</v>
      </c>
    </row>
    <row r="3349" spans="1:13" x14ac:dyDescent="0.45">
      <c r="A3349" t="s">
        <v>6369</v>
      </c>
      <c r="B3349">
        <v>1</v>
      </c>
      <c r="C3349" t="s">
        <v>1774</v>
      </c>
      <c r="G3349" s="3">
        <v>3037.1420967880972</v>
      </c>
      <c r="H3349" t="s">
        <v>1755</v>
      </c>
      <c r="I3349" t="s">
        <v>6369</v>
      </c>
      <c r="M3349" t="s">
        <v>1757</v>
      </c>
    </row>
    <row r="3350" spans="1:13" x14ac:dyDescent="0.45">
      <c r="A3350" t="s">
        <v>6370</v>
      </c>
      <c r="B3350">
        <v>1</v>
      </c>
      <c r="C3350" t="s">
        <v>1774</v>
      </c>
      <c r="G3350" s="3">
        <v>1605.087289147192</v>
      </c>
      <c r="H3350" t="s">
        <v>1755</v>
      </c>
      <c r="I3350" t="s">
        <v>6370</v>
      </c>
      <c r="M3350" t="s">
        <v>1757</v>
      </c>
    </row>
    <row r="3351" spans="1:13" x14ac:dyDescent="0.45">
      <c r="A3351" t="s">
        <v>6371</v>
      </c>
      <c r="B3351">
        <v>1</v>
      </c>
      <c r="C3351" t="s">
        <v>1774</v>
      </c>
      <c r="G3351" s="3">
        <v>2666.6023591916592</v>
      </c>
      <c r="H3351" t="s">
        <v>1755</v>
      </c>
      <c r="I3351" t="s">
        <v>6371</v>
      </c>
      <c r="M3351" t="s">
        <v>1757</v>
      </c>
    </row>
    <row r="3352" spans="1:13" x14ac:dyDescent="0.45">
      <c r="A3352" t="s">
        <v>6372</v>
      </c>
      <c r="B3352">
        <v>1</v>
      </c>
      <c r="C3352" t="s">
        <v>1774</v>
      </c>
      <c r="G3352" s="3">
        <v>4289.8043735572383</v>
      </c>
      <c r="H3352" t="s">
        <v>1755</v>
      </c>
      <c r="I3352" t="s">
        <v>6372</v>
      </c>
      <c r="M3352" t="s">
        <v>1757</v>
      </c>
    </row>
    <row r="3353" spans="1:13" x14ac:dyDescent="0.45">
      <c r="A3353" t="s">
        <v>6373</v>
      </c>
      <c r="B3353">
        <v>1</v>
      </c>
      <c r="C3353" t="s">
        <v>1774</v>
      </c>
      <c r="G3353" s="3">
        <v>3171.1336598816888</v>
      </c>
      <c r="H3353" t="s">
        <v>1755</v>
      </c>
      <c r="I3353" t="s">
        <v>6373</v>
      </c>
      <c r="M3353" t="s">
        <v>1757</v>
      </c>
    </row>
    <row r="3354" spans="1:13" x14ac:dyDescent="0.45">
      <c r="A3354" t="s">
        <v>6374</v>
      </c>
      <c r="B3354">
        <v>2</v>
      </c>
      <c r="C3354" t="s">
        <v>1774</v>
      </c>
      <c r="H3354" t="s">
        <v>1755</v>
      </c>
      <c r="I3354" t="s">
        <v>6374</v>
      </c>
      <c r="M3354" t="s">
        <v>1757</v>
      </c>
    </row>
    <row r="3355" spans="1:13" x14ac:dyDescent="0.45">
      <c r="A3355" t="s">
        <v>6375</v>
      </c>
      <c r="B3355">
        <v>1</v>
      </c>
      <c r="C3355" t="s">
        <v>1774</v>
      </c>
      <c r="G3355" s="3">
        <v>3332.894176974085</v>
      </c>
      <c r="H3355" t="s">
        <v>1755</v>
      </c>
      <c r="I3355" t="s">
        <v>6375</v>
      </c>
      <c r="M3355" t="s">
        <v>1757</v>
      </c>
    </row>
    <row r="3356" spans="1:13" x14ac:dyDescent="0.45">
      <c r="A3356" t="s">
        <v>6376</v>
      </c>
      <c r="B3356">
        <v>6</v>
      </c>
      <c r="C3356" t="s">
        <v>1774</v>
      </c>
      <c r="G3356" s="3">
        <v>1204.987999038286</v>
      </c>
      <c r="H3356" t="s">
        <v>1755</v>
      </c>
      <c r="I3356" t="s">
        <v>6376</v>
      </c>
      <c r="M3356" t="s">
        <v>1757</v>
      </c>
    </row>
    <row r="3357" spans="1:13" x14ac:dyDescent="0.45">
      <c r="A3357" t="s">
        <v>6377</v>
      </c>
      <c r="B3357">
        <v>1</v>
      </c>
      <c r="C3357" t="s">
        <v>1774</v>
      </c>
      <c r="G3357" s="3">
        <v>3324.3814955156781</v>
      </c>
      <c r="H3357" t="s">
        <v>1755</v>
      </c>
      <c r="I3357" t="s">
        <v>6377</v>
      </c>
      <c r="M3357" t="s">
        <v>1757</v>
      </c>
    </row>
    <row r="3358" spans="1:13" x14ac:dyDescent="0.45">
      <c r="A3358" t="s">
        <v>6378</v>
      </c>
      <c r="B3358">
        <v>1</v>
      </c>
      <c r="C3358" t="s">
        <v>1774</v>
      </c>
      <c r="G3358" s="3">
        <v>1436.477488122744</v>
      </c>
      <c r="H3358" t="s">
        <v>1755</v>
      </c>
      <c r="I3358" t="s">
        <v>6378</v>
      </c>
      <c r="M3358" t="s">
        <v>1757</v>
      </c>
    </row>
    <row r="3359" spans="1:13" x14ac:dyDescent="0.45">
      <c r="A3359" t="s">
        <v>6379</v>
      </c>
      <c r="B3359">
        <v>1</v>
      </c>
      <c r="C3359" t="s">
        <v>1774</v>
      </c>
      <c r="G3359" s="3">
        <v>2545.9277610002409</v>
      </c>
      <c r="H3359" t="s">
        <v>1755</v>
      </c>
      <c r="I3359" t="s">
        <v>6379</v>
      </c>
      <c r="M3359" t="s">
        <v>1757</v>
      </c>
    </row>
    <row r="3360" spans="1:13" x14ac:dyDescent="0.45">
      <c r="A3360" t="s">
        <v>6380</v>
      </c>
      <c r="B3360">
        <v>1</v>
      </c>
      <c r="C3360" t="s">
        <v>1774</v>
      </c>
      <c r="G3360" s="3">
        <v>2086.6539192821861</v>
      </c>
      <c r="H3360" t="s">
        <v>1755</v>
      </c>
      <c r="I3360" t="s">
        <v>6380</v>
      </c>
      <c r="M3360" t="s">
        <v>1757</v>
      </c>
    </row>
    <row r="3361" spans="1:13" x14ac:dyDescent="0.45">
      <c r="A3361" t="s">
        <v>6381</v>
      </c>
      <c r="B3361">
        <v>2</v>
      </c>
      <c r="C3361" t="s">
        <v>1774</v>
      </c>
      <c r="G3361" s="3">
        <v>2118.8749078368228</v>
      </c>
      <c r="H3361" t="s">
        <v>1755</v>
      </c>
      <c r="I3361" t="s">
        <v>6381</v>
      </c>
      <c r="M3361" t="s">
        <v>1757</v>
      </c>
    </row>
    <row r="3362" spans="1:13" x14ac:dyDescent="0.45">
      <c r="A3362" t="s">
        <v>6382</v>
      </c>
      <c r="B3362">
        <v>1</v>
      </c>
      <c r="C3362" t="s">
        <v>1774</v>
      </c>
      <c r="G3362" s="3">
        <v>2082.475856083634</v>
      </c>
      <c r="H3362" t="s">
        <v>1755</v>
      </c>
      <c r="I3362" t="s">
        <v>6382</v>
      </c>
      <c r="M3362" t="s">
        <v>1757</v>
      </c>
    </row>
    <row r="3363" spans="1:13" x14ac:dyDescent="0.45">
      <c r="A3363" t="s">
        <v>6383</v>
      </c>
      <c r="B3363">
        <v>1</v>
      </c>
      <c r="C3363" t="s">
        <v>1774</v>
      </c>
      <c r="G3363" s="3">
        <v>1180.346884701785</v>
      </c>
      <c r="H3363" t="s">
        <v>1755</v>
      </c>
      <c r="I3363" t="s">
        <v>6383</v>
      </c>
      <c r="M3363" t="s">
        <v>1757</v>
      </c>
    </row>
    <row r="3364" spans="1:13" x14ac:dyDescent="0.45">
      <c r="A3364" t="s">
        <v>6384</v>
      </c>
      <c r="B3364">
        <v>1</v>
      </c>
      <c r="C3364" t="s">
        <v>1774</v>
      </c>
      <c r="H3364" t="s">
        <v>1755</v>
      </c>
      <c r="I3364" t="s">
        <v>6384</v>
      </c>
      <c r="M3364" t="s">
        <v>1757</v>
      </c>
    </row>
    <row r="3365" spans="1:13" x14ac:dyDescent="0.45">
      <c r="A3365" t="s">
        <v>6385</v>
      </c>
      <c r="B3365">
        <v>1</v>
      </c>
      <c r="C3365" t="s">
        <v>1774</v>
      </c>
      <c r="G3365" s="3">
        <v>3135.6837231876561</v>
      </c>
      <c r="H3365" t="s">
        <v>1755</v>
      </c>
      <c r="I3365" t="s">
        <v>6385</v>
      </c>
      <c r="M3365" t="s">
        <v>1757</v>
      </c>
    </row>
    <row r="3366" spans="1:13" x14ac:dyDescent="0.45">
      <c r="A3366" t="s">
        <v>6386</v>
      </c>
      <c r="B3366">
        <v>3</v>
      </c>
      <c r="C3366" t="s">
        <v>1774</v>
      </c>
      <c r="G3366" s="3">
        <v>1135.973309513422</v>
      </c>
      <c r="H3366" t="s">
        <v>1755</v>
      </c>
      <c r="I3366" t="s">
        <v>6386</v>
      </c>
      <c r="M3366" t="s">
        <v>1757</v>
      </c>
    </row>
    <row r="3367" spans="1:13" x14ac:dyDescent="0.45">
      <c r="A3367" t="s">
        <v>6387</v>
      </c>
      <c r="B3367">
        <v>1</v>
      </c>
      <c r="C3367" t="s">
        <v>1774</v>
      </c>
      <c r="G3367" s="3">
        <v>4757.2843097386467</v>
      </c>
      <c r="H3367" t="s">
        <v>1755</v>
      </c>
      <c r="I3367" t="s">
        <v>6387</v>
      </c>
      <c r="M3367" t="s">
        <v>1757</v>
      </c>
    </row>
    <row r="3368" spans="1:13" x14ac:dyDescent="0.45">
      <c r="A3368" t="s">
        <v>6388</v>
      </c>
      <c r="B3368">
        <v>1</v>
      </c>
      <c r="C3368" t="s">
        <v>1774</v>
      </c>
      <c r="G3368" s="3">
        <v>3212.7740446247858</v>
      </c>
      <c r="H3368" t="s">
        <v>1755</v>
      </c>
      <c r="I3368" t="s">
        <v>6388</v>
      </c>
      <c r="M3368" t="s">
        <v>1757</v>
      </c>
    </row>
    <row r="3369" spans="1:13" x14ac:dyDescent="0.45">
      <c r="A3369" t="s">
        <v>6389</v>
      </c>
      <c r="B3369">
        <v>1</v>
      </c>
      <c r="C3369" t="s">
        <v>1774</v>
      </c>
      <c r="G3369" s="3">
        <v>4836.0510749572404</v>
      </c>
      <c r="H3369" t="s">
        <v>1755</v>
      </c>
      <c r="I3369" t="s">
        <v>6389</v>
      </c>
      <c r="M3369" t="s">
        <v>1757</v>
      </c>
    </row>
    <row r="3370" spans="1:13" x14ac:dyDescent="0.45">
      <c r="A3370" t="s">
        <v>6390</v>
      </c>
      <c r="B3370">
        <v>1</v>
      </c>
      <c r="C3370" t="s">
        <v>1774</v>
      </c>
      <c r="H3370" t="s">
        <v>1755</v>
      </c>
      <c r="I3370" t="s">
        <v>6390</v>
      </c>
      <c r="M3370" t="s">
        <v>1757</v>
      </c>
    </row>
    <row r="3371" spans="1:13" x14ac:dyDescent="0.45">
      <c r="A3371" t="s">
        <v>6391</v>
      </c>
      <c r="B3371">
        <v>1</v>
      </c>
      <c r="C3371" t="s">
        <v>1774</v>
      </c>
      <c r="G3371" s="3">
        <v>6705.0249661874941</v>
      </c>
      <c r="H3371" t="s">
        <v>1755</v>
      </c>
      <c r="I3371" t="s">
        <v>6391</v>
      </c>
      <c r="M3371" t="s">
        <v>1757</v>
      </c>
    </row>
    <row r="3372" spans="1:13" x14ac:dyDescent="0.45">
      <c r="A3372" t="s">
        <v>6392</v>
      </c>
      <c r="B3372">
        <v>1</v>
      </c>
      <c r="C3372" t="s">
        <v>1774</v>
      </c>
      <c r="G3372" s="3">
        <v>4107.2220333114064</v>
      </c>
      <c r="H3372" t="s">
        <v>1755</v>
      </c>
      <c r="I3372" t="s">
        <v>6392</v>
      </c>
      <c r="M3372" t="s">
        <v>1757</v>
      </c>
    </row>
    <row r="3373" spans="1:13" x14ac:dyDescent="0.45">
      <c r="A3373" t="s">
        <v>6393</v>
      </c>
      <c r="B3373">
        <v>1</v>
      </c>
      <c r="C3373" t="s">
        <v>1774</v>
      </c>
      <c r="G3373" s="3">
        <v>3208.390502908273</v>
      </c>
      <c r="H3373" t="s">
        <v>1755</v>
      </c>
      <c r="I3373" t="s">
        <v>6393</v>
      </c>
      <c r="M3373" t="s">
        <v>1757</v>
      </c>
    </row>
    <row r="3374" spans="1:13" x14ac:dyDescent="0.45">
      <c r="A3374" t="s">
        <v>6394</v>
      </c>
      <c r="B3374">
        <v>1</v>
      </c>
      <c r="C3374" t="s">
        <v>1774</v>
      </c>
      <c r="G3374" s="3">
        <v>4841.6609646539682</v>
      </c>
      <c r="H3374" t="s">
        <v>1755</v>
      </c>
      <c r="I3374" t="s">
        <v>6394</v>
      </c>
      <c r="M3374" t="s">
        <v>1757</v>
      </c>
    </row>
    <row r="3375" spans="1:13" x14ac:dyDescent="0.45">
      <c r="A3375" t="s">
        <v>6395</v>
      </c>
      <c r="B3375">
        <v>1</v>
      </c>
      <c r="C3375" t="s">
        <v>1774</v>
      </c>
      <c r="G3375" s="3">
        <v>3017.0671717396308</v>
      </c>
      <c r="H3375" t="s">
        <v>1755</v>
      </c>
      <c r="I3375" t="s">
        <v>6395</v>
      </c>
      <c r="M3375" t="s">
        <v>1757</v>
      </c>
    </row>
    <row r="3376" spans="1:13" x14ac:dyDescent="0.45">
      <c r="A3376" t="s">
        <v>6396</v>
      </c>
      <c r="B3376">
        <v>1</v>
      </c>
      <c r="C3376" t="s">
        <v>1774</v>
      </c>
      <c r="G3376" s="3">
        <v>2166.6763865549892</v>
      </c>
      <c r="H3376" t="s">
        <v>1755</v>
      </c>
      <c r="I3376" t="s">
        <v>6396</v>
      </c>
      <c r="M3376" t="s">
        <v>1757</v>
      </c>
    </row>
    <row r="3377" spans="1:13" x14ac:dyDescent="0.45">
      <c r="A3377" t="s">
        <v>6397</v>
      </c>
      <c r="B3377">
        <v>5</v>
      </c>
      <c r="C3377" t="s">
        <v>1774</v>
      </c>
      <c r="G3377" s="3">
        <v>2949.5169243507162</v>
      </c>
      <c r="H3377" t="s">
        <v>1755</v>
      </c>
      <c r="I3377" t="s">
        <v>6397</v>
      </c>
      <c r="M3377" t="s">
        <v>1757</v>
      </c>
    </row>
    <row r="3378" spans="1:13" x14ac:dyDescent="0.45">
      <c r="A3378" t="s">
        <v>6398</v>
      </c>
      <c r="B3378">
        <v>1</v>
      </c>
      <c r="C3378" t="s">
        <v>1774</v>
      </c>
      <c r="G3378" s="3">
        <v>4524.4412716866636</v>
      </c>
      <c r="H3378" t="s">
        <v>1755</v>
      </c>
      <c r="I3378" t="s">
        <v>6398</v>
      </c>
      <c r="M3378" t="s">
        <v>1757</v>
      </c>
    </row>
    <row r="3379" spans="1:13" x14ac:dyDescent="0.45">
      <c r="A3379" t="s">
        <v>6399</v>
      </c>
      <c r="B3379">
        <v>1</v>
      </c>
      <c r="C3379" t="s">
        <v>1774</v>
      </c>
      <c r="G3379" s="3">
        <v>2004.462512097567</v>
      </c>
      <c r="H3379" t="s">
        <v>1755</v>
      </c>
      <c r="I3379" t="s">
        <v>6399</v>
      </c>
      <c r="M3379" t="s">
        <v>1757</v>
      </c>
    </row>
    <row r="3380" spans="1:13" x14ac:dyDescent="0.45">
      <c r="A3380" t="s">
        <v>6400</v>
      </c>
      <c r="B3380">
        <v>1</v>
      </c>
      <c r="C3380" t="s">
        <v>1774</v>
      </c>
      <c r="G3380" s="3">
        <v>2806.2201198008652</v>
      </c>
      <c r="H3380" t="s">
        <v>1755</v>
      </c>
      <c r="I3380" t="s">
        <v>6400</v>
      </c>
      <c r="M3380" t="s">
        <v>1757</v>
      </c>
    </row>
    <row r="3381" spans="1:13" x14ac:dyDescent="0.45">
      <c r="A3381" t="s">
        <v>6401</v>
      </c>
      <c r="B3381">
        <v>1</v>
      </c>
      <c r="C3381" t="s">
        <v>1774</v>
      </c>
      <c r="G3381" s="3">
        <v>4531.1927087054</v>
      </c>
      <c r="H3381" t="s">
        <v>1755</v>
      </c>
      <c r="I3381" t="s">
        <v>6401</v>
      </c>
      <c r="M3381" t="s">
        <v>1757</v>
      </c>
    </row>
    <row r="3382" spans="1:13" x14ac:dyDescent="0.45">
      <c r="A3382" t="s">
        <v>6402</v>
      </c>
      <c r="B3382">
        <v>1</v>
      </c>
      <c r="C3382" t="s">
        <v>1774</v>
      </c>
      <c r="G3382" s="3">
        <v>3918.442721888955</v>
      </c>
      <c r="H3382" t="s">
        <v>1755</v>
      </c>
      <c r="I3382" t="s">
        <v>6402</v>
      </c>
      <c r="M3382" t="s">
        <v>1757</v>
      </c>
    </row>
    <row r="3383" spans="1:13" x14ac:dyDescent="0.45">
      <c r="A3383" t="s">
        <v>6403</v>
      </c>
      <c r="B3383">
        <v>2</v>
      </c>
      <c r="C3383" t="s">
        <v>1774</v>
      </c>
      <c r="G3383" s="3">
        <v>2634.8542973847111</v>
      </c>
      <c r="H3383" t="s">
        <v>1755</v>
      </c>
      <c r="I3383" t="s">
        <v>6403</v>
      </c>
      <c r="M3383" t="s">
        <v>1757</v>
      </c>
    </row>
    <row r="3384" spans="1:13" x14ac:dyDescent="0.45">
      <c r="A3384" t="s">
        <v>6404</v>
      </c>
      <c r="B3384">
        <v>1</v>
      </c>
      <c r="C3384" t="s">
        <v>1774</v>
      </c>
      <c r="G3384" s="3">
        <v>2542.702074424622</v>
      </c>
      <c r="H3384" t="s">
        <v>1755</v>
      </c>
      <c r="I3384" t="s">
        <v>6404</v>
      </c>
      <c r="M3384" t="s">
        <v>1757</v>
      </c>
    </row>
    <row r="3385" spans="1:13" x14ac:dyDescent="0.45">
      <c r="A3385" t="s">
        <v>6405</v>
      </c>
      <c r="B3385">
        <v>1</v>
      </c>
      <c r="C3385" t="s">
        <v>1774</v>
      </c>
      <c r="G3385" s="3">
        <v>6675.3773514530421</v>
      </c>
      <c r="H3385" t="s">
        <v>1755</v>
      </c>
      <c r="I3385" t="s">
        <v>6405</v>
      </c>
      <c r="M3385" t="s">
        <v>1757</v>
      </c>
    </row>
    <row r="3386" spans="1:13" x14ac:dyDescent="0.45">
      <c r="A3386" t="s">
        <v>6406</v>
      </c>
      <c r="B3386">
        <v>1</v>
      </c>
      <c r="C3386" t="s">
        <v>1774</v>
      </c>
      <c r="G3386" s="3">
        <v>1876.4493954075219</v>
      </c>
      <c r="H3386" t="s">
        <v>1755</v>
      </c>
      <c r="I3386" t="s">
        <v>6406</v>
      </c>
      <c r="M3386" t="s">
        <v>1757</v>
      </c>
    </row>
    <row r="3387" spans="1:13" x14ac:dyDescent="0.45">
      <c r="A3387" t="s">
        <v>6407</v>
      </c>
      <c r="B3387">
        <v>1</v>
      </c>
      <c r="C3387" t="s">
        <v>1774</v>
      </c>
      <c r="G3387" s="3">
        <v>3502.1367213713029</v>
      </c>
      <c r="H3387" t="s">
        <v>1755</v>
      </c>
      <c r="I3387" t="s">
        <v>6407</v>
      </c>
      <c r="M3387" t="s">
        <v>1757</v>
      </c>
    </row>
    <row r="3388" spans="1:13" x14ac:dyDescent="0.45">
      <c r="A3388" t="s">
        <v>6408</v>
      </c>
      <c r="B3388">
        <v>3</v>
      </c>
      <c r="C3388" t="s">
        <v>1774</v>
      </c>
      <c r="G3388" s="3">
        <v>1305.9594904518351</v>
      </c>
      <c r="H3388" t="s">
        <v>1755</v>
      </c>
      <c r="I3388" t="s">
        <v>6408</v>
      </c>
      <c r="M3388" t="s">
        <v>1757</v>
      </c>
    </row>
    <row r="3389" spans="1:13" x14ac:dyDescent="0.45">
      <c r="A3389" t="s">
        <v>6409</v>
      </c>
      <c r="B3389">
        <v>1</v>
      </c>
      <c r="C3389" t="s">
        <v>1774</v>
      </c>
      <c r="H3389" t="s">
        <v>1755</v>
      </c>
      <c r="I3389" t="s">
        <v>6409</v>
      </c>
      <c r="M3389" t="s">
        <v>1757</v>
      </c>
    </row>
    <row r="3390" spans="1:13" x14ac:dyDescent="0.45">
      <c r="A3390" t="s">
        <v>6410</v>
      </c>
      <c r="B3390">
        <v>1</v>
      </c>
      <c r="C3390" t="s">
        <v>1774</v>
      </c>
      <c r="G3390" s="3">
        <v>1935.8685642999581</v>
      </c>
      <c r="H3390" t="s">
        <v>1755</v>
      </c>
      <c r="I3390" t="s">
        <v>6410</v>
      </c>
      <c r="M3390" t="s">
        <v>1757</v>
      </c>
    </row>
    <row r="3391" spans="1:13" x14ac:dyDescent="0.45">
      <c r="A3391" t="s">
        <v>6411</v>
      </c>
      <c r="B3391">
        <v>1</v>
      </c>
      <c r="C3391" t="s">
        <v>1774</v>
      </c>
      <c r="G3391" s="3">
        <v>5505.9110435118873</v>
      </c>
      <c r="H3391" t="s">
        <v>1755</v>
      </c>
      <c r="I3391" t="s">
        <v>6411</v>
      </c>
      <c r="M3391" t="s">
        <v>1757</v>
      </c>
    </row>
    <row r="3392" spans="1:13" x14ac:dyDescent="0.45">
      <c r="A3392" t="s">
        <v>6412</v>
      </c>
      <c r="B3392">
        <v>1</v>
      </c>
      <c r="C3392" t="s">
        <v>1774</v>
      </c>
      <c r="G3392" s="3">
        <v>1524.3570625347429</v>
      </c>
      <c r="H3392" t="s">
        <v>1755</v>
      </c>
      <c r="I3392" t="s">
        <v>6412</v>
      </c>
      <c r="M3392" t="s">
        <v>1757</v>
      </c>
    </row>
    <row r="3393" spans="1:13" x14ac:dyDescent="0.45">
      <c r="A3393" t="s">
        <v>6413</v>
      </c>
      <c r="B3393">
        <v>1</v>
      </c>
      <c r="C3393" t="s">
        <v>1774</v>
      </c>
      <c r="G3393" s="3">
        <v>2067.6259562061909</v>
      </c>
      <c r="H3393" t="s">
        <v>1755</v>
      </c>
      <c r="I3393" t="s">
        <v>6413</v>
      </c>
      <c r="M3393" t="s">
        <v>1757</v>
      </c>
    </row>
    <row r="3394" spans="1:13" x14ac:dyDescent="0.45">
      <c r="A3394" t="s">
        <v>6414</v>
      </c>
      <c r="B3394">
        <v>1</v>
      </c>
      <c r="C3394" t="s">
        <v>1774</v>
      </c>
      <c r="G3394" s="3">
        <v>7848.3987639113093</v>
      </c>
      <c r="H3394" t="s">
        <v>1755</v>
      </c>
      <c r="I3394" t="s">
        <v>6414</v>
      </c>
      <c r="M3394" t="s">
        <v>1757</v>
      </c>
    </row>
    <row r="3395" spans="1:13" x14ac:dyDescent="0.45">
      <c r="A3395" t="s">
        <v>6415</v>
      </c>
      <c r="B3395">
        <v>1</v>
      </c>
      <c r="C3395" t="s">
        <v>1774</v>
      </c>
      <c r="G3395" s="3">
        <v>3196.446656356286</v>
      </c>
      <c r="H3395" t="s">
        <v>1755</v>
      </c>
      <c r="I3395" t="s">
        <v>6415</v>
      </c>
      <c r="M3395" t="s">
        <v>1757</v>
      </c>
    </row>
    <row r="3396" spans="1:13" x14ac:dyDescent="0.45">
      <c r="A3396" t="s">
        <v>6416</v>
      </c>
      <c r="B3396">
        <v>1</v>
      </c>
      <c r="C3396" t="s">
        <v>1774</v>
      </c>
      <c r="G3396" s="3">
        <v>2941.6272015737491</v>
      </c>
      <c r="H3396" t="s">
        <v>1755</v>
      </c>
      <c r="I3396" t="s">
        <v>6416</v>
      </c>
      <c r="M3396" t="s">
        <v>1757</v>
      </c>
    </row>
    <row r="3397" spans="1:13" x14ac:dyDescent="0.45">
      <c r="A3397" t="s">
        <v>6417</v>
      </c>
      <c r="B3397">
        <v>1</v>
      </c>
      <c r="C3397" t="s">
        <v>1774</v>
      </c>
      <c r="G3397" s="3">
        <v>3600.8968725439331</v>
      </c>
      <c r="H3397" t="s">
        <v>1755</v>
      </c>
      <c r="I3397" t="s">
        <v>6417</v>
      </c>
      <c r="M3397" t="s">
        <v>1757</v>
      </c>
    </row>
    <row r="3398" spans="1:13" x14ac:dyDescent="0.45">
      <c r="A3398" t="s">
        <v>6418</v>
      </c>
      <c r="B3398">
        <v>1</v>
      </c>
      <c r="C3398" t="s">
        <v>1774</v>
      </c>
      <c r="G3398" s="3">
        <v>3080.745942925048</v>
      </c>
      <c r="H3398" t="s">
        <v>1755</v>
      </c>
      <c r="I3398" t="s">
        <v>6418</v>
      </c>
      <c r="M3398" t="s">
        <v>1757</v>
      </c>
    </row>
    <row r="3399" spans="1:13" x14ac:dyDescent="0.45">
      <c r="A3399" t="s">
        <v>6419</v>
      </c>
      <c r="B3399">
        <v>5</v>
      </c>
      <c r="C3399" t="s">
        <v>1774</v>
      </c>
      <c r="G3399" s="3">
        <v>3339.5151514417348</v>
      </c>
      <c r="H3399" t="s">
        <v>1755</v>
      </c>
      <c r="I3399" t="s">
        <v>6419</v>
      </c>
      <c r="M3399" t="s">
        <v>1757</v>
      </c>
    </row>
    <row r="3400" spans="1:13" x14ac:dyDescent="0.45">
      <c r="A3400" t="s">
        <v>6420</v>
      </c>
      <c r="B3400">
        <v>1</v>
      </c>
      <c r="C3400" t="s">
        <v>1774</v>
      </c>
      <c r="G3400" s="3">
        <v>3258.1750124029559</v>
      </c>
      <c r="H3400" t="s">
        <v>1755</v>
      </c>
      <c r="I3400" t="s">
        <v>6420</v>
      </c>
      <c r="M3400" t="s">
        <v>1757</v>
      </c>
    </row>
    <row r="3401" spans="1:13" x14ac:dyDescent="0.45">
      <c r="A3401" t="s">
        <v>6421</v>
      </c>
      <c r="B3401">
        <v>1</v>
      </c>
      <c r="C3401" t="s">
        <v>1774</v>
      </c>
      <c r="G3401" s="3">
        <v>1737.519824755298</v>
      </c>
      <c r="H3401" t="s">
        <v>1755</v>
      </c>
      <c r="I3401" t="s">
        <v>6421</v>
      </c>
      <c r="M3401" t="s">
        <v>1757</v>
      </c>
    </row>
    <row r="3402" spans="1:13" x14ac:dyDescent="0.45">
      <c r="A3402" t="s">
        <v>6422</v>
      </c>
      <c r="B3402">
        <v>1</v>
      </c>
      <c r="C3402" t="s">
        <v>1774</v>
      </c>
      <c r="G3402" s="3">
        <v>3801.8744324929912</v>
      </c>
      <c r="H3402" t="s">
        <v>1755</v>
      </c>
      <c r="I3402" t="s">
        <v>6422</v>
      </c>
      <c r="M3402" t="s">
        <v>1757</v>
      </c>
    </row>
    <row r="3403" spans="1:13" x14ac:dyDescent="0.45">
      <c r="A3403" t="s">
        <v>6423</v>
      </c>
      <c r="B3403">
        <v>1</v>
      </c>
      <c r="C3403" t="s">
        <v>1774</v>
      </c>
      <c r="G3403" s="3">
        <v>1408.2649614502459</v>
      </c>
      <c r="H3403" t="s">
        <v>1755</v>
      </c>
      <c r="I3403" t="s">
        <v>6423</v>
      </c>
      <c r="M3403" t="s">
        <v>1757</v>
      </c>
    </row>
    <row r="3404" spans="1:13" x14ac:dyDescent="0.45">
      <c r="A3404" t="s">
        <v>6424</v>
      </c>
      <c r="B3404">
        <v>1</v>
      </c>
      <c r="C3404" t="s">
        <v>1774</v>
      </c>
      <c r="G3404" s="3">
        <v>1405.900327711799</v>
      </c>
      <c r="H3404" t="s">
        <v>1755</v>
      </c>
      <c r="I3404" t="s">
        <v>6424</v>
      </c>
      <c r="M3404" t="s">
        <v>1757</v>
      </c>
    </row>
    <row r="3405" spans="1:13" x14ac:dyDescent="0.45">
      <c r="A3405" t="s">
        <v>6425</v>
      </c>
      <c r="B3405">
        <v>1</v>
      </c>
      <c r="C3405" t="s">
        <v>1774</v>
      </c>
      <c r="G3405" s="3">
        <v>3676.1737645209569</v>
      </c>
      <c r="H3405" t="s">
        <v>1755</v>
      </c>
      <c r="I3405" t="s">
        <v>6425</v>
      </c>
      <c r="M3405" t="s">
        <v>1757</v>
      </c>
    </row>
    <row r="3406" spans="1:13" x14ac:dyDescent="0.45">
      <c r="A3406" t="s">
        <v>6426</v>
      </c>
      <c r="B3406">
        <v>1</v>
      </c>
      <c r="C3406" t="s">
        <v>1774</v>
      </c>
      <c r="G3406" s="3">
        <v>1673.5181587559409</v>
      </c>
      <c r="H3406" t="s">
        <v>1755</v>
      </c>
      <c r="I3406" t="s">
        <v>6426</v>
      </c>
      <c r="M3406" t="s">
        <v>1757</v>
      </c>
    </row>
    <row r="3407" spans="1:13" x14ac:dyDescent="0.45">
      <c r="A3407" t="s">
        <v>6427</v>
      </c>
      <c r="B3407">
        <v>1</v>
      </c>
      <c r="C3407" t="s">
        <v>1774</v>
      </c>
      <c r="G3407" s="3">
        <v>4495.9678199119917</v>
      </c>
      <c r="H3407" t="s">
        <v>1755</v>
      </c>
      <c r="I3407" t="s">
        <v>6427</v>
      </c>
      <c r="M3407" t="s">
        <v>1757</v>
      </c>
    </row>
    <row r="3408" spans="1:13" x14ac:dyDescent="0.45">
      <c r="A3408" t="s">
        <v>6428</v>
      </c>
      <c r="B3408">
        <v>1</v>
      </c>
      <c r="C3408" t="s">
        <v>1774</v>
      </c>
      <c r="G3408" s="3">
        <v>2681.4424743777708</v>
      </c>
      <c r="H3408" t="s">
        <v>1755</v>
      </c>
      <c r="I3408" t="s">
        <v>6428</v>
      </c>
      <c r="M3408" t="s">
        <v>1757</v>
      </c>
    </row>
    <row r="3409" spans="1:13" x14ac:dyDescent="0.45">
      <c r="A3409" t="s">
        <v>6429</v>
      </c>
      <c r="B3409">
        <v>4</v>
      </c>
      <c r="C3409" t="s">
        <v>1774</v>
      </c>
      <c r="G3409" s="3">
        <v>2495.1778286275162</v>
      </c>
      <c r="H3409" t="s">
        <v>1755</v>
      </c>
      <c r="I3409" t="s">
        <v>6429</v>
      </c>
      <c r="M3409" t="s">
        <v>1757</v>
      </c>
    </row>
    <row r="3410" spans="1:13" x14ac:dyDescent="0.45">
      <c r="A3410" t="s">
        <v>6430</v>
      </c>
      <c r="B3410">
        <v>1</v>
      </c>
      <c r="C3410" t="s">
        <v>1774</v>
      </c>
      <c r="G3410" s="3">
        <v>5418.3706717327132</v>
      </c>
      <c r="H3410" t="s">
        <v>1755</v>
      </c>
      <c r="I3410" t="s">
        <v>6430</v>
      </c>
      <c r="M3410" t="s">
        <v>1757</v>
      </c>
    </row>
    <row r="3411" spans="1:13" x14ac:dyDescent="0.45">
      <c r="A3411" t="s">
        <v>6431</v>
      </c>
      <c r="B3411">
        <v>1</v>
      </c>
      <c r="C3411" t="s">
        <v>1774</v>
      </c>
      <c r="G3411" s="3">
        <v>2737.2837078066541</v>
      </c>
      <c r="H3411" t="s">
        <v>1755</v>
      </c>
      <c r="I3411" t="s">
        <v>6431</v>
      </c>
      <c r="M3411" t="s">
        <v>1757</v>
      </c>
    </row>
    <row r="3412" spans="1:13" x14ac:dyDescent="0.45">
      <c r="A3412" t="s">
        <v>6432</v>
      </c>
      <c r="B3412">
        <v>1</v>
      </c>
      <c r="C3412" t="s">
        <v>1774</v>
      </c>
      <c r="G3412" s="3">
        <v>5280.5696021473896</v>
      </c>
      <c r="H3412" t="s">
        <v>1755</v>
      </c>
      <c r="I3412" t="s">
        <v>6432</v>
      </c>
      <c r="M3412" t="s">
        <v>1757</v>
      </c>
    </row>
    <row r="3413" spans="1:13" x14ac:dyDescent="0.45">
      <c r="A3413" t="s">
        <v>6433</v>
      </c>
      <c r="B3413">
        <v>1</v>
      </c>
      <c r="C3413" t="s">
        <v>1774</v>
      </c>
      <c r="G3413" s="3">
        <v>1854.773042544467</v>
      </c>
      <c r="H3413" t="s">
        <v>1755</v>
      </c>
      <c r="I3413" t="s">
        <v>6433</v>
      </c>
      <c r="M3413" t="s">
        <v>1757</v>
      </c>
    </row>
    <row r="3414" spans="1:13" x14ac:dyDescent="0.45">
      <c r="A3414" t="s">
        <v>6434</v>
      </c>
      <c r="B3414">
        <v>1</v>
      </c>
      <c r="C3414" t="s">
        <v>1774</v>
      </c>
      <c r="G3414" s="3">
        <v>4913.8067554049112</v>
      </c>
      <c r="H3414" t="s">
        <v>1755</v>
      </c>
      <c r="I3414" t="s">
        <v>6434</v>
      </c>
      <c r="M3414" t="s">
        <v>1757</v>
      </c>
    </row>
    <row r="3415" spans="1:13" x14ac:dyDescent="0.45">
      <c r="A3415" t="s">
        <v>6435</v>
      </c>
      <c r="B3415">
        <v>1</v>
      </c>
      <c r="C3415" t="s">
        <v>1774</v>
      </c>
      <c r="G3415" s="3">
        <v>4406.9271287953206</v>
      </c>
      <c r="H3415" t="s">
        <v>1755</v>
      </c>
      <c r="I3415" t="s">
        <v>6435</v>
      </c>
      <c r="M3415" t="s">
        <v>1757</v>
      </c>
    </row>
    <row r="3416" spans="1:13" x14ac:dyDescent="0.45">
      <c r="A3416" t="s">
        <v>6436</v>
      </c>
      <c r="B3416">
        <v>1</v>
      </c>
      <c r="C3416" t="s">
        <v>1774</v>
      </c>
      <c r="G3416" s="3">
        <v>3207.754497971725</v>
      </c>
      <c r="H3416" t="s">
        <v>1755</v>
      </c>
      <c r="I3416" t="s">
        <v>6436</v>
      </c>
      <c r="M3416" t="s">
        <v>1757</v>
      </c>
    </row>
    <row r="3417" spans="1:13" x14ac:dyDescent="0.45">
      <c r="A3417" t="s">
        <v>6437</v>
      </c>
      <c r="B3417">
        <v>1</v>
      </c>
      <c r="C3417" t="s">
        <v>1774</v>
      </c>
      <c r="G3417" s="3">
        <v>973.68115752534811</v>
      </c>
      <c r="H3417" t="s">
        <v>1755</v>
      </c>
      <c r="I3417" t="s">
        <v>6437</v>
      </c>
      <c r="M3417" t="s">
        <v>1757</v>
      </c>
    </row>
    <row r="3418" spans="1:13" x14ac:dyDescent="0.45">
      <c r="A3418" t="s">
        <v>6438</v>
      </c>
      <c r="B3418">
        <v>1</v>
      </c>
      <c r="C3418" t="s">
        <v>1774</v>
      </c>
      <c r="G3418" s="3">
        <v>2739.3972011342589</v>
      </c>
      <c r="H3418" t="s">
        <v>1755</v>
      </c>
      <c r="I3418" t="s">
        <v>6438</v>
      </c>
      <c r="M3418" t="s">
        <v>1757</v>
      </c>
    </row>
    <row r="3419" spans="1:13" x14ac:dyDescent="0.45">
      <c r="A3419" t="s">
        <v>6439</v>
      </c>
      <c r="B3419">
        <v>1</v>
      </c>
      <c r="C3419" t="s">
        <v>1774</v>
      </c>
      <c r="G3419" s="3">
        <v>3445.3855116485902</v>
      </c>
      <c r="H3419" t="s">
        <v>1755</v>
      </c>
      <c r="I3419" t="s">
        <v>6439</v>
      </c>
      <c r="M3419" t="s">
        <v>1757</v>
      </c>
    </row>
    <row r="3420" spans="1:13" x14ac:dyDescent="0.45">
      <c r="A3420" t="s">
        <v>6440</v>
      </c>
      <c r="B3420">
        <v>1</v>
      </c>
      <c r="C3420" t="s">
        <v>1774</v>
      </c>
      <c r="G3420" s="3">
        <v>2773.3957419474518</v>
      </c>
      <c r="H3420" t="s">
        <v>1755</v>
      </c>
      <c r="I3420" t="s">
        <v>6440</v>
      </c>
      <c r="M3420" t="s">
        <v>1757</v>
      </c>
    </row>
    <row r="3421" spans="1:13" x14ac:dyDescent="0.45">
      <c r="A3421" t="s">
        <v>6441</v>
      </c>
      <c r="B3421">
        <v>1</v>
      </c>
      <c r="C3421" t="s">
        <v>1774</v>
      </c>
      <c r="G3421" s="3">
        <v>3388.8626113902778</v>
      </c>
      <c r="H3421" t="s">
        <v>1755</v>
      </c>
      <c r="I3421" t="s">
        <v>6441</v>
      </c>
      <c r="M3421" t="s">
        <v>1757</v>
      </c>
    </row>
    <row r="3422" spans="1:13" x14ac:dyDescent="0.45">
      <c r="A3422" t="s">
        <v>6442</v>
      </c>
      <c r="B3422">
        <v>1</v>
      </c>
      <c r="C3422" t="s">
        <v>1774</v>
      </c>
      <c r="G3422" s="3">
        <v>4891.2367340669134</v>
      </c>
      <c r="H3422" t="s">
        <v>1755</v>
      </c>
      <c r="I3422" t="s">
        <v>6442</v>
      </c>
      <c r="M3422" t="s">
        <v>1757</v>
      </c>
    </row>
    <row r="3423" spans="1:13" x14ac:dyDescent="0.45">
      <c r="A3423" t="s">
        <v>6443</v>
      </c>
      <c r="B3423">
        <v>2</v>
      </c>
      <c r="C3423" t="s">
        <v>1774</v>
      </c>
      <c r="G3423" s="3">
        <v>6597.8173648320007</v>
      </c>
      <c r="H3423" t="s">
        <v>1755</v>
      </c>
      <c r="I3423" t="s">
        <v>6443</v>
      </c>
      <c r="M3423" t="s">
        <v>1757</v>
      </c>
    </row>
    <row r="3424" spans="1:13" x14ac:dyDescent="0.45">
      <c r="A3424" t="s">
        <v>6444</v>
      </c>
      <c r="B3424">
        <v>2</v>
      </c>
      <c r="C3424" t="s">
        <v>1774</v>
      </c>
      <c r="G3424" s="3">
        <v>1911.7232076575881</v>
      </c>
      <c r="H3424" t="s">
        <v>1755</v>
      </c>
      <c r="I3424" t="s">
        <v>6444</v>
      </c>
      <c r="M3424" t="s">
        <v>1757</v>
      </c>
    </row>
    <row r="3425" spans="1:13" x14ac:dyDescent="0.45">
      <c r="A3425" t="s">
        <v>6445</v>
      </c>
      <c r="B3425">
        <v>1</v>
      </c>
      <c r="C3425" t="s">
        <v>1774</v>
      </c>
      <c r="G3425" s="3">
        <v>2109.1456630895332</v>
      </c>
      <c r="H3425" t="s">
        <v>1755</v>
      </c>
      <c r="I3425" t="s">
        <v>6445</v>
      </c>
      <c r="M3425" t="s">
        <v>1757</v>
      </c>
    </row>
    <row r="3426" spans="1:13" x14ac:dyDescent="0.45">
      <c r="A3426" t="s">
        <v>6446</v>
      </c>
      <c r="B3426">
        <v>1</v>
      </c>
      <c r="C3426" t="s">
        <v>1774</v>
      </c>
      <c r="G3426" s="3">
        <v>3899.3299581547531</v>
      </c>
      <c r="H3426" t="s">
        <v>1755</v>
      </c>
      <c r="I3426" t="s">
        <v>6446</v>
      </c>
      <c r="M3426" t="s">
        <v>1757</v>
      </c>
    </row>
    <row r="3427" spans="1:13" x14ac:dyDescent="0.45">
      <c r="A3427" t="s">
        <v>6447</v>
      </c>
      <c r="B3427">
        <v>1</v>
      </c>
      <c r="C3427" t="s">
        <v>1774</v>
      </c>
      <c r="G3427" s="3">
        <v>5196.0951003187538</v>
      </c>
      <c r="H3427" t="s">
        <v>1755</v>
      </c>
      <c r="I3427" t="s">
        <v>6447</v>
      </c>
      <c r="M3427" t="s">
        <v>1757</v>
      </c>
    </row>
    <row r="3428" spans="1:13" x14ac:dyDescent="0.45">
      <c r="A3428" t="s">
        <v>6448</v>
      </c>
      <c r="B3428">
        <v>1</v>
      </c>
      <c r="C3428" t="s">
        <v>1774</v>
      </c>
      <c r="G3428" s="3">
        <v>3064.0923982788308</v>
      </c>
      <c r="H3428" t="s">
        <v>1755</v>
      </c>
      <c r="I3428" t="s">
        <v>6448</v>
      </c>
      <c r="M3428" t="s">
        <v>1757</v>
      </c>
    </row>
    <row r="3429" spans="1:13" x14ac:dyDescent="0.45">
      <c r="A3429" t="s">
        <v>6449</v>
      </c>
      <c r="B3429">
        <v>2</v>
      </c>
      <c r="C3429" t="s">
        <v>1774</v>
      </c>
      <c r="G3429" s="3">
        <v>4021.1819808697292</v>
      </c>
      <c r="H3429" t="s">
        <v>1755</v>
      </c>
      <c r="I3429" t="s">
        <v>6449</v>
      </c>
      <c r="M3429" t="s">
        <v>1757</v>
      </c>
    </row>
    <row r="3430" spans="1:13" x14ac:dyDescent="0.45">
      <c r="A3430" t="s">
        <v>6450</v>
      </c>
      <c r="B3430">
        <v>1</v>
      </c>
      <c r="C3430" t="s">
        <v>1774</v>
      </c>
      <c r="G3430" s="3">
        <v>4107.8091147912965</v>
      </c>
      <c r="H3430" t="s">
        <v>1755</v>
      </c>
      <c r="I3430" t="s">
        <v>6450</v>
      </c>
      <c r="M3430" t="s">
        <v>1757</v>
      </c>
    </row>
    <row r="3431" spans="1:13" x14ac:dyDescent="0.45">
      <c r="A3431" t="s">
        <v>6451</v>
      </c>
      <c r="B3431">
        <v>1</v>
      </c>
      <c r="C3431" t="s">
        <v>1774</v>
      </c>
      <c r="G3431" s="3">
        <v>6445.0131018717066</v>
      </c>
      <c r="H3431" t="s">
        <v>1755</v>
      </c>
      <c r="I3431" t="s">
        <v>6451</v>
      </c>
      <c r="M3431" t="s">
        <v>1757</v>
      </c>
    </row>
    <row r="3432" spans="1:13" x14ac:dyDescent="0.45">
      <c r="A3432" t="s">
        <v>6452</v>
      </c>
      <c r="B3432">
        <v>1</v>
      </c>
      <c r="C3432" t="s">
        <v>1774</v>
      </c>
      <c r="G3432" s="3">
        <v>2869.1422081899791</v>
      </c>
      <c r="H3432" t="s">
        <v>1755</v>
      </c>
      <c r="I3432" t="s">
        <v>6452</v>
      </c>
      <c r="M3432" t="s">
        <v>1757</v>
      </c>
    </row>
    <row r="3433" spans="1:13" x14ac:dyDescent="0.45">
      <c r="A3433" t="s">
        <v>6453</v>
      </c>
      <c r="B3433">
        <v>1</v>
      </c>
      <c r="C3433" t="s">
        <v>1774</v>
      </c>
      <c r="G3433" s="3">
        <v>3855.8859286428828</v>
      </c>
      <c r="H3433" t="s">
        <v>1755</v>
      </c>
      <c r="I3433" t="s">
        <v>6453</v>
      </c>
      <c r="M3433" t="s">
        <v>1757</v>
      </c>
    </row>
    <row r="3434" spans="1:13" x14ac:dyDescent="0.45">
      <c r="A3434" t="s">
        <v>6454</v>
      </c>
      <c r="B3434">
        <v>1</v>
      </c>
      <c r="C3434" t="s">
        <v>1774</v>
      </c>
      <c r="G3434" s="3">
        <v>3529.53385709951</v>
      </c>
      <c r="H3434" t="s">
        <v>1755</v>
      </c>
      <c r="I3434" t="s">
        <v>6454</v>
      </c>
      <c r="M3434" t="s">
        <v>1757</v>
      </c>
    </row>
    <row r="3435" spans="1:13" x14ac:dyDescent="0.45">
      <c r="A3435" t="s">
        <v>6455</v>
      </c>
      <c r="B3435">
        <v>1</v>
      </c>
      <c r="C3435" t="s">
        <v>1774</v>
      </c>
      <c r="G3435" s="3">
        <v>4052.8843807837961</v>
      </c>
      <c r="H3435" t="s">
        <v>1755</v>
      </c>
      <c r="I3435" t="s">
        <v>6455</v>
      </c>
      <c r="M3435" t="s">
        <v>1757</v>
      </c>
    </row>
    <row r="3436" spans="1:13" x14ac:dyDescent="0.45">
      <c r="A3436" t="s">
        <v>6456</v>
      </c>
      <c r="B3436">
        <v>1</v>
      </c>
      <c r="C3436" t="s">
        <v>1774</v>
      </c>
      <c r="G3436" s="3">
        <v>2677.4601050058491</v>
      </c>
      <c r="H3436" t="s">
        <v>1755</v>
      </c>
      <c r="I3436" t="s">
        <v>6456</v>
      </c>
      <c r="M3436" t="s">
        <v>1757</v>
      </c>
    </row>
    <row r="3437" spans="1:13" x14ac:dyDescent="0.45">
      <c r="A3437" t="s">
        <v>6457</v>
      </c>
      <c r="B3437">
        <v>1</v>
      </c>
      <c r="C3437" t="s">
        <v>1774</v>
      </c>
      <c r="G3437" s="3">
        <v>1964.035429079576</v>
      </c>
      <c r="H3437" t="s">
        <v>1755</v>
      </c>
      <c r="I3437" t="s">
        <v>6457</v>
      </c>
      <c r="M3437" t="s">
        <v>1757</v>
      </c>
    </row>
    <row r="3438" spans="1:13" x14ac:dyDescent="0.45">
      <c r="A3438" t="s">
        <v>6458</v>
      </c>
      <c r="B3438">
        <v>1</v>
      </c>
      <c r="C3438" t="s">
        <v>1774</v>
      </c>
      <c r="G3438" s="3">
        <v>2581.9354251001701</v>
      </c>
      <c r="H3438" t="s">
        <v>1755</v>
      </c>
      <c r="I3438" t="s">
        <v>6458</v>
      </c>
      <c r="M3438" t="s">
        <v>1757</v>
      </c>
    </row>
    <row r="3439" spans="1:13" x14ac:dyDescent="0.45">
      <c r="A3439" t="s">
        <v>6459</v>
      </c>
      <c r="B3439">
        <v>2</v>
      </c>
      <c r="C3439" t="s">
        <v>1774</v>
      </c>
      <c r="G3439" s="3">
        <v>2617.9659201465379</v>
      </c>
      <c r="H3439" t="s">
        <v>1755</v>
      </c>
      <c r="I3439" t="s">
        <v>6459</v>
      </c>
      <c r="M3439" t="s">
        <v>1757</v>
      </c>
    </row>
    <row r="3440" spans="1:13" x14ac:dyDescent="0.45">
      <c r="A3440" t="s">
        <v>6460</v>
      </c>
      <c r="B3440">
        <v>2</v>
      </c>
      <c r="C3440" t="s">
        <v>1774</v>
      </c>
      <c r="G3440" s="3">
        <v>1961.2565767414289</v>
      </c>
      <c r="H3440" t="s">
        <v>1755</v>
      </c>
      <c r="I3440" t="s">
        <v>6460</v>
      </c>
      <c r="M3440" t="s">
        <v>1757</v>
      </c>
    </row>
    <row r="3441" spans="1:13" x14ac:dyDescent="0.45">
      <c r="A3441" t="s">
        <v>6461</v>
      </c>
      <c r="B3441">
        <v>1</v>
      </c>
      <c r="C3441" t="s">
        <v>1774</v>
      </c>
      <c r="G3441" s="3">
        <v>4485.2372750851109</v>
      </c>
      <c r="H3441" t="s">
        <v>1755</v>
      </c>
      <c r="I3441" t="s">
        <v>6461</v>
      </c>
      <c r="M3441" t="s">
        <v>1757</v>
      </c>
    </row>
    <row r="3442" spans="1:13" x14ac:dyDescent="0.45">
      <c r="A3442" t="s">
        <v>6462</v>
      </c>
      <c r="B3442">
        <v>1</v>
      </c>
      <c r="C3442" t="s">
        <v>1774</v>
      </c>
      <c r="G3442" s="3">
        <v>1645.8013897775729</v>
      </c>
      <c r="H3442" t="s">
        <v>1755</v>
      </c>
      <c r="I3442" t="s">
        <v>6462</v>
      </c>
      <c r="M3442" t="s">
        <v>1757</v>
      </c>
    </row>
    <row r="3443" spans="1:13" x14ac:dyDescent="0.45">
      <c r="A3443" t="s">
        <v>6463</v>
      </c>
      <c r="B3443">
        <v>1</v>
      </c>
      <c r="C3443" t="s">
        <v>1774</v>
      </c>
      <c r="G3443" s="3">
        <v>2046.4844998025919</v>
      </c>
      <c r="H3443" t="s">
        <v>1755</v>
      </c>
      <c r="I3443" t="s">
        <v>6463</v>
      </c>
      <c r="M3443" t="s">
        <v>1757</v>
      </c>
    </row>
    <row r="3444" spans="1:13" x14ac:dyDescent="0.45">
      <c r="A3444" t="s">
        <v>6464</v>
      </c>
      <c r="B3444">
        <v>1</v>
      </c>
      <c r="C3444" t="s">
        <v>1774</v>
      </c>
      <c r="G3444" s="3">
        <v>1554.8950841803619</v>
      </c>
      <c r="H3444" t="s">
        <v>1755</v>
      </c>
      <c r="I3444" t="s">
        <v>6464</v>
      </c>
      <c r="M3444" t="s">
        <v>1757</v>
      </c>
    </row>
    <row r="3445" spans="1:13" x14ac:dyDescent="0.45">
      <c r="A3445" t="s">
        <v>6465</v>
      </c>
      <c r="B3445">
        <v>1</v>
      </c>
      <c r="C3445" t="s">
        <v>1774</v>
      </c>
      <c r="G3445" s="3">
        <v>2124.3151962171378</v>
      </c>
      <c r="H3445" t="s">
        <v>1755</v>
      </c>
      <c r="I3445" t="s">
        <v>6465</v>
      </c>
      <c r="M3445" t="s">
        <v>1757</v>
      </c>
    </row>
    <row r="3446" spans="1:13" x14ac:dyDescent="0.45">
      <c r="A3446" t="s">
        <v>6466</v>
      </c>
      <c r="B3446">
        <v>1</v>
      </c>
      <c r="C3446" t="s">
        <v>1774</v>
      </c>
      <c r="G3446" s="3">
        <v>2319.9405300078638</v>
      </c>
      <c r="H3446" t="s">
        <v>1755</v>
      </c>
      <c r="I3446" t="s">
        <v>6466</v>
      </c>
      <c r="M3446" t="s">
        <v>1757</v>
      </c>
    </row>
    <row r="3447" spans="1:13" x14ac:dyDescent="0.45">
      <c r="A3447" t="s">
        <v>6467</v>
      </c>
      <c r="B3447">
        <v>2</v>
      </c>
      <c r="C3447" t="s">
        <v>1774</v>
      </c>
      <c r="G3447" s="3">
        <v>2891.6633060713202</v>
      </c>
      <c r="H3447" t="s">
        <v>1755</v>
      </c>
      <c r="I3447" t="s">
        <v>6467</v>
      </c>
      <c r="M3447" t="s">
        <v>1757</v>
      </c>
    </row>
    <row r="3448" spans="1:13" x14ac:dyDescent="0.45">
      <c r="A3448" t="s">
        <v>6468</v>
      </c>
      <c r="B3448">
        <v>1</v>
      </c>
      <c r="C3448" t="s">
        <v>1774</v>
      </c>
      <c r="G3448" s="3">
        <v>1372.521484016268</v>
      </c>
      <c r="H3448" t="s">
        <v>1755</v>
      </c>
      <c r="I3448" t="s">
        <v>6468</v>
      </c>
      <c r="M3448" t="s">
        <v>1757</v>
      </c>
    </row>
    <row r="3449" spans="1:13" x14ac:dyDescent="0.45">
      <c r="A3449" t="s">
        <v>6469</v>
      </c>
      <c r="B3449">
        <v>1</v>
      </c>
      <c r="C3449" t="s">
        <v>1774</v>
      </c>
      <c r="G3449" s="3">
        <v>1951.436008208379</v>
      </c>
      <c r="H3449" t="s">
        <v>1755</v>
      </c>
      <c r="I3449" t="s">
        <v>6469</v>
      </c>
      <c r="M3449" t="s">
        <v>1757</v>
      </c>
    </row>
    <row r="3450" spans="1:13" x14ac:dyDescent="0.45">
      <c r="A3450" t="s">
        <v>6470</v>
      </c>
      <c r="B3450">
        <v>1</v>
      </c>
      <c r="C3450" t="s">
        <v>1774</v>
      </c>
      <c r="G3450" s="3">
        <v>5584.1885741639053</v>
      </c>
      <c r="H3450" t="s">
        <v>1755</v>
      </c>
      <c r="I3450" t="s">
        <v>6470</v>
      </c>
      <c r="M3450" t="s">
        <v>1757</v>
      </c>
    </row>
    <row r="3451" spans="1:13" x14ac:dyDescent="0.45">
      <c r="A3451" t="s">
        <v>6471</v>
      </c>
      <c r="B3451">
        <v>1</v>
      </c>
      <c r="C3451" t="s">
        <v>1774</v>
      </c>
      <c r="G3451" s="3">
        <v>7633.9509455625512</v>
      </c>
      <c r="H3451" t="s">
        <v>1755</v>
      </c>
      <c r="I3451" t="s">
        <v>6471</v>
      </c>
      <c r="M3451" t="s">
        <v>1757</v>
      </c>
    </row>
    <row r="3452" spans="1:13" x14ac:dyDescent="0.45">
      <c r="A3452" t="s">
        <v>6472</v>
      </c>
      <c r="B3452">
        <v>1</v>
      </c>
      <c r="C3452" t="s">
        <v>1774</v>
      </c>
      <c r="G3452" s="3">
        <v>1861.462509851438</v>
      </c>
      <c r="H3452" t="s">
        <v>1755</v>
      </c>
      <c r="I3452" t="s">
        <v>6472</v>
      </c>
      <c r="M3452" t="s">
        <v>1757</v>
      </c>
    </row>
    <row r="3453" spans="1:13" x14ac:dyDescent="0.45">
      <c r="A3453" t="s">
        <v>6473</v>
      </c>
      <c r="B3453">
        <v>1</v>
      </c>
      <c r="C3453" t="s">
        <v>1774</v>
      </c>
      <c r="G3453" s="3">
        <v>4193.0337762886802</v>
      </c>
      <c r="H3453" t="s">
        <v>1755</v>
      </c>
      <c r="I3453" t="s">
        <v>6473</v>
      </c>
      <c r="M3453" t="s">
        <v>1757</v>
      </c>
    </row>
    <row r="3454" spans="1:13" x14ac:dyDescent="0.45">
      <c r="A3454" t="s">
        <v>6474</v>
      </c>
      <c r="B3454">
        <v>1</v>
      </c>
      <c r="C3454" t="s">
        <v>1774</v>
      </c>
      <c r="G3454" s="3">
        <v>3792.90513210578</v>
      </c>
      <c r="H3454" t="s">
        <v>1755</v>
      </c>
      <c r="I3454" t="s">
        <v>6474</v>
      </c>
      <c r="M3454" t="s">
        <v>1757</v>
      </c>
    </row>
    <row r="3455" spans="1:13" x14ac:dyDescent="0.45">
      <c r="A3455" t="s">
        <v>6475</v>
      </c>
      <c r="B3455">
        <v>1</v>
      </c>
      <c r="C3455" t="s">
        <v>1774</v>
      </c>
      <c r="G3455" s="3">
        <v>1761.6814892165539</v>
      </c>
      <c r="H3455" t="s">
        <v>1755</v>
      </c>
      <c r="I3455" t="s">
        <v>6475</v>
      </c>
      <c r="M3455" t="s">
        <v>1757</v>
      </c>
    </row>
    <row r="3456" spans="1:13" x14ac:dyDescent="0.45">
      <c r="A3456" t="s">
        <v>6476</v>
      </c>
      <c r="B3456">
        <v>2</v>
      </c>
      <c r="C3456" t="s">
        <v>1774</v>
      </c>
      <c r="G3456" s="3">
        <v>7615.5231102215548</v>
      </c>
      <c r="H3456" t="s">
        <v>1755</v>
      </c>
      <c r="I3456" t="s">
        <v>6476</v>
      </c>
      <c r="M3456" t="s">
        <v>1757</v>
      </c>
    </row>
    <row r="3457" spans="1:13" x14ac:dyDescent="0.45">
      <c r="A3457" t="s">
        <v>6477</v>
      </c>
      <c r="B3457">
        <v>1</v>
      </c>
      <c r="C3457" t="s">
        <v>1774</v>
      </c>
      <c r="G3457" s="3">
        <v>4955.1307684616231</v>
      </c>
      <c r="H3457" t="s">
        <v>1755</v>
      </c>
      <c r="I3457" t="s">
        <v>6477</v>
      </c>
      <c r="M3457" t="s">
        <v>1757</v>
      </c>
    </row>
    <row r="3458" spans="1:13" x14ac:dyDescent="0.45">
      <c r="A3458" t="s">
        <v>6478</v>
      </c>
      <c r="B3458">
        <v>1</v>
      </c>
      <c r="C3458" t="s">
        <v>1774</v>
      </c>
      <c r="G3458" s="3">
        <v>1581.5029214744941</v>
      </c>
      <c r="H3458" t="s">
        <v>1755</v>
      </c>
      <c r="I3458" t="s">
        <v>6478</v>
      </c>
      <c r="M3458" t="s">
        <v>1757</v>
      </c>
    </row>
    <row r="3459" spans="1:13" x14ac:dyDescent="0.45">
      <c r="A3459" t="s">
        <v>6479</v>
      </c>
      <c r="B3459">
        <v>1</v>
      </c>
      <c r="C3459" t="s">
        <v>1774</v>
      </c>
      <c r="G3459" s="3">
        <v>4065.3109387748041</v>
      </c>
      <c r="H3459" t="s">
        <v>1755</v>
      </c>
      <c r="I3459" t="s">
        <v>6479</v>
      </c>
      <c r="M3459" t="s">
        <v>1757</v>
      </c>
    </row>
    <row r="3460" spans="1:13" x14ac:dyDescent="0.45">
      <c r="A3460" t="s">
        <v>6480</v>
      </c>
      <c r="B3460">
        <v>3</v>
      </c>
      <c r="C3460" t="s">
        <v>1774</v>
      </c>
      <c r="G3460" s="3">
        <v>2049.1002739518799</v>
      </c>
      <c r="H3460" t="s">
        <v>1755</v>
      </c>
      <c r="I3460" t="s">
        <v>6480</v>
      </c>
      <c r="M3460" t="s">
        <v>1757</v>
      </c>
    </row>
    <row r="3461" spans="1:13" x14ac:dyDescent="0.45">
      <c r="A3461" t="s">
        <v>6481</v>
      </c>
      <c r="B3461">
        <v>1</v>
      </c>
      <c r="C3461" t="s">
        <v>1774</v>
      </c>
      <c r="G3461" s="3">
        <v>1590.093880463553</v>
      </c>
      <c r="H3461" t="s">
        <v>1755</v>
      </c>
      <c r="I3461" t="s">
        <v>6481</v>
      </c>
      <c r="M3461" t="s">
        <v>1757</v>
      </c>
    </row>
    <row r="3462" spans="1:13" x14ac:dyDescent="0.45">
      <c r="A3462" t="s">
        <v>6482</v>
      </c>
      <c r="B3462">
        <v>1</v>
      </c>
      <c r="C3462" t="s">
        <v>1774</v>
      </c>
      <c r="G3462" s="3">
        <v>828.00341141816477</v>
      </c>
      <c r="H3462" t="s">
        <v>1755</v>
      </c>
      <c r="I3462" t="s">
        <v>6482</v>
      </c>
      <c r="M3462" t="s">
        <v>1757</v>
      </c>
    </row>
    <row r="3463" spans="1:13" x14ac:dyDescent="0.45">
      <c r="A3463" t="s">
        <v>6483</v>
      </c>
      <c r="B3463">
        <v>1</v>
      </c>
      <c r="C3463" t="s">
        <v>1774</v>
      </c>
      <c r="G3463" s="3">
        <v>3800.830732084296</v>
      </c>
      <c r="H3463" t="s">
        <v>1755</v>
      </c>
      <c r="I3463" t="s">
        <v>6483</v>
      </c>
      <c r="M3463" t="s">
        <v>1757</v>
      </c>
    </row>
    <row r="3464" spans="1:13" x14ac:dyDescent="0.45">
      <c r="A3464" t="s">
        <v>6484</v>
      </c>
      <c r="B3464">
        <v>2</v>
      </c>
      <c r="C3464" t="s">
        <v>1774</v>
      </c>
      <c r="G3464" s="3">
        <v>4465.8635862487363</v>
      </c>
      <c r="H3464" t="s">
        <v>1755</v>
      </c>
      <c r="I3464" t="s">
        <v>6484</v>
      </c>
      <c r="M3464" t="s">
        <v>1757</v>
      </c>
    </row>
    <row r="3465" spans="1:13" x14ac:dyDescent="0.45">
      <c r="A3465" t="s">
        <v>6485</v>
      </c>
      <c r="B3465">
        <v>1</v>
      </c>
      <c r="C3465" t="s">
        <v>1774</v>
      </c>
      <c r="G3465" s="3">
        <v>3190.2170695418959</v>
      </c>
      <c r="H3465" t="s">
        <v>1755</v>
      </c>
      <c r="I3465" t="s">
        <v>6485</v>
      </c>
      <c r="M3465" t="s">
        <v>1757</v>
      </c>
    </row>
    <row r="3466" spans="1:13" x14ac:dyDescent="0.45">
      <c r="A3466" t="s">
        <v>6486</v>
      </c>
      <c r="B3466">
        <v>1</v>
      </c>
      <c r="C3466" t="s">
        <v>1774</v>
      </c>
      <c r="G3466" s="3">
        <v>1726.2413372138531</v>
      </c>
      <c r="H3466" t="s">
        <v>1755</v>
      </c>
      <c r="I3466" t="s">
        <v>6486</v>
      </c>
      <c r="M3466" t="s">
        <v>1757</v>
      </c>
    </row>
    <row r="3467" spans="1:13" x14ac:dyDescent="0.45">
      <c r="A3467" t="s">
        <v>6487</v>
      </c>
      <c r="B3467">
        <v>1</v>
      </c>
      <c r="C3467" t="s">
        <v>1774</v>
      </c>
      <c r="G3467" s="3">
        <v>2471.5836762634872</v>
      </c>
      <c r="H3467" t="s">
        <v>1755</v>
      </c>
      <c r="I3467" t="s">
        <v>6487</v>
      </c>
      <c r="M3467" t="s">
        <v>1757</v>
      </c>
    </row>
    <row r="3468" spans="1:13" x14ac:dyDescent="0.45">
      <c r="A3468" t="s">
        <v>6488</v>
      </c>
      <c r="B3468">
        <v>1</v>
      </c>
      <c r="C3468" t="s">
        <v>1774</v>
      </c>
      <c r="H3468" t="s">
        <v>1755</v>
      </c>
      <c r="I3468" t="s">
        <v>6488</v>
      </c>
      <c r="M3468" t="s">
        <v>1757</v>
      </c>
    </row>
    <row r="3469" spans="1:13" x14ac:dyDescent="0.45">
      <c r="A3469" t="s">
        <v>6489</v>
      </c>
      <c r="B3469">
        <v>1</v>
      </c>
      <c r="C3469" t="s">
        <v>1774</v>
      </c>
      <c r="G3469" s="3">
        <v>948.60299364270782</v>
      </c>
      <c r="H3469" t="s">
        <v>1755</v>
      </c>
      <c r="I3469" t="s">
        <v>6489</v>
      </c>
      <c r="M3469" t="s">
        <v>1757</v>
      </c>
    </row>
    <row r="3470" spans="1:13" x14ac:dyDescent="0.45">
      <c r="A3470" t="s">
        <v>6490</v>
      </c>
      <c r="B3470">
        <v>1</v>
      </c>
      <c r="C3470" t="s">
        <v>1774</v>
      </c>
      <c r="G3470" s="3">
        <v>1009.767099155929</v>
      </c>
      <c r="H3470" t="s">
        <v>1755</v>
      </c>
      <c r="I3470" t="s">
        <v>6490</v>
      </c>
      <c r="M3470" t="s">
        <v>1757</v>
      </c>
    </row>
    <row r="3471" spans="1:13" x14ac:dyDescent="0.45">
      <c r="A3471" t="s">
        <v>6491</v>
      </c>
      <c r="B3471">
        <v>1</v>
      </c>
      <c r="C3471" t="s">
        <v>1774</v>
      </c>
      <c r="G3471" s="3">
        <v>4222.7140066609036</v>
      </c>
      <c r="H3471" t="s">
        <v>1755</v>
      </c>
      <c r="I3471" t="s">
        <v>6491</v>
      </c>
      <c r="M3471" t="s">
        <v>1757</v>
      </c>
    </row>
    <row r="3472" spans="1:13" x14ac:dyDescent="0.45">
      <c r="A3472" t="s">
        <v>6492</v>
      </c>
      <c r="B3472">
        <v>1</v>
      </c>
      <c r="C3472" t="s">
        <v>1774</v>
      </c>
      <c r="G3472" s="3">
        <v>1305.568102798575</v>
      </c>
      <c r="H3472" t="s">
        <v>1755</v>
      </c>
      <c r="I3472" t="s">
        <v>6492</v>
      </c>
      <c r="M3472" t="s">
        <v>1757</v>
      </c>
    </row>
    <row r="3473" spans="1:13" x14ac:dyDescent="0.45">
      <c r="A3473" t="s">
        <v>6493</v>
      </c>
      <c r="B3473">
        <v>1</v>
      </c>
      <c r="C3473" t="s">
        <v>1774</v>
      </c>
      <c r="G3473" s="3">
        <v>1813.9774028196571</v>
      </c>
      <c r="H3473" t="s">
        <v>1755</v>
      </c>
      <c r="I3473" t="s">
        <v>6493</v>
      </c>
      <c r="M3473" t="s">
        <v>1757</v>
      </c>
    </row>
    <row r="3474" spans="1:13" x14ac:dyDescent="0.45">
      <c r="A3474" t="s">
        <v>6494</v>
      </c>
      <c r="B3474">
        <v>1</v>
      </c>
      <c r="C3474" t="s">
        <v>1774</v>
      </c>
      <c r="G3474" s="3">
        <v>6538.5221353630968</v>
      </c>
      <c r="H3474" t="s">
        <v>1755</v>
      </c>
      <c r="I3474" t="s">
        <v>6494</v>
      </c>
      <c r="M3474" t="s">
        <v>1757</v>
      </c>
    </row>
    <row r="3475" spans="1:13" x14ac:dyDescent="0.45">
      <c r="A3475" t="s">
        <v>6495</v>
      </c>
      <c r="B3475">
        <v>2</v>
      </c>
      <c r="C3475" t="s">
        <v>1774</v>
      </c>
      <c r="G3475" s="3">
        <v>3234.225349587216</v>
      </c>
      <c r="H3475" t="s">
        <v>1755</v>
      </c>
      <c r="I3475" t="s">
        <v>6495</v>
      </c>
      <c r="M3475" t="s">
        <v>1757</v>
      </c>
    </row>
    <row r="3476" spans="1:13" x14ac:dyDescent="0.45">
      <c r="A3476" t="s">
        <v>6496</v>
      </c>
      <c r="B3476">
        <v>1</v>
      </c>
      <c r="C3476" t="s">
        <v>1774</v>
      </c>
      <c r="G3476" s="3">
        <v>2458.3156348179691</v>
      </c>
      <c r="H3476" t="s">
        <v>1755</v>
      </c>
      <c r="I3476" t="s">
        <v>6496</v>
      </c>
      <c r="M3476" t="s">
        <v>1757</v>
      </c>
    </row>
    <row r="3477" spans="1:13" x14ac:dyDescent="0.45">
      <c r="A3477" t="s">
        <v>6497</v>
      </c>
      <c r="B3477">
        <v>1</v>
      </c>
      <c r="C3477" t="s">
        <v>1774</v>
      </c>
      <c r="G3477" s="3">
        <v>2769.1850631111288</v>
      </c>
      <c r="H3477" t="s">
        <v>1755</v>
      </c>
      <c r="I3477" t="s">
        <v>6497</v>
      </c>
      <c r="M3477" t="s">
        <v>1757</v>
      </c>
    </row>
    <row r="3478" spans="1:13" x14ac:dyDescent="0.45">
      <c r="A3478" t="s">
        <v>6498</v>
      </c>
      <c r="B3478">
        <v>1</v>
      </c>
      <c r="C3478" t="s">
        <v>1774</v>
      </c>
      <c r="G3478" s="3">
        <v>2709.4201684583131</v>
      </c>
      <c r="H3478" t="s">
        <v>1755</v>
      </c>
      <c r="I3478" t="s">
        <v>6498</v>
      </c>
      <c r="M3478" t="s">
        <v>1757</v>
      </c>
    </row>
    <row r="3479" spans="1:13" x14ac:dyDescent="0.45">
      <c r="A3479" t="s">
        <v>6499</v>
      </c>
      <c r="B3479">
        <v>1</v>
      </c>
      <c r="C3479" t="s">
        <v>1774</v>
      </c>
      <c r="G3479" s="3">
        <v>11286.674066525669</v>
      </c>
      <c r="H3479" t="s">
        <v>1755</v>
      </c>
      <c r="I3479" t="s">
        <v>6499</v>
      </c>
      <c r="M3479" t="s">
        <v>1757</v>
      </c>
    </row>
    <row r="3480" spans="1:13" x14ac:dyDescent="0.45">
      <c r="A3480" t="s">
        <v>6500</v>
      </c>
      <c r="B3480">
        <v>1</v>
      </c>
      <c r="C3480" t="s">
        <v>1774</v>
      </c>
      <c r="G3480" s="3">
        <v>3343.2007185099342</v>
      </c>
      <c r="H3480" t="s">
        <v>1755</v>
      </c>
      <c r="I3480" t="s">
        <v>6500</v>
      </c>
      <c r="M3480" t="s">
        <v>1757</v>
      </c>
    </row>
    <row r="3481" spans="1:13" x14ac:dyDescent="0.45">
      <c r="A3481" t="s">
        <v>6501</v>
      </c>
      <c r="B3481">
        <v>1</v>
      </c>
      <c r="C3481" t="s">
        <v>1774</v>
      </c>
      <c r="G3481" s="3">
        <v>3652.5274271364929</v>
      </c>
      <c r="H3481" t="s">
        <v>1755</v>
      </c>
      <c r="I3481" t="s">
        <v>6501</v>
      </c>
      <c r="M3481" t="s">
        <v>1757</v>
      </c>
    </row>
    <row r="3482" spans="1:13" x14ac:dyDescent="0.45">
      <c r="A3482" t="s">
        <v>6502</v>
      </c>
      <c r="B3482">
        <v>3</v>
      </c>
      <c r="C3482" t="s">
        <v>1774</v>
      </c>
      <c r="G3482" s="3">
        <v>1559.0013929758161</v>
      </c>
      <c r="H3482" t="s">
        <v>1755</v>
      </c>
      <c r="I3482" t="s">
        <v>6502</v>
      </c>
      <c r="M3482" t="s">
        <v>1757</v>
      </c>
    </row>
    <row r="3483" spans="1:13" x14ac:dyDescent="0.45">
      <c r="A3483" t="s">
        <v>6503</v>
      </c>
      <c r="B3483">
        <v>2</v>
      </c>
      <c r="C3483" t="s">
        <v>1774</v>
      </c>
      <c r="G3483" s="3">
        <v>3267.043204313075</v>
      </c>
      <c r="H3483" t="s">
        <v>1755</v>
      </c>
      <c r="I3483" t="s">
        <v>6503</v>
      </c>
      <c r="M3483" t="s">
        <v>1757</v>
      </c>
    </row>
    <row r="3484" spans="1:13" x14ac:dyDescent="0.45">
      <c r="A3484" t="s">
        <v>6504</v>
      </c>
      <c r="B3484">
        <v>1</v>
      </c>
      <c r="C3484" t="s">
        <v>1774</v>
      </c>
      <c r="G3484" s="3">
        <v>3047.898734125195</v>
      </c>
      <c r="H3484" t="s">
        <v>1755</v>
      </c>
      <c r="I3484" t="s">
        <v>6504</v>
      </c>
      <c r="M3484" t="s">
        <v>1757</v>
      </c>
    </row>
    <row r="3485" spans="1:13" x14ac:dyDescent="0.45">
      <c r="A3485" t="s">
        <v>6505</v>
      </c>
      <c r="B3485">
        <v>1</v>
      </c>
      <c r="C3485" t="s">
        <v>1774</v>
      </c>
      <c r="G3485" s="3">
        <v>1749.251669661769</v>
      </c>
      <c r="H3485" t="s">
        <v>1755</v>
      </c>
      <c r="I3485" t="s">
        <v>6505</v>
      </c>
      <c r="M3485" t="s">
        <v>1757</v>
      </c>
    </row>
    <row r="3486" spans="1:13" x14ac:dyDescent="0.45">
      <c r="A3486" t="s">
        <v>6506</v>
      </c>
      <c r="B3486">
        <v>1</v>
      </c>
      <c r="C3486" t="s">
        <v>1774</v>
      </c>
      <c r="G3486" s="3">
        <v>3262.4770150250401</v>
      </c>
      <c r="H3486" t="s">
        <v>1755</v>
      </c>
      <c r="I3486" t="s">
        <v>6506</v>
      </c>
      <c r="M3486" t="s">
        <v>1757</v>
      </c>
    </row>
    <row r="3487" spans="1:13" x14ac:dyDescent="0.45">
      <c r="A3487" t="s">
        <v>6507</v>
      </c>
      <c r="B3487">
        <v>1</v>
      </c>
      <c r="C3487" t="s">
        <v>1774</v>
      </c>
      <c r="G3487" s="3">
        <v>3434.5571199083938</v>
      </c>
      <c r="H3487" t="s">
        <v>1755</v>
      </c>
      <c r="I3487" t="s">
        <v>6507</v>
      </c>
      <c r="M3487" t="s">
        <v>1757</v>
      </c>
    </row>
    <row r="3488" spans="1:13" x14ac:dyDescent="0.45">
      <c r="A3488" t="s">
        <v>6508</v>
      </c>
      <c r="B3488">
        <v>1</v>
      </c>
      <c r="C3488" t="s">
        <v>1774</v>
      </c>
      <c r="G3488" s="3">
        <v>1993.190547683676</v>
      </c>
      <c r="H3488" t="s">
        <v>1755</v>
      </c>
      <c r="I3488" t="s">
        <v>6508</v>
      </c>
      <c r="M3488" t="s">
        <v>1757</v>
      </c>
    </row>
    <row r="3489" spans="1:13" x14ac:dyDescent="0.45">
      <c r="A3489" t="s">
        <v>6509</v>
      </c>
      <c r="B3489">
        <v>1</v>
      </c>
      <c r="C3489" t="s">
        <v>1774</v>
      </c>
      <c r="G3489" s="3">
        <v>3005.0776632947641</v>
      </c>
      <c r="H3489" t="s">
        <v>1755</v>
      </c>
      <c r="I3489" t="s">
        <v>6509</v>
      </c>
      <c r="M3489" t="s">
        <v>1757</v>
      </c>
    </row>
    <row r="3490" spans="1:13" x14ac:dyDescent="0.45">
      <c r="A3490" t="s">
        <v>6510</v>
      </c>
      <c r="B3490">
        <v>1</v>
      </c>
      <c r="C3490" t="s">
        <v>1774</v>
      </c>
      <c r="G3490" s="3">
        <v>2712.5936700134971</v>
      </c>
      <c r="H3490" t="s">
        <v>1755</v>
      </c>
      <c r="I3490" t="s">
        <v>6510</v>
      </c>
      <c r="M3490" t="s">
        <v>1757</v>
      </c>
    </row>
    <row r="3491" spans="1:13" x14ac:dyDescent="0.45">
      <c r="A3491" t="s">
        <v>6511</v>
      </c>
      <c r="B3491">
        <v>1</v>
      </c>
      <c r="C3491" t="s">
        <v>1774</v>
      </c>
      <c r="G3491" s="3">
        <v>1659.513003896785</v>
      </c>
      <c r="H3491" t="s">
        <v>1755</v>
      </c>
      <c r="I3491" t="s">
        <v>6511</v>
      </c>
      <c r="M3491" t="s">
        <v>1757</v>
      </c>
    </row>
    <row r="3492" spans="1:13" x14ac:dyDescent="0.45">
      <c r="A3492" t="s">
        <v>6512</v>
      </c>
      <c r="B3492">
        <v>1</v>
      </c>
      <c r="C3492" t="s">
        <v>1774</v>
      </c>
      <c r="G3492" s="3">
        <v>4276.6602715352537</v>
      </c>
      <c r="H3492" t="s">
        <v>1755</v>
      </c>
      <c r="I3492" t="s">
        <v>6512</v>
      </c>
      <c r="M3492" t="s">
        <v>1757</v>
      </c>
    </row>
    <row r="3493" spans="1:13" x14ac:dyDescent="0.45">
      <c r="A3493" t="s">
        <v>6513</v>
      </c>
      <c r="B3493">
        <v>2</v>
      </c>
      <c r="C3493" t="s">
        <v>1774</v>
      </c>
      <c r="G3493" s="3">
        <v>312.82147421379432</v>
      </c>
      <c r="H3493" t="s">
        <v>1755</v>
      </c>
      <c r="I3493" t="s">
        <v>6513</v>
      </c>
      <c r="M3493" t="s">
        <v>1757</v>
      </c>
    </row>
    <row r="3494" spans="1:13" x14ac:dyDescent="0.45">
      <c r="A3494" t="s">
        <v>6514</v>
      </c>
      <c r="B3494">
        <v>1</v>
      </c>
      <c r="C3494" t="s">
        <v>1774</v>
      </c>
      <c r="G3494" s="3">
        <v>2767.097662293741</v>
      </c>
      <c r="H3494" t="s">
        <v>1755</v>
      </c>
      <c r="I3494" t="s">
        <v>6514</v>
      </c>
      <c r="M3494" t="s">
        <v>1757</v>
      </c>
    </row>
    <row r="3495" spans="1:13" x14ac:dyDescent="0.45">
      <c r="A3495" t="s">
        <v>6515</v>
      </c>
      <c r="B3495">
        <v>1</v>
      </c>
      <c r="C3495" t="s">
        <v>1774</v>
      </c>
      <c r="H3495" t="s">
        <v>1755</v>
      </c>
      <c r="I3495" t="s">
        <v>6515</v>
      </c>
      <c r="M3495" t="s">
        <v>1757</v>
      </c>
    </row>
    <row r="3496" spans="1:13" x14ac:dyDescent="0.45">
      <c r="A3496" t="s">
        <v>6516</v>
      </c>
      <c r="B3496">
        <v>1</v>
      </c>
      <c r="C3496" t="s">
        <v>1774</v>
      </c>
      <c r="G3496" s="3">
        <v>1518.6232334144829</v>
      </c>
      <c r="H3496" t="s">
        <v>1755</v>
      </c>
      <c r="I3496" t="s">
        <v>6516</v>
      </c>
      <c r="M3496" t="s">
        <v>1757</v>
      </c>
    </row>
    <row r="3497" spans="1:13" x14ac:dyDescent="0.45">
      <c r="A3497" t="s">
        <v>6517</v>
      </c>
      <c r="B3497">
        <v>1</v>
      </c>
      <c r="C3497" t="s">
        <v>1774</v>
      </c>
      <c r="G3497" s="3">
        <v>3317.6626741347131</v>
      </c>
      <c r="H3497" t="s">
        <v>1755</v>
      </c>
      <c r="I3497" t="s">
        <v>6517</v>
      </c>
      <c r="M3497" t="s">
        <v>1757</v>
      </c>
    </row>
    <row r="3498" spans="1:13" x14ac:dyDescent="0.45">
      <c r="A3498" t="s">
        <v>6518</v>
      </c>
      <c r="B3498">
        <v>1</v>
      </c>
      <c r="C3498" t="s">
        <v>1774</v>
      </c>
      <c r="G3498" s="3">
        <v>1985.4378105853491</v>
      </c>
      <c r="H3498" t="s">
        <v>1755</v>
      </c>
      <c r="I3498" t="s">
        <v>6518</v>
      </c>
      <c r="M3498" t="s">
        <v>1757</v>
      </c>
    </row>
    <row r="3499" spans="1:13" x14ac:dyDescent="0.45">
      <c r="A3499" t="s">
        <v>6519</v>
      </c>
      <c r="B3499">
        <v>1</v>
      </c>
      <c r="C3499" t="s">
        <v>1774</v>
      </c>
      <c r="G3499" s="3">
        <v>1538.747081919606</v>
      </c>
      <c r="H3499" t="s">
        <v>1755</v>
      </c>
      <c r="I3499" t="s">
        <v>6519</v>
      </c>
      <c r="M3499" t="s">
        <v>1757</v>
      </c>
    </row>
    <row r="3500" spans="1:13" x14ac:dyDescent="0.45">
      <c r="A3500" t="s">
        <v>6520</v>
      </c>
      <c r="B3500">
        <v>1</v>
      </c>
      <c r="C3500" t="s">
        <v>1774</v>
      </c>
      <c r="G3500" s="3">
        <v>2685.568352555887</v>
      </c>
      <c r="H3500" t="s">
        <v>1755</v>
      </c>
      <c r="I3500" t="s">
        <v>6520</v>
      </c>
      <c r="M3500" t="s">
        <v>1757</v>
      </c>
    </row>
    <row r="3501" spans="1:13" x14ac:dyDescent="0.45">
      <c r="A3501" t="s">
        <v>6521</v>
      </c>
      <c r="B3501">
        <v>2</v>
      </c>
      <c r="C3501" t="s">
        <v>1774</v>
      </c>
      <c r="G3501" s="3">
        <v>5125.4170132675335</v>
      </c>
      <c r="H3501" t="s">
        <v>1755</v>
      </c>
      <c r="I3501" t="s">
        <v>6521</v>
      </c>
      <c r="M3501" t="s">
        <v>1757</v>
      </c>
    </row>
    <row r="3502" spans="1:13" x14ac:dyDescent="0.45">
      <c r="A3502" t="s">
        <v>6522</v>
      </c>
      <c r="B3502">
        <v>1</v>
      </c>
      <c r="C3502" t="s">
        <v>1774</v>
      </c>
      <c r="G3502" s="3">
        <v>3855.3314628007638</v>
      </c>
      <c r="H3502" t="s">
        <v>1755</v>
      </c>
      <c r="I3502" t="s">
        <v>6522</v>
      </c>
      <c r="M3502" t="s">
        <v>1757</v>
      </c>
    </row>
    <row r="3503" spans="1:13" x14ac:dyDescent="0.45">
      <c r="A3503" t="s">
        <v>6523</v>
      </c>
      <c r="B3503">
        <v>1</v>
      </c>
      <c r="C3503" t="s">
        <v>1774</v>
      </c>
      <c r="G3503" s="3">
        <v>6828.4751551532818</v>
      </c>
      <c r="H3503" t="s">
        <v>1755</v>
      </c>
      <c r="I3503" t="s">
        <v>6523</v>
      </c>
      <c r="M3503" t="s">
        <v>1757</v>
      </c>
    </row>
    <row r="3504" spans="1:13" x14ac:dyDescent="0.45">
      <c r="A3504" t="s">
        <v>6524</v>
      </c>
      <c r="B3504">
        <v>2</v>
      </c>
      <c r="C3504" t="s">
        <v>1774</v>
      </c>
      <c r="G3504" s="3">
        <v>625.90713509353907</v>
      </c>
      <c r="H3504" t="s">
        <v>1755</v>
      </c>
      <c r="I3504" t="s">
        <v>6524</v>
      </c>
      <c r="M3504" t="s">
        <v>1757</v>
      </c>
    </row>
    <row r="3505" spans="1:13" x14ac:dyDescent="0.45">
      <c r="A3505" t="s">
        <v>6525</v>
      </c>
      <c r="B3505">
        <v>1</v>
      </c>
      <c r="C3505" t="s">
        <v>1774</v>
      </c>
      <c r="G3505" s="3">
        <v>4112.1143789771568</v>
      </c>
      <c r="H3505" t="s">
        <v>1755</v>
      </c>
      <c r="I3505" t="s">
        <v>6525</v>
      </c>
      <c r="M3505" t="s">
        <v>1757</v>
      </c>
    </row>
    <row r="3506" spans="1:13" x14ac:dyDescent="0.45">
      <c r="A3506" t="s">
        <v>6526</v>
      </c>
      <c r="B3506">
        <v>1</v>
      </c>
      <c r="C3506" t="s">
        <v>1774</v>
      </c>
      <c r="G3506" s="3">
        <v>3549.7555525179469</v>
      </c>
      <c r="H3506" t="s">
        <v>1755</v>
      </c>
      <c r="I3506" t="s">
        <v>6526</v>
      </c>
      <c r="M3506" t="s">
        <v>1757</v>
      </c>
    </row>
    <row r="3507" spans="1:13" x14ac:dyDescent="0.45">
      <c r="A3507" t="s">
        <v>6527</v>
      </c>
      <c r="B3507">
        <v>1</v>
      </c>
      <c r="C3507" t="s">
        <v>1774</v>
      </c>
      <c r="G3507" s="3">
        <v>705.65236944528294</v>
      </c>
      <c r="H3507" t="s">
        <v>1755</v>
      </c>
      <c r="I3507" t="s">
        <v>6527</v>
      </c>
      <c r="M3507" t="s">
        <v>1757</v>
      </c>
    </row>
    <row r="3508" spans="1:13" x14ac:dyDescent="0.45">
      <c r="A3508" t="s">
        <v>6528</v>
      </c>
      <c r="B3508">
        <v>1</v>
      </c>
      <c r="C3508" t="s">
        <v>1774</v>
      </c>
      <c r="G3508" s="3">
        <v>7503.325316286996</v>
      </c>
      <c r="H3508" t="s">
        <v>1755</v>
      </c>
      <c r="I3508" t="s">
        <v>6528</v>
      </c>
      <c r="M3508" t="s">
        <v>1757</v>
      </c>
    </row>
    <row r="3509" spans="1:13" x14ac:dyDescent="0.45">
      <c r="A3509" t="s">
        <v>6529</v>
      </c>
      <c r="B3509">
        <v>1</v>
      </c>
      <c r="C3509" t="s">
        <v>1774</v>
      </c>
      <c r="G3509" s="3">
        <v>4401.25200782305</v>
      </c>
      <c r="H3509" t="s">
        <v>1755</v>
      </c>
      <c r="I3509" t="s">
        <v>6529</v>
      </c>
      <c r="M3509" t="s">
        <v>1757</v>
      </c>
    </row>
    <row r="3510" spans="1:13" x14ac:dyDescent="0.45">
      <c r="A3510" t="s">
        <v>6530</v>
      </c>
      <c r="B3510">
        <v>1</v>
      </c>
      <c r="C3510" t="s">
        <v>1774</v>
      </c>
      <c r="G3510" s="3">
        <v>5385.6571870477246</v>
      </c>
      <c r="H3510" t="s">
        <v>1755</v>
      </c>
      <c r="I3510" t="s">
        <v>6530</v>
      </c>
      <c r="M3510" t="s">
        <v>1757</v>
      </c>
    </row>
    <row r="3511" spans="1:13" x14ac:dyDescent="0.45">
      <c r="A3511" t="s">
        <v>6531</v>
      </c>
      <c r="B3511">
        <v>1</v>
      </c>
      <c r="C3511" t="s">
        <v>1774</v>
      </c>
      <c r="G3511" s="3">
        <v>3709.3438681347502</v>
      </c>
      <c r="H3511" t="s">
        <v>1755</v>
      </c>
      <c r="I3511" t="s">
        <v>6531</v>
      </c>
      <c r="M3511" t="s">
        <v>1757</v>
      </c>
    </row>
    <row r="3512" spans="1:13" x14ac:dyDescent="0.45">
      <c r="A3512" t="s">
        <v>6532</v>
      </c>
      <c r="B3512">
        <v>1</v>
      </c>
      <c r="C3512" t="s">
        <v>1774</v>
      </c>
      <c r="G3512" s="3">
        <v>5645.0493542458498</v>
      </c>
      <c r="H3512" t="s">
        <v>1755</v>
      </c>
      <c r="I3512" t="s">
        <v>6532</v>
      </c>
      <c r="M3512" t="s">
        <v>1757</v>
      </c>
    </row>
    <row r="3513" spans="1:13" x14ac:dyDescent="0.45">
      <c r="A3513" t="s">
        <v>6533</v>
      </c>
      <c r="B3513">
        <v>1</v>
      </c>
      <c r="C3513" t="s">
        <v>1774</v>
      </c>
      <c r="G3513" s="3">
        <v>2831.0928051655442</v>
      </c>
      <c r="H3513" t="s">
        <v>1755</v>
      </c>
      <c r="I3513" t="s">
        <v>6533</v>
      </c>
      <c r="M3513" t="s">
        <v>1757</v>
      </c>
    </row>
    <row r="3514" spans="1:13" x14ac:dyDescent="0.45">
      <c r="A3514" t="s">
        <v>6534</v>
      </c>
      <c r="B3514">
        <v>2</v>
      </c>
      <c r="C3514" t="s">
        <v>1774</v>
      </c>
      <c r="G3514" s="3">
        <v>1585.4624598999751</v>
      </c>
      <c r="H3514" t="s">
        <v>1755</v>
      </c>
      <c r="I3514" t="s">
        <v>6534</v>
      </c>
      <c r="M3514" t="s">
        <v>1757</v>
      </c>
    </row>
    <row r="3515" spans="1:13" x14ac:dyDescent="0.45">
      <c r="A3515" t="s">
        <v>6535</v>
      </c>
      <c r="B3515">
        <v>1</v>
      </c>
      <c r="C3515" t="s">
        <v>1774</v>
      </c>
      <c r="G3515" s="3">
        <v>1453.5354666773301</v>
      </c>
      <c r="H3515" t="s">
        <v>1755</v>
      </c>
      <c r="I3515" t="s">
        <v>6535</v>
      </c>
      <c r="M3515" t="s">
        <v>1757</v>
      </c>
    </row>
    <row r="3516" spans="1:13" x14ac:dyDescent="0.45">
      <c r="A3516" t="s">
        <v>6536</v>
      </c>
      <c r="B3516">
        <v>1</v>
      </c>
      <c r="C3516" t="s">
        <v>1774</v>
      </c>
      <c r="G3516" s="3">
        <v>7050.1962607251226</v>
      </c>
      <c r="H3516" t="s">
        <v>1755</v>
      </c>
      <c r="I3516" t="s">
        <v>6536</v>
      </c>
      <c r="M3516" t="s">
        <v>1757</v>
      </c>
    </row>
    <row r="3517" spans="1:13" x14ac:dyDescent="0.45">
      <c r="A3517" t="s">
        <v>6537</v>
      </c>
      <c r="B3517">
        <v>1</v>
      </c>
      <c r="C3517" t="s">
        <v>1774</v>
      </c>
      <c r="G3517" s="3">
        <v>1247.5774988405381</v>
      </c>
      <c r="H3517" t="s">
        <v>1755</v>
      </c>
      <c r="I3517" t="s">
        <v>6537</v>
      </c>
      <c r="M3517" t="s">
        <v>1757</v>
      </c>
    </row>
    <row r="3518" spans="1:13" x14ac:dyDescent="0.45">
      <c r="A3518" t="s">
        <v>6538</v>
      </c>
      <c r="B3518">
        <v>1</v>
      </c>
      <c r="C3518" t="s">
        <v>1774</v>
      </c>
      <c r="G3518" s="3">
        <v>4253.8945563706247</v>
      </c>
      <c r="H3518" t="s">
        <v>1755</v>
      </c>
      <c r="I3518" t="s">
        <v>6538</v>
      </c>
      <c r="M3518" t="s">
        <v>1757</v>
      </c>
    </row>
    <row r="3519" spans="1:13" x14ac:dyDescent="0.45">
      <c r="A3519" t="s">
        <v>6539</v>
      </c>
      <c r="B3519">
        <v>2</v>
      </c>
      <c r="C3519" t="s">
        <v>1774</v>
      </c>
      <c r="G3519" s="3">
        <v>844.39603096220821</v>
      </c>
      <c r="H3519" t="s">
        <v>1755</v>
      </c>
      <c r="I3519" t="s">
        <v>6539</v>
      </c>
      <c r="M3519" t="s">
        <v>1757</v>
      </c>
    </row>
    <row r="3520" spans="1:13" x14ac:dyDescent="0.45">
      <c r="A3520" t="s">
        <v>6540</v>
      </c>
      <c r="B3520">
        <v>1</v>
      </c>
      <c r="C3520" t="s">
        <v>1774</v>
      </c>
      <c r="G3520" s="3">
        <v>703.89112500561248</v>
      </c>
      <c r="H3520" t="s">
        <v>1755</v>
      </c>
      <c r="I3520" t="s">
        <v>6540</v>
      </c>
      <c r="M3520" t="s">
        <v>1757</v>
      </c>
    </row>
    <row r="3521" spans="1:13" x14ac:dyDescent="0.45">
      <c r="A3521" t="s">
        <v>6541</v>
      </c>
      <c r="B3521">
        <v>1</v>
      </c>
      <c r="C3521" t="s">
        <v>1774</v>
      </c>
      <c r="G3521" s="3">
        <v>1795.1092563687439</v>
      </c>
      <c r="H3521" t="s">
        <v>1755</v>
      </c>
      <c r="I3521" t="s">
        <v>6541</v>
      </c>
      <c r="M3521" t="s">
        <v>1757</v>
      </c>
    </row>
    <row r="3522" spans="1:13" x14ac:dyDescent="0.45">
      <c r="A3522" t="s">
        <v>6542</v>
      </c>
      <c r="B3522">
        <v>1</v>
      </c>
      <c r="C3522" t="s">
        <v>1774</v>
      </c>
      <c r="G3522" s="3">
        <v>1777.353303165844</v>
      </c>
      <c r="H3522" t="s">
        <v>1755</v>
      </c>
      <c r="I3522" t="s">
        <v>6542</v>
      </c>
      <c r="M3522" t="s">
        <v>1757</v>
      </c>
    </row>
    <row r="3523" spans="1:13" x14ac:dyDescent="0.45">
      <c r="A3523" t="s">
        <v>6543</v>
      </c>
      <c r="B3523">
        <v>1</v>
      </c>
      <c r="C3523" t="s">
        <v>1774</v>
      </c>
      <c r="G3523" s="3">
        <v>2689.7725082646562</v>
      </c>
      <c r="H3523" t="s">
        <v>1755</v>
      </c>
      <c r="I3523" t="s">
        <v>6543</v>
      </c>
      <c r="M3523" t="s">
        <v>1757</v>
      </c>
    </row>
    <row r="3524" spans="1:13" x14ac:dyDescent="0.45">
      <c r="A3524" t="s">
        <v>6544</v>
      </c>
      <c r="B3524">
        <v>1</v>
      </c>
      <c r="C3524" t="s">
        <v>1774</v>
      </c>
      <c r="G3524" s="3">
        <v>1466.963324747928</v>
      </c>
      <c r="H3524" t="s">
        <v>1755</v>
      </c>
      <c r="I3524" t="s">
        <v>6544</v>
      </c>
      <c r="M3524" t="s">
        <v>1757</v>
      </c>
    </row>
    <row r="3525" spans="1:13" x14ac:dyDescent="0.45">
      <c r="A3525" t="s">
        <v>6545</v>
      </c>
      <c r="B3525">
        <v>1</v>
      </c>
      <c r="C3525" t="s">
        <v>1774</v>
      </c>
      <c r="G3525" s="3">
        <v>2634.459648167674</v>
      </c>
      <c r="H3525" t="s">
        <v>1755</v>
      </c>
      <c r="I3525" t="s">
        <v>6545</v>
      </c>
      <c r="M3525" t="s">
        <v>1757</v>
      </c>
    </row>
    <row r="3526" spans="1:13" x14ac:dyDescent="0.45">
      <c r="A3526" t="s">
        <v>6546</v>
      </c>
      <c r="B3526">
        <v>1</v>
      </c>
      <c r="C3526" t="s">
        <v>1774</v>
      </c>
      <c r="G3526" s="3">
        <v>400.78421850211129</v>
      </c>
      <c r="H3526" t="s">
        <v>1755</v>
      </c>
      <c r="I3526" t="s">
        <v>6546</v>
      </c>
      <c r="M3526" t="s">
        <v>1757</v>
      </c>
    </row>
    <row r="3527" spans="1:13" x14ac:dyDescent="0.45">
      <c r="A3527" t="s">
        <v>6547</v>
      </c>
      <c r="B3527">
        <v>1</v>
      </c>
      <c r="C3527" t="s">
        <v>1774</v>
      </c>
      <c r="G3527" s="3">
        <v>929.27170513543638</v>
      </c>
      <c r="H3527" t="s">
        <v>1755</v>
      </c>
      <c r="I3527" t="s">
        <v>6547</v>
      </c>
      <c r="M3527" t="s">
        <v>1757</v>
      </c>
    </row>
    <row r="3528" spans="1:13" x14ac:dyDescent="0.45">
      <c r="A3528" t="s">
        <v>6548</v>
      </c>
      <c r="B3528">
        <v>1</v>
      </c>
      <c r="C3528" t="s">
        <v>1774</v>
      </c>
      <c r="G3528" s="3">
        <v>1873.1617391201371</v>
      </c>
      <c r="H3528" t="s">
        <v>1755</v>
      </c>
      <c r="I3528" t="s">
        <v>6548</v>
      </c>
      <c r="M3528" t="s">
        <v>1757</v>
      </c>
    </row>
    <row r="3529" spans="1:13" x14ac:dyDescent="0.45">
      <c r="A3529" t="s">
        <v>6549</v>
      </c>
      <c r="B3529">
        <v>1</v>
      </c>
      <c r="C3529" t="s">
        <v>1774</v>
      </c>
      <c r="G3529" s="3">
        <v>1342.0878324115181</v>
      </c>
      <c r="H3529" t="s">
        <v>1755</v>
      </c>
      <c r="I3529" t="s">
        <v>6549</v>
      </c>
      <c r="M3529" t="s">
        <v>1757</v>
      </c>
    </row>
    <row r="3530" spans="1:13" x14ac:dyDescent="0.45">
      <c r="A3530" t="s">
        <v>6550</v>
      </c>
      <c r="B3530">
        <v>2</v>
      </c>
      <c r="C3530" t="s">
        <v>1774</v>
      </c>
      <c r="G3530" s="3">
        <v>2516.276884702012</v>
      </c>
      <c r="H3530" t="s">
        <v>1755</v>
      </c>
      <c r="I3530" t="s">
        <v>6550</v>
      </c>
      <c r="M3530" t="s">
        <v>1757</v>
      </c>
    </row>
    <row r="3531" spans="1:13" x14ac:dyDescent="0.45">
      <c r="A3531" t="s">
        <v>6551</v>
      </c>
      <c r="B3531">
        <v>1</v>
      </c>
      <c r="C3531" t="s">
        <v>1774</v>
      </c>
      <c r="G3531" s="3">
        <v>1482.791693758521</v>
      </c>
      <c r="H3531" t="s">
        <v>1755</v>
      </c>
      <c r="I3531" t="s">
        <v>6551</v>
      </c>
      <c r="M3531" t="s">
        <v>1757</v>
      </c>
    </row>
    <row r="3532" spans="1:13" x14ac:dyDescent="0.45">
      <c r="A3532" t="s">
        <v>6552</v>
      </c>
      <c r="B3532">
        <v>1</v>
      </c>
      <c r="C3532" t="s">
        <v>1774</v>
      </c>
      <c r="G3532" s="3">
        <v>1900.930693118941</v>
      </c>
      <c r="H3532" t="s">
        <v>1755</v>
      </c>
      <c r="I3532" t="s">
        <v>6552</v>
      </c>
      <c r="M3532" t="s">
        <v>1757</v>
      </c>
    </row>
    <row r="3533" spans="1:13" x14ac:dyDescent="0.45">
      <c r="A3533" t="s">
        <v>6553</v>
      </c>
      <c r="B3533">
        <v>1</v>
      </c>
      <c r="C3533" t="s">
        <v>1774</v>
      </c>
      <c r="G3533" s="3">
        <v>3352.2352501726882</v>
      </c>
      <c r="H3533" t="s">
        <v>1755</v>
      </c>
      <c r="I3533" t="s">
        <v>6553</v>
      </c>
      <c r="M3533" t="s">
        <v>1757</v>
      </c>
    </row>
    <row r="3534" spans="1:13" x14ac:dyDescent="0.45">
      <c r="A3534" t="s">
        <v>6554</v>
      </c>
      <c r="B3534">
        <v>2</v>
      </c>
      <c r="C3534" t="s">
        <v>1774</v>
      </c>
      <c r="G3534" s="3">
        <v>1854.3490392534361</v>
      </c>
      <c r="H3534" t="s">
        <v>1755</v>
      </c>
      <c r="I3534" t="s">
        <v>6554</v>
      </c>
      <c r="M3534" t="s">
        <v>1757</v>
      </c>
    </row>
    <row r="3535" spans="1:13" x14ac:dyDescent="0.45">
      <c r="A3535" t="s">
        <v>6555</v>
      </c>
      <c r="B3535">
        <v>3</v>
      </c>
      <c r="C3535" t="s">
        <v>1774</v>
      </c>
      <c r="G3535" s="3">
        <v>946.91024204235794</v>
      </c>
      <c r="H3535" t="s">
        <v>1755</v>
      </c>
      <c r="I3535" t="s">
        <v>6555</v>
      </c>
      <c r="M3535" t="s">
        <v>1757</v>
      </c>
    </row>
    <row r="3536" spans="1:13" x14ac:dyDescent="0.45">
      <c r="A3536" t="s">
        <v>6556</v>
      </c>
      <c r="B3536">
        <v>2</v>
      </c>
      <c r="C3536" t="s">
        <v>1774</v>
      </c>
      <c r="G3536" s="3">
        <v>1273.164466672416</v>
      </c>
      <c r="H3536" t="s">
        <v>1755</v>
      </c>
      <c r="I3536" t="s">
        <v>6556</v>
      </c>
      <c r="M3536" t="s">
        <v>1757</v>
      </c>
    </row>
    <row r="3537" spans="1:13" x14ac:dyDescent="0.45">
      <c r="A3537" t="s">
        <v>6557</v>
      </c>
      <c r="B3537">
        <v>2</v>
      </c>
      <c r="C3537" t="s">
        <v>1774</v>
      </c>
      <c r="G3537" s="3">
        <v>1307.5837492128639</v>
      </c>
      <c r="H3537" t="s">
        <v>1755</v>
      </c>
      <c r="I3537" t="s">
        <v>6557</v>
      </c>
      <c r="M3537" t="s">
        <v>1757</v>
      </c>
    </row>
    <row r="3538" spans="1:13" x14ac:dyDescent="0.45">
      <c r="A3538" t="s">
        <v>6558</v>
      </c>
      <c r="B3538">
        <v>1</v>
      </c>
      <c r="C3538" t="s">
        <v>1774</v>
      </c>
      <c r="G3538" s="3">
        <v>1081.355162500977</v>
      </c>
      <c r="H3538" t="s">
        <v>1755</v>
      </c>
      <c r="I3538" t="s">
        <v>6558</v>
      </c>
      <c r="M3538" t="s">
        <v>1757</v>
      </c>
    </row>
    <row r="3539" spans="1:13" x14ac:dyDescent="0.45">
      <c r="A3539" t="s">
        <v>6559</v>
      </c>
      <c r="B3539">
        <v>1</v>
      </c>
      <c r="C3539" t="s">
        <v>1774</v>
      </c>
      <c r="G3539" s="3">
        <v>1104.111092974274</v>
      </c>
      <c r="H3539" t="s">
        <v>1755</v>
      </c>
      <c r="I3539" t="s">
        <v>6559</v>
      </c>
      <c r="M3539" t="s">
        <v>1757</v>
      </c>
    </row>
    <row r="3540" spans="1:13" x14ac:dyDescent="0.45">
      <c r="A3540" t="s">
        <v>6560</v>
      </c>
      <c r="B3540">
        <v>1</v>
      </c>
      <c r="C3540" t="s">
        <v>1774</v>
      </c>
      <c r="G3540" s="3">
        <v>3907.4512519599002</v>
      </c>
      <c r="H3540" t="s">
        <v>1755</v>
      </c>
      <c r="I3540" t="s">
        <v>6560</v>
      </c>
      <c r="M3540" t="s">
        <v>1757</v>
      </c>
    </row>
    <row r="3541" spans="1:13" x14ac:dyDescent="0.45">
      <c r="A3541" t="s">
        <v>6561</v>
      </c>
      <c r="B3541">
        <v>1</v>
      </c>
      <c r="C3541" t="s">
        <v>1774</v>
      </c>
      <c r="G3541" s="3">
        <v>1071.4889320750451</v>
      </c>
      <c r="H3541" t="s">
        <v>1755</v>
      </c>
      <c r="I3541" t="s">
        <v>6561</v>
      </c>
      <c r="M3541" t="s">
        <v>1757</v>
      </c>
    </row>
    <row r="3542" spans="1:13" x14ac:dyDescent="0.45">
      <c r="A3542" t="s">
        <v>6562</v>
      </c>
      <c r="B3542">
        <v>2</v>
      </c>
      <c r="C3542" t="s">
        <v>1774</v>
      </c>
      <c r="G3542" s="3">
        <v>438.06389247513522</v>
      </c>
      <c r="H3542" t="s">
        <v>1755</v>
      </c>
      <c r="I3542" t="s">
        <v>6562</v>
      </c>
      <c r="M3542" t="s">
        <v>1757</v>
      </c>
    </row>
    <row r="3543" spans="1:13" x14ac:dyDescent="0.45">
      <c r="A3543" t="s">
        <v>6563</v>
      </c>
      <c r="B3543">
        <v>2</v>
      </c>
      <c r="C3543" t="s">
        <v>1774</v>
      </c>
      <c r="G3543" s="3">
        <v>1389.7131866857169</v>
      </c>
      <c r="H3543" t="s">
        <v>1755</v>
      </c>
      <c r="I3543" t="s">
        <v>6563</v>
      </c>
      <c r="M3543" t="s">
        <v>1757</v>
      </c>
    </row>
    <row r="3544" spans="1:13" x14ac:dyDescent="0.45">
      <c r="A3544" t="s">
        <v>6564</v>
      </c>
      <c r="B3544">
        <v>1</v>
      </c>
      <c r="C3544" t="s">
        <v>1774</v>
      </c>
      <c r="G3544" s="3">
        <v>3302.0397836420811</v>
      </c>
      <c r="H3544" t="s">
        <v>1755</v>
      </c>
      <c r="I3544" t="s">
        <v>6564</v>
      </c>
      <c r="M3544" t="s">
        <v>1757</v>
      </c>
    </row>
    <row r="3545" spans="1:13" x14ac:dyDescent="0.45">
      <c r="A3545" t="s">
        <v>6565</v>
      </c>
      <c r="B3545">
        <v>1</v>
      </c>
      <c r="C3545" t="s">
        <v>1774</v>
      </c>
      <c r="G3545" s="3">
        <v>1855.0176598277551</v>
      </c>
      <c r="H3545" t="s">
        <v>1755</v>
      </c>
      <c r="I3545" t="s">
        <v>6565</v>
      </c>
      <c r="M3545" t="s">
        <v>1757</v>
      </c>
    </row>
    <row r="3546" spans="1:13" x14ac:dyDescent="0.45">
      <c r="A3546" t="s">
        <v>6566</v>
      </c>
      <c r="B3546">
        <v>1</v>
      </c>
      <c r="C3546" t="s">
        <v>1774</v>
      </c>
      <c r="G3546" s="3">
        <v>2226.089032319871</v>
      </c>
      <c r="H3546" t="s">
        <v>1755</v>
      </c>
      <c r="I3546" t="s">
        <v>6566</v>
      </c>
      <c r="M3546" t="s">
        <v>1757</v>
      </c>
    </row>
    <row r="3547" spans="1:13" x14ac:dyDescent="0.45">
      <c r="A3547" t="s">
        <v>6567</v>
      </c>
      <c r="B3547">
        <v>1</v>
      </c>
      <c r="C3547" t="s">
        <v>1774</v>
      </c>
      <c r="G3547" s="3">
        <v>1880.3013022283569</v>
      </c>
      <c r="H3547" t="s">
        <v>1755</v>
      </c>
      <c r="I3547" t="s">
        <v>6567</v>
      </c>
      <c r="M3547" t="s">
        <v>1757</v>
      </c>
    </row>
    <row r="3548" spans="1:13" x14ac:dyDescent="0.45">
      <c r="A3548" t="s">
        <v>6568</v>
      </c>
      <c r="B3548">
        <v>1</v>
      </c>
      <c r="C3548" t="s">
        <v>1774</v>
      </c>
      <c r="G3548" s="3">
        <v>1142.5747145984089</v>
      </c>
      <c r="H3548" t="s">
        <v>1755</v>
      </c>
      <c r="I3548" t="s">
        <v>6568</v>
      </c>
      <c r="M3548" t="s">
        <v>1757</v>
      </c>
    </row>
    <row r="3549" spans="1:13" x14ac:dyDescent="0.45">
      <c r="A3549" t="s">
        <v>6569</v>
      </c>
      <c r="B3549">
        <v>1</v>
      </c>
      <c r="C3549" t="s">
        <v>1774</v>
      </c>
      <c r="G3549" s="3">
        <v>3135.8892017056178</v>
      </c>
      <c r="H3549" t="s">
        <v>1755</v>
      </c>
      <c r="I3549" t="s">
        <v>6569</v>
      </c>
      <c r="M3549" t="s">
        <v>1757</v>
      </c>
    </row>
    <row r="3550" spans="1:13" x14ac:dyDescent="0.45">
      <c r="A3550" t="s">
        <v>6570</v>
      </c>
      <c r="B3550">
        <v>1</v>
      </c>
      <c r="C3550" t="s">
        <v>1774</v>
      </c>
      <c r="G3550" s="3">
        <v>2863.920444582734</v>
      </c>
      <c r="H3550" t="s">
        <v>1755</v>
      </c>
      <c r="I3550" t="s">
        <v>6570</v>
      </c>
      <c r="M3550" t="s">
        <v>1757</v>
      </c>
    </row>
    <row r="3551" spans="1:13" x14ac:dyDescent="0.45">
      <c r="A3551" t="s">
        <v>6571</v>
      </c>
      <c r="B3551">
        <v>1</v>
      </c>
      <c r="C3551" t="s">
        <v>1774</v>
      </c>
      <c r="G3551" s="3">
        <v>2614.0748745603769</v>
      </c>
      <c r="H3551" t="s">
        <v>1755</v>
      </c>
      <c r="I3551" t="s">
        <v>6571</v>
      </c>
      <c r="M3551" t="s">
        <v>1757</v>
      </c>
    </row>
    <row r="3552" spans="1:13" x14ac:dyDescent="0.45">
      <c r="A3552" t="s">
        <v>6572</v>
      </c>
      <c r="B3552">
        <v>1</v>
      </c>
      <c r="C3552" t="s">
        <v>1774</v>
      </c>
      <c r="G3552" s="3">
        <v>2330.1818402681702</v>
      </c>
      <c r="H3552" t="s">
        <v>1755</v>
      </c>
      <c r="I3552" t="s">
        <v>6572</v>
      </c>
      <c r="M3552" t="s">
        <v>1757</v>
      </c>
    </row>
    <row r="3553" spans="1:13" x14ac:dyDescent="0.45">
      <c r="A3553" t="s">
        <v>6573</v>
      </c>
      <c r="B3553">
        <v>1</v>
      </c>
      <c r="C3553" t="s">
        <v>1774</v>
      </c>
      <c r="G3553" s="3">
        <v>1500.9325114871269</v>
      </c>
      <c r="H3553" t="s">
        <v>1755</v>
      </c>
      <c r="I3553" t="s">
        <v>6573</v>
      </c>
      <c r="M3553" t="s">
        <v>1757</v>
      </c>
    </row>
    <row r="3554" spans="1:13" x14ac:dyDescent="0.45">
      <c r="A3554" t="s">
        <v>6574</v>
      </c>
      <c r="B3554">
        <v>1</v>
      </c>
      <c r="C3554" t="s">
        <v>1774</v>
      </c>
      <c r="G3554" s="3">
        <v>2215.7792292202448</v>
      </c>
      <c r="H3554" t="s">
        <v>1755</v>
      </c>
      <c r="I3554" t="s">
        <v>6574</v>
      </c>
      <c r="M3554" t="s">
        <v>1757</v>
      </c>
    </row>
    <row r="3555" spans="1:13" x14ac:dyDescent="0.45">
      <c r="A3555" t="s">
        <v>6575</v>
      </c>
      <c r="B3555">
        <v>1</v>
      </c>
      <c r="C3555" t="s">
        <v>1774</v>
      </c>
      <c r="G3555" s="3">
        <v>1788.524159102642</v>
      </c>
      <c r="H3555" t="s">
        <v>1755</v>
      </c>
      <c r="I3555" t="s">
        <v>6575</v>
      </c>
      <c r="M3555" t="s">
        <v>1757</v>
      </c>
    </row>
    <row r="3556" spans="1:13" x14ac:dyDescent="0.45">
      <c r="A3556" t="s">
        <v>6576</v>
      </c>
      <c r="B3556">
        <v>1</v>
      </c>
      <c r="C3556" t="s">
        <v>1774</v>
      </c>
      <c r="G3556" s="3">
        <v>2981.4802493669572</v>
      </c>
      <c r="H3556" t="s">
        <v>1755</v>
      </c>
      <c r="I3556" t="s">
        <v>6576</v>
      </c>
      <c r="M3556" t="s">
        <v>1757</v>
      </c>
    </row>
    <row r="3557" spans="1:13" x14ac:dyDescent="0.45">
      <c r="A3557" t="s">
        <v>6577</v>
      </c>
      <c r="B3557">
        <v>1</v>
      </c>
      <c r="C3557" t="s">
        <v>1774</v>
      </c>
      <c r="G3557" s="3">
        <v>994.41491845680162</v>
      </c>
      <c r="H3557" t="s">
        <v>1755</v>
      </c>
      <c r="I3557" t="s">
        <v>6577</v>
      </c>
      <c r="M3557" t="s">
        <v>1757</v>
      </c>
    </row>
    <row r="3558" spans="1:13" x14ac:dyDescent="0.45">
      <c r="A3558" t="s">
        <v>6578</v>
      </c>
      <c r="B3558">
        <v>1</v>
      </c>
      <c r="C3558" t="s">
        <v>1774</v>
      </c>
      <c r="G3558" s="3">
        <v>1604.61762396328</v>
      </c>
      <c r="H3558" t="s">
        <v>1755</v>
      </c>
      <c r="I3558" t="s">
        <v>6578</v>
      </c>
      <c r="M3558" t="s">
        <v>1757</v>
      </c>
    </row>
    <row r="3559" spans="1:13" x14ac:dyDescent="0.45">
      <c r="A3559" t="s">
        <v>6579</v>
      </c>
      <c r="B3559">
        <v>1</v>
      </c>
      <c r="C3559" t="s">
        <v>1774</v>
      </c>
      <c r="G3559" s="3">
        <v>679.6087826846009</v>
      </c>
      <c r="H3559" t="s">
        <v>1755</v>
      </c>
      <c r="I3559" t="s">
        <v>6579</v>
      </c>
      <c r="M3559" t="s">
        <v>1757</v>
      </c>
    </row>
    <row r="3560" spans="1:13" x14ac:dyDescent="0.45">
      <c r="A3560" t="s">
        <v>6580</v>
      </c>
      <c r="B3560">
        <v>2</v>
      </c>
      <c r="C3560" t="s">
        <v>1774</v>
      </c>
      <c r="G3560" s="3">
        <v>2616.30578418396</v>
      </c>
      <c r="H3560" t="s">
        <v>1755</v>
      </c>
      <c r="I3560" t="s">
        <v>6580</v>
      </c>
      <c r="M3560" t="s">
        <v>1757</v>
      </c>
    </row>
    <row r="3561" spans="1:13" x14ac:dyDescent="0.45">
      <c r="A3561" t="s">
        <v>6581</v>
      </c>
      <c r="B3561">
        <v>1</v>
      </c>
      <c r="C3561" t="s">
        <v>1774</v>
      </c>
      <c r="G3561" s="3">
        <v>1270.578046597122</v>
      </c>
      <c r="H3561" t="s">
        <v>1755</v>
      </c>
      <c r="I3561" t="s">
        <v>6581</v>
      </c>
      <c r="M3561" t="s">
        <v>1757</v>
      </c>
    </row>
    <row r="3562" spans="1:13" x14ac:dyDescent="0.45">
      <c r="A3562" t="s">
        <v>6582</v>
      </c>
      <c r="B3562">
        <v>1</v>
      </c>
      <c r="C3562" t="s">
        <v>1774</v>
      </c>
      <c r="G3562" s="3">
        <v>846.8291575399752</v>
      </c>
      <c r="H3562" t="s">
        <v>1755</v>
      </c>
      <c r="I3562" t="s">
        <v>6582</v>
      </c>
      <c r="M3562" t="s">
        <v>1757</v>
      </c>
    </row>
    <row r="3563" spans="1:13" x14ac:dyDescent="0.45">
      <c r="A3563" t="s">
        <v>6583</v>
      </c>
      <c r="B3563">
        <v>1</v>
      </c>
      <c r="C3563" t="s">
        <v>1774</v>
      </c>
      <c r="G3563" s="3">
        <v>1058.12630527999</v>
      </c>
      <c r="H3563" t="s">
        <v>1755</v>
      </c>
      <c r="I3563" t="s">
        <v>6583</v>
      </c>
      <c r="M3563" t="s">
        <v>1757</v>
      </c>
    </row>
    <row r="3564" spans="1:13" x14ac:dyDescent="0.45">
      <c r="A3564" t="s">
        <v>6584</v>
      </c>
      <c r="B3564">
        <v>1</v>
      </c>
      <c r="C3564" t="s">
        <v>1774</v>
      </c>
      <c r="G3564" s="3">
        <v>613.68931718426984</v>
      </c>
      <c r="H3564" t="s">
        <v>1755</v>
      </c>
      <c r="I3564" t="s">
        <v>6584</v>
      </c>
      <c r="M3564" t="s">
        <v>1757</v>
      </c>
    </row>
    <row r="3565" spans="1:13" x14ac:dyDescent="0.45">
      <c r="A3565" t="s">
        <v>6585</v>
      </c>
      <c r="B3565">
        <v>1</v>
      </c>
      <c r="C3565" t="s">
        <v>1774</v>
      </c>
      <c r="G3565" s="3">
        <v>1988.3732179848</v>
      </c>
      <c r="H3565" t="s">
        <v>1755</v>
      </c>
      <c r="I3565" t="s">
        <v>6585</v>
      </c>
      <c r="M3565" t="s">
        <v>1757</v>
      </c>
    </row>
    <row r="3566" spans="1:13" x14ac:dyDescent="0.45">
      <c r="A3566" t="s">
        <v>6586</v>
      </c>
      <c r="B3566">
        <v>1</v>
      </c>
      <c r="C3566" t="s">
        <v>1774</v>
      </c>
      <c r="G3566" s="3">
        <v>3967.953260026356</v>
      </c>
      <c r="H3566" t="s">
        <v>1755</v>
      </c>
      <c r="I3566" t="s">
        <v>6586</v>
      </c>
      <c r="M3566" t="s">
        <v>1757</v>
      </c>
    </row>
    <row r="3567" spans="1:13" x14ac:dyDescent="0.45">
      <c r="A3567" t="s">
        <v>6587</v>
      </c>
      <c r="B3567">
        <v>1</v>
      </c>
      <c r="C3567" t="s">
        <v>1774</v>
      </c>
      <c r="G3567" s="3">
        <v>1525.002852162623</v>
      </c>
      <c r="H3567" t="s">
        <v>1755</v>
      </c>
      <c r="I3567" t="s">
        <v>6587</v>
      </c>
      <c r="M3567" t="s">
        <v>1757</v>
      </c>
    </row>
    <row r="3568" spans="1:13" x14ac:dyDescent="0.45">
      <c r="A3568" t="s">
        <v>6588</v>
      </c>
      <c r="B3568">
        <v>1</v>
      </c>
      <c r="C3568" t="s">
        <v>1774</v>
      </c>
      <c r="G3568" s="3">
        <v>3217.0890935019779</v>
      </c>
      <c r="H3568" t="s">
        <v>1755</v>
      </c>
      <c r="I3568" t="s">
        <v>6588</v>
      </c>
      <c r="M3568" t="s">
        <v>1757</v>
      </c>
    </row>
    <row r="3569" spans="1:13" x14ac:dyDescent="0.45">
      <c r="A3569" t="s">
        <v>6589</v>
      </c>
      <c r="B3569">
        <v>1</v>
      </c>
      <c r="C3569" t="s">
        <v>1774</v>
      </c>
      <c r="G3569" s="3">
        <v>1777.7577370742131</v>
      </c>
      <c r="H3569" t="s">
        <v>1755</v>
      </c>
      <c r="I3569" t="s">
        <v>6589</v>
      </c>
      <c r="M3569" t="s">
        <v>1757</v>
      </c>
    </row>
    <row r="3570" spans="1:13" x14ac:dyDescent="0.45">
      <c r="A3570" t="s">
        <v>6590</v>
      </c>
      <c r="B3570">
        <v>1</v>
      </c>
      <c r="C3570" t="s">
        <v>1774</v>
      </c>
      <c r="G3570" s="3">
        <v>82.027024370250075</v>
      </c>
      <c r="H3570" t="s">
        <v>1755</v>
      </c>
      <c r="I3570" t="s">
        <v>6590</v>
      </c>
      <c r="M3570" t="s">
        <v>1757</v>
      </c>
    </row>
    <row r="3571" spans="1:13" x14ac:dyDescent="0.45">
      <c r="A3571" t="s">
        <v>6591</v>
      </c>
      <c r="B3571">
        <v>1</v>
      </c>
      <c r="C3571" t="s">
        <v>1774</v>
      </c>
      <c r="G3571" s="3">
        <v>33.364166658534259</v>
      </c>
      <c r="H3571" t="s">
        <v>1755</v>
      </c>
      <c r="I3571" t="s">
        <v>6591</v>
      </c>
      <c r="M3571" t="s">
        <v>1757</v>
      </c>
    </row>
    <row r="3572" spans="1:13" x14ac:dyDescent="0.45">
      <c r="A3572" t="s">
        <v>6592</v>
      </c>
      <c r="B3572">
        <v>5</v>
      </c>
      <c r="C3572" t="s">
        <v>1774</v>
      </c>
      <c r="G3572" s="3">
        <v>34.635850375251842</v>
      </c>
      <c r="H3572" t="s">
        <v>1755</v>
      </c>
      <c r="I3572" t="s">
        <v>6592</v>
      </c>
      <c r="M3572" t="s">
        <v>1757</v>
      </c>
    </row>
    <row r="3573" spans="1:13" x14ac:dyDescent="0.45">
      <c r="A3573" t="s">
        <v>6593</v>
      </c>
      <c r="B3573">
        <v>2</v>
      </c>
      <c r="C3573" t="s">
        <v>1774</v>
      </c>
      <c r="G3573" s="3">
        <v>48.878120921008872</v>
      </c>
      <c r="H3573" t="s">
        <v>1755</v>
      </c>
      <c r="I3573" t="s">
        <v>6593</v>
      </c>
      <c r="M3573" t="s">
        <v>1757</v>
      </c>
    </row>
    <row r="3574" spans="1:13" x14ac:dyDescent="0.45">
      <c r="A3574" t="s">
        <v>6594</v>
      </c>
      <c r="B3574">
        <v>1</v>
      </c>
      <c r="C3574" t="s">
        <v>1774</v>
      </c>
      <c r="G3574" s="3">
        <v>59.450479904697097</v>
      </c>
      <c r="H3574" t="s">
        <v>1755</v>
      </c>
      <c r="I3574" t="s">
        <v>6594</v>
      </c>
      <c r="M3574" t="s">
        <v>1757</v>
      </c>
    </row>
    <row r="3575" spans="1:13" x14ac:dyDescent="0.45">
      <c r="A3575" t="s">
        <v>6595</v>
      </c>
      <c r="B3575">
        <v>3</v>
      </c>
      <c r="C3575" t="s">
        <v>1774</v>
      </c>
      <c r="G3575" s="3">
        <v>64.834017075289665</v>
      </c>
      <c r="H3575" t="s">
        <v>1755</v>
      </c>
      <c r="I3575" t="s">
        <v>6595</v>
      </c>
      <c r="M3575" t="s">
        <v>1757</v>
      </c>
    </row>
    <row r="3576" spans="1:13" x14ac:dyDescent="0.45">
      <c r="A3576" t="s">
        <v>6596</v>
      </c>
      <c r="B3576">
        <v>1</v>
      </c>
      <c r="C3576" t="s">
        <v>1774</v>
      </c>
      <c r="G3576" s="3">
        <v>97.332890863741412</v>
      </c>
      <c r="H3576" t="s">
        <v>1755</v>
      </c>
      <c r="I3576" t="s">
        <v>6596</v>
      </c>
      <c r="M3576" t="s">
        <v>1757</v>
      </c>
    </row>
    <row r="3577" spans="1:13" x14ac:dyDescent="0.45">
      <c r="A3577" t="s">
        <v>6597</v>
      </c>
      <c r="B3577">
        <v>4</v>
      </c>
      <c r="C3577" t="s">
        <v>1774</v>
      </c>
      <c r="G3577" s="3">
        <v>116.41075586552689</v>
      </c>
      <c r="H3577" t="s">
        <v>1755</v>
      </c>
      <c r="I3577" t="s">
        <v>6597</v>
      </c>
      <c r="M3577" t="s">
        <v>1757</v>
      </c>
    </row>
    <row r="3578" spans="1:13" x14ac:dyDescent="0.45">
      <c r="A3578" t="s">
        <v>6598</v>
      </c>
      <c r="B3578">
        <v>1</v>
      </c>
      <c r="C3578" t="s">
        <v>1774</v>
      </c>
      <c r="G3578" s="3">
        <v>51.40420206642505</v>
      </c>
      <c r="H3578" t="s">
        <v>1755</v>
      </c>
      <c r="I3578" t="s">
        <v>6598</v>
      </c>
      <c r="M3578" t="s">
        <v>1757</v>
      </c>
    </row>
    <row r="3579" spans="1:13" x14ac:dyDescent="0.45">
      <c r="A3579" t="s">
        <v>6599</v>
      </c>
      <c r="B3579">
        <v>1</v>
      </c>
      <c r="C3579" t="s">
        <v>1774</v>
      </c>
      <c r="G3579" s="3">
        <v>48.547072197626377</v>
      </c>
      <c r="H3579" t="s">
        <v>1755</v>
      </c>
      <c r="I3579" t="s">
        <v>6599</v>
      </c>
      <c r="M3579" t="s">
        <v>1757</v>
      </c>
    </row>
    <row r="3580" spans="1:13" x14ac:dyDescent="0.45">
      <c r="A3580" t="s">
        <v>6600</v>
      </c>
      <c r="B3580">
        <v>1</v>
      </c>
      <c r="C3580" t="s">
        <v>1774</v>
      </c>
      <c r="G3580" s="3">
        <v>40.708882128337613</v>
      </c>
      <c r="H3580" t="s">
        <v>1755</v>
      </c>
      <c r="I3580" t="s">
        <v>6600</v>
      </c>
      <c r="M3580" t="s">
        <v>1757</v>
      </c>
    </row>
    <row r="3581" spans="1:13" x14ac:dyDescent="0.45">
      <c r="A3581" t="s">
        <v>6601</v>
      </c>
      <c r="B3581">
        <v>1</v>
      </c>
      <c r="C3581" t="s">
        <v>1774</v>
      </c>
      <c r="G3581" s="3">
        <v>110.65833583173669</v>
      </c>
      <c r="H3581" t="s">
        <v>1755</v>
      </c>
      <c r="I3581" t="s">
        <v>6601</v>
      </c>
      <c r="M3581" t="s">
        <v>1757</v>
      </c>
    </row>
    <row r="3582" spans="1:13" x14ac:dyDescent="0.45">
      <c r="A3582" t="s">
        <v>6602</v>
      </c>
      <c r="B3582">
        <v>1</v>
      </c>
      <c r="C3582" t="s">
        <v>1774</v>
      </c>
      <c r="G3582" s="3">
        <v>171.61043969944171</v>
      </c>
      <c r="H3582" t="s">
        <v>1755</v>
      </c>
      <c r="I3582" t="s">
        <v>6602</v>
      </c>
      <c r="M3582" t="s">
        <v>1757</v>
      </c>
    </row>
    <row r="3583" spans="1:13" x14ac:dyDescent="0.45">
      <c r="A3583" t="s">
        <v>6603</v>
      </c>
      <c r="B3583">
        <v>3</v>
      </c>
      <c r="C3583" t="s">
        <v>1774</v>
      </c>
      <c r="G3583" s="3">
        <v>86.407630679363663</v>
      </c>
      <c r="H3583" t="s">
        <v>1755</v>
      </c>
      <c r="I3583" t="s">
        <v>6603</v>
      </c>
      <c r="M3583" t="s">
        <v>1757</v>
      </c>
    </row>
    <row r="3584" spans="1:13" x14ac:dyDescent="0.45">
      <c r="A3584" t="s">
        <v>6604</v>
      </c>
      <c r="B3584">
        <v>2</v>
      </c>
      <c r="C3584" t="s">
        <v>1774</v>
      </c>
      <c r="G3584" s="3">
        <v>105.7718609807844</v>
      </c>
      <c r="H3584" t="s">
        <v>1755</v>
      </c>
      <c r="I3584" t="s">
        <v>6604</v>
      </c>
      <c r="M3584" t="s">
        <v>1757</v>
      </c>
    </row>
    <row r="3585" spans="1:13" x14ac:dyDescent="0.45">
      <c r="A3585" t="s">
        <v>6605</v>
      </c>
      <c r="B3585">
        <v>1</v>
      </c>
      <c r="C3585" t="s">
        <v>1774</v>
      </c>
      <c r="G3585" s="3">
        <v>57.500390922328698</v>
      </c>
      <c r="H3585" t="s">
        <v>1755</v>
      </c>
      <c r="I3585" t="s">
        <v>6605</v>
      </c>
      <c r="M3585" t="s">
        <v>1757</v>
      </c>
    </row>
    <row r="3586" spans="1:13" x14ac:dyDescent="0.45">
      <c r="A3586" t="s">
        <v>1753</v>
      </c>
      <c r="B3586">
        <v>2</v>
      </c>
      <c r="C3586" t="s">
        <v>1754</v>
      </c>
      <c r="G3586" s="3">
        <v>22.40462743885848</v>
      </c>
      <c r="H3586" t="s">
        <v>1755</v>
      </c>
      <c r="I3586" t="s">
        <v>1753</v>
      </c>
      <c r="L3586" t="s">
        <v>1756</v>
      </c>
      <c r="M3586" t="s">
        <v>1757</v>
      </c>
    </row>
    <row r="3587" spans="1:13" x14ac:dyDescent="0.45">
      <c r="A3587" t="s">
        <v>6606</v>
      </c>
      <c r="B3587">
        <v>2</v>
      </c>
      <c r="C3587" t="s">
        <v>1774</v>
      </c>
      <c r="G3587" s="3">
        <v>71.693738011428223</v>
      </c>
      <c r="H3587" t="s">
        <v>1755</v>
      </c>
      <c r="I3587" t="s">
        <v>6606</v>
      </c>
      <c r="M3587" t="s">
        <v>1757</v>
      </c>
    </row>
    <row r="3588" spans="1:13" x14ac:dyDescent="0.45">
      <c r="A3588" t="s">
        <v>6607</v>
      </c>
      <c r="B3588">
        <v>1</v>
      </c>
      <c r="C3588" t="s">
        <v>1774</v>
      </c>
      <c r="G3588" s="3">
        <v>262.35138401314998</v>
      </c>
      <c r="H3588" t="s">
        <v>1755</v>
      </c>
      <c r="I3588" t="s">
        <v>6607</v>
      </c>
      <c r="M3588" t="s">
        <v>1757</v>
      </c>
    </row>
    <row r="3589" spans="1:13" x14ac:dyDescent="0.45">
      <c r="A3589" t="s">
        <v>6608</v>
      </c>
      <c r="B3589">
        <v>2</v>
      </c>
      <c r="C3589" t="s">
        <v>1774</v>
      </c>
      <c r="G3589" s="3">
        <v>515.82283448658382</v>
      </c>
      <c r="H3589" t="s">
        <v>1755</v>
      </c>
      <c r="I3589" t="s">
        <v>6608</v>
      </c>
      <c r="M3589" t="s">
        <v>1757</v>
      </c>
    </row>
    <row r="3590" spans="1:13" x14ac:dyDescent="0.45">
      <c r="A3590" t="s">
        <v>6609</v>
      </c>
      <c r="B3590">
        <v>1</v>
      </c>
      <c r="C3590" t="s">
        <v>1774</v>
      </c>
      <c r="H3590" t="s">
        <v>1755</v>
      </c>
      <c r="I3590" t="s">
        <v>6609</v>
      </c>
      <c r="M3590" t="s">
        <v>1757</v>
      </c>
    </row>
    <row r="3591" spans="1:13" x14ac:dyDescent="0.45">
      <c r="A3591" t="s">
        <v>6610</v>
      </c>
      <c r="B3591">
        <v>1</v>
      </c>
      <c r="C3591" t="s">
        <v>1774</v>
      </c>
      <c r="G3591" s="3">
        <v>2522.5227793352869</v>
      </c>
      <c r="H3591" t="s">
        <v>1755</v>
      </c>
      <c r="I3591" t="s">
        <v>6610</v>
      </c>
      <c r="M3591" t="s">
        <v>1757</v>
      </c>
    </row>
    <row r="3592" spans="1:13" x14ac:dyDescent="0.45">
      <c r="A3592" t="s">
        <v>6611</v>
      </c>
      <c r="B3592">
        <v>1</v>
      </c>
      <c r="C3592" t="s">
        <v>1774</v>
      </c>
      <c r="H3592" t="s">
        <v>1755</v>
      </c>
      <c r="I3592" t="s">
        <v>6611</v>
      </c>
      <c r="M3592" t="s">
        <v>1757</v>
      </c>
    </row>
    <row r="3593" spans="1:13" x14ac:dyDescent="0.45">
      <c r="A3593" t="s">
        <v>6612</v>
      </c>
      <c r="B3593">
        <v>1</v>
      </c>
      <c r="C3593" t="s">
        <v>1774</v>
      </c>
      <c r="G3593" s="3">
        <v>594.49501435563957</v>
      </c>
      <c r="H3593" t="s">
        <v>1755</v>
      </c>
      <c r="I3593" t="s">
        <v>6612</v>
      </c>
      <c r="M3593" t="s">
        <v>1757</v>
      </c>
    </row>
    <row r="3594" spans="1:13" x14ac:dyDescent="0.45">
      <c r="A3594" t="s">
        <v>6613</v>
      </c>
      <c r="B3594">
        <v>1</v>
      </c>
      <c r="C3594" t="s">
        <v>1774</v>
      </c>
      <c r="G3594" s="3">
        <v>556.73589050737223</v>
      </c>
      <c r="H3594" t="s">
        <v>1755</v>
      </c>
      <c r="I3594" t="s">
        <v>6613</v>
      </c>
      <c r="M3594" t="s">
        <v>1757</v>
      </c>
    </row>
    <row r="3595" spans="1:13" x14ac:dyDescent="0.45">
      <c r="A3595" t="s">
        <v>6614</v>
      </c>
      <c r="B3595">
        <v>1</v>
      </c>
      <c r="C3595" t="s">
        <v>1774</v>
      </c>
      <c r="G3595" s="3">
        <v>7044.9777586816563</v>
      </c>
      <c r="H3595" t="s">
        <v>1755</v>
      </c>
      <c r="I3595" t="s">
        <v>6614</v>
      </c>
      <c r="M3595" t="s">
        <v>1757</v>
      </c>
    </row>
    <row r="3596" spans="1:13" x14ac:dyDescent="0.45">
      <c r="A3596" t="s">
        <v>6615</v>
      </c>
      <c r="B3596">
        <v>1</v>
      </c>
      <c r="C3596" t="s">
        <v>1774</v>
      </c>
      <c r="G3596" s="3">
        <v>22472.174424683621</v>
      </c>
      <c r="H3596" t="s">
        <v>1755</v>
      </c>
      <c r="I3596" t="s">
        <v>6615</v>
      </c>
      <c r="M3596" t="s">
        <v>1757</v>
      </c>
    </row>
    <row r="3597" spans="1:13" x14ac:dyDescent="0.45">
      <c r="A3597" t="s">
        <v>6616</v>
      </c>
      <c r="B3597">
        <v>1</v>
      </c>
      <c r="C3597" t="s">
        <v>1774</v>
      </c>
      <c r="G3597" s="3">
        <v>25114.041084189241</v>
      </c>
      <c r="H3597" t="s">
        <v>1755</v>
      </c>
      <c r="I3597" t="s">
        <v>6616</v>
      </c>
      <c r="M3597" t="s">
        <v>1757</v>
      </c>
    </row>
    <row r="3598" spans="1:13" x14ac:dyDescent="0.45">
      <c r="A3598" t="s">
        <v>6617</v>
      </c>
      <c r="B3598">
        <v>1</v>
      </c>
      <c r="C3598" t="s">
        <v>1774</v>
      </c>
      <c r="G3598" s="3">
        <v>10763.16046465253</v>
      </c>
      <c r="H3598" t="s">
        <v>1755</v>
      </c>
      <c r="I3598" t="s">
        <v>6617</v>
      </c>
      <c r="M3598" t="s">
        <v>1757</v>
      </c>
    </row>
    <row r="3599" spans="1:13" x14ac:dyDescent="0.45">
      <c r="A3599" t="s">
        <v>6618</v>
      </c>
      <c r="B3599">
        <v>1</v>
      </c>
      <c r="C3599" t="s">
        <v>1774</v>
      </c>
      <c r="G3599" s="3">
        <v>9915.1538825889966</v>
      </c>
      <c r="H3599" t="s">
        <v>1755</v>
      </c>
      <c r="I3599" t="s">
        <v>6618</v>
      </c>
      <c r="M3599" t="s">
        <v>1757</v>
      </c>
    </row>
    <row r="3600" spans="1:13" x14ac:dyDescent="0.45">
      <c r="A3600" t="s">
        <v>6619</v>
      </c>
      <c r="B3600">
        <v>1</v>
      </c>
      <c r="C3600" t="s">
        <v>1774</v>
      </c>
      <c r="G3600" s="3">
        <v>22994.024629030409</v>
      </c>
      <c r="H3600" t="s">
        <v>1755</v>
      </c>
      <c r="I3600" t="s">
        <v>6619</v>
      </c>
      <c r="M3600" t="s">
        <v>1757</v>
      </c>
    </row>
    <row r="3601" spans="1:13" x14ac:dyDescent="0.45">
      <c r="A3601" t="s">
        <v>6620</v>
      </c>
      <c r="B3601">
        <v>1</v>
      </c>
      <c r="C3601" t="s">
        <v>1774</v>
      </c>
      <c r="G3601" s="3">
        <v>18558.297892082701</v>
      </c>
      <c r="H3601" t="s">
        <v>1755</v>
      </c>
      <c r="I3601" t="s">
        <v>6620</v>
      </c>
      <c r="M3601" t="s">
        <v>1757</v>
      </c>
    </row>
    <row r="3602" spans="1:13" x14ac:dyDescent="0.45">
      <c r="A3602" t="s">
        <v>6621</v>
      </c>
      <c r="B3602">
        <v>1</v>
      </c>
      <c r="C3602" t="s">
        <v>1774</v>
      </c>
      <c r="G3602" s="3">
        <v>9132.3785760688133</v>
      </c>
      <c r="H3602" t="s">
        <v>1755</v>
      </c>
      <c r="I3602" t="s">
        <v>6621</v>
      </c>
      <c r="M3602" t="s">
        <v>1757</v>
      </c>
    </row>
    <row r="3603" spans="1:13" x14ac:dyDescent="0.45">
      <c r="A3603" t="s">
        <v>6622</v>
      </c>
      <c r="B3603">
        <v>1</v>
      </c>
      <c r="C3603" t="s">
        <v>1774</v>
      </c>
      <c r="G3603" s="3">
        <v>11415.47322008602</v>
      </c>
      <c r="H3603" t="s">
        <v>1755</v>
      </c>
      <c r="I3603" t="s">
        <v>6622</v>
      </c>
      <c r="M3603" t="s">
        <v>1757</v>
      </c>
    </row>
    <row r="3604" spans="1:13" x14ac:dyDescent="0.45">
      <c r="A3604" t="s">
        <v>6623</v>
      </c>
      <c r="B3604">
        <v>1</v>
      </c>
      <c r="C3604" t="s">
        <v>1774</v>
      </c>
      <c r="G3604" s="3">
        <v>2641.8666595056211</v>
      </c>
      <c r="H3604" t="s">
        <v>1755</v>
      </c>
      <c r="I3604" t="s">
        <v>6623</v>
      </c>
      <c r="M3604" t="s">
        <v>1757</v>
      </c>
    </row>
    <row r="3605" spans="1:13" x14ac:dyDescent="0.45">
      <c r="A3605" t="s">
        <v>6624</v>
      </c>
      <c r="B3605">
        <v>1</v>
      </c>
      <c r="C3605" t="s">
        <v>1774</v>
      </c>
      <c r="G3605" s="3">
        <v>20971.855087186599</v>
      </c>
      <c r="H3605" t="s">
        <v>1755</v>
      </c>
      <c r="I3605" t="s">
        <v>6624</v>
      </c>
      <c r="M3605" t="s">
        <v>1757</v>
      </c>
    </row>
    <row r="3606" spans="1:13" x14ac:dyDescent="0.45">
      <c r="A3606" t="s">
        <v>6625</v>
      </c>
      <c r="B3606">
        <v>1</v>
      </c>
      <c r="C3606" t="s">
        <v>1774</v>
      </c>
      <c r="G3606" s="3">
        <v>7501.5966874850956</v>
      </c>
      <c r="H3606" t="s">
        <v>1755</v>
      </c>
      <c r="I3606" t="s">
        <v>6625</v>
      </c>
      <c r="M3606" t="s">
        <v>1757</v>
      </c>
    </row>
    <row r="3607" spans="1:13" x14ac:dyDescent="0.45">
      <c r="A3607" t="s">
        <v>6626</v>
      </c>
      <c r="B3607">
        <v>1</v>
      </c>
      <c r="C3607" t="s">
        <v>1774</v>
      </c>
      <c r="G3607" s="3">
        <v>24070.34067549566</v>
      </c>
      <c r="H3607" t="s">
        <v>1755</v>
      </c>
      <c r="I3607" t="s">
        <v>6626</v>
      </c>
      <c r="M3607" t="s">
        <v>1757</v>
      </c>
    </row>
    <row r="3608" spans="1:13" x14ac:dyDescent="0.45">
      <c r="A3608" t="s">
        <v>6627</v>
      </c>
      <c r="B3608">
        <v>1</v>
      </c>
      <c r="C3608" t="s">
        <v>1774</v>
      </c>
      <c r="G3608" s="3">
        <v>23483.259195605518</v>
      </c>
      <c r="H3608" t="s">
        <v>1755</v>
      </c>
      <c r="I3608" t="s">
        <v>6627</v>
      </c>
      <c r="M3608" t="s">
        <v>1757</v>
      </c>
    </row>
    <row r="3609" spans="1:13" x14ac:dyDescent="0.45">
      <c r="A3609" t="s">
        <v>6628</v>
      </c>
      <c r="B3609">
        <v>1</v>
      </c>
      <c r="C3609" t="s">
        <v>1774</v>
      </c>
      <c r="G3609" s="3">
        <v>14350.880619536711</v>
      </c>
      <c r="H3609" t="s">
        <v>1755</v>
      </c>
      <c r="I3609" t="s">
        <v>6628</v>
      </c>
      <c r="M3609" t="s">
        <v>1757</v>
      </c>
    </row>
    <row r="3610" spans="1:13" x14ac:dyDescent="0.45">
      <c r="A3610" t="s">
        <v>6629</v>
      </c>
      <c r="B3610">
        <v>1</v>
      </c>
      <c r="C3610" t="s">
        <v>1774</v>
      </c>
      <c r="G3610" s="3">
        <v>25179.272359732589</v>
      </c>
      <c r="H3610" t="s">
        <v>1755</v>
      </c>
      <c r="I3610" t="s">
        <v>6629</v>
      </c>
      <c r="M3610" t="s">
        <v>1757</v>
      </c>
    </row>
    <row r="3611" spans="1:13" x14ac:dyDescent="0.45">
      <c r="A3611" t="s">
        <v>6630</v>
      </c>
      <c r="B3611">
        <v>1</v>
      </c>
      <c r="C3611" t="s">
        <v>1774</v>
      </c>
      <c r="G3611" s="3">
        <v>24657.422155385801</v>
      </c>
      <c r="H3611" t="s">
        <v>1755</v>
      </c>
      <c r="I3611" t="s">
        <v>6630</v>
      </c>
      <c r="M3611" t="s">
        <v>1757</v>
      </c>
    </row>
    <row r="3612" spans="1:13" x14ac:dyDescent="0.45">
      <c r="A3612" t="s">
        <v>6631</v>
      </c>
      <c r="B3612">
        <v>1</v>
      </c>
      <c r="C3612" t="s">
        <v>1774</v>
      </c>
      <c r="G3612" s="3">
        <v>17286.288018987401</v>
      </c>
      <c r="H3612" t="s">
        <v>1755</v>
      </c>
      <c r="I3612" t="s">
        <v>6631</v>
      </c>
      <c r="M3612" t="s">
        <v>1757</v>
      </c>
    </row>
    <row r="3613" spans="1:13" x14ac:dyDescent="0.45">
      <c r="A3613" t="s">
        <v>6632</v>
      </c>
      <c r="B3613">
        <v>1</v>
      </c>
      <c r="C3613" t="s">
        <v>1774</v>
      </c>
      <c r="G3613" s="3">
        <v>23515.874833377191</v>
      </c>
      <c r="H3613" t="s">
        <v>1755</v>
      </c>
      <c r="I3613" t="s">
        <v>6632</v>
      </c>
      <c r="M3613" t="s">
        <v>1757</v>
      </c>
    </row>
    <row r="3614" spans="1:13" x14ac:dyDescent="0.45">
      <c r="A3614" t="s">
        <v>6633</v>
      </c>
      <c r="B3614">
        <v>1</v>
      </c>
      <c r="C3614" t="s">
        <v>1774</v>
      </c>
      <c r="G3614" s="3">
        <v>21917.708582565148</v>
      </c>
      <c r="H3614" t="s">
        <v>1755</v>
      </c>
      <c r="I3614" t="s">
        <v>6633</v>
      </c>
      <c r="M3614" t="s">
        <v>1757</v>
      </c>
    </row>
    <row r="3615" spans="1:13" x14ac:dyDescent="0.45">
      <c r="A3615" t="s">
        <v>6634</v>
      </c>
      <c r="B3615">
        <v>1</v>
      </c>
      <c r="C3615" t="s">
        <v>1774</v>
      </c>
      <c r="G3615" s="3">
        <v>2772.3292105923178</v>
      </c>
      <c r="H3615" t="s">
        <v>1755</v>
      </c>
      <c r="I3615" t="s">
        <v>6634</v>
      </c>
      <c r="M3615" t="s">
        <v>1757</v>
      </c>
    </row>
    <row r="3616" spans="1:13" x14ac:dyDescent="0.45">
      <c r="A3616" t="s">
        <v>6635</v>
      </c>
      <c r="B3616">
        <v>1</v>
      </c>
      <c r="C3616" t="s">
        <v>1774</v>
      </c>
      <c r="G3616" s="3">
        <v>23157.102817888779</v>
      </c>
      <c r="H3616" t="s">
        <v>1755</v>
      </c>
      <c r="I3616" t="s">
        <v>6635</v>
      </c>
      <c r="M3616" t="s">
        <v>1757</v>
      </c>
    </row>
    <row r="3617" spans="1:13" x14ac:dyDescent="0.45">
      <c r="A3617" t="s">
        <v>6636</v>
      </c>
      <c r="B3617">
        <v>1</v>
      </c>
      <c r="C3617" t="s">
        <v>1774</v>
      </c>
      <c r="G3617" s="3">
        <v>21200.164551588321</v>
      </c>
      <c r="H3617" t="s">
        <v>1755</v>
      </c>
      <c r="I3617" t="s">
        <v>6636</v>
      </c>
      <c r="M3617" t="s">
        <v>1757</v>
      </c>
    </row>
    <row r="3618" spans="1:13" x14ac:dyDescent="0.45">
      <c r="A3618" t="s">
        <v>6637</v>
      </c>
      <c r="B3618">
        <v>1</v>
      </c>
      <c r="C3618" t="s">
        <v>1774</v>
      </c>
      <c r="G3618" s="3">
        <v>22178.63368473855</v>
      </c>
      <c r="H3618" t="s">
        <v>1755</v>
      </c>
      <c r="I3618" t="s">
        <v>6637</v>
      </c>
      <c r="M3618" t="s">
        <v>1757</v>
      </c>
    </row>
    <row r="3619" spans="1:13" x14ac:dyDescent="0.45">
      <c r="A3619" t="s">
        <v>6638</v>
      </c>
      <c r="B3619">
        <v>1</v>
      </c>
      <c r="C3619" t="s">
        <v>1774</v>
      </c>
      <c r="G3619" s="3">
        <v>22602.636975770311</v>
      </c>
      <c r="H3619" t="s">
        <v>1755</v>
      </c>
      <c r="I3619" t="s">
        <v>6638</v>
      </c>
      <c r="M3619" t="s">
        <v>1757</v>
      </c>
    </row>
    <row r="3620" spans="1:13" x14ac:dyDescent="0.45">
      <c r="A3620" t="s">
        <v>6639</v>
      </c>
      <c r="B3620">
        <v>1</v>
      </c>
      <c r="C3620" t="s">
        <v>1774</v>
      </c>
      <c r="G3620" s="3">
        <v>8806.2221983520703</v>
      </c>
      <c r="H3620" t="s">
        <v>1755</v>
      </c>
      <c r="I3620" t="s">
        <v>6639</v>
      </c>
      <c r="M3620" t="s">
        <v>1757</v>
      </c>
    </row>
    <row r="3621" spans="1:13" x14ac:dyDescent="0.45">
      <c r="A3621" t="s">
        <v>6640</v>
      </c>
      <c r="B3621">
        <v>1</v>
      </c>
      <c r="C3621" t="s">
        <v>1774</v>
      </c>
      <c r="G3621" s="3">
        <v>16731.822176868929</v>
      </c>
      <c r="H3621" t="s">
        <v>1755</v>
      </c>
      <c r="I3621" t="s">
        <v>6640</v>
      </c>
      <c r="M3621" t="s">
        <v>1757</v>
      </c>
    </row>
    <row r="3622" spans="1:13" x14ac:dyDescent="0.45">
      <c r="A3622" t="s">
        <v>6641</v>
      </c>
      <c r="B3622">
        <v>1</v>
      </c>
      <c r="C3622" t="s">
        <v>1774</v>
      </c>
      <c r="G3622" s="3">
        <v>25766.35383962272</v>
      </c>
      <c r="H3622" t="s">
        <v>1755</v>
      </c>
      <c r="I3622" t="s">
        <v>6641</v>
      </c>
      <c r="M3622" t="s">
        <v>1757</v>
      </c>
    </row>
    <row r="3623" spans="1:13" x14ac:dyDescent="0.45">
      <c r="A3623" t="s">
        <v>6642</v>
      </c>
      <c r="B3623">
        <v>1</v>
      </c>
      <c r="C3623" t="s">
        <v>1774</v>
      </c>
      <c r="G3623" s="3">
        <v>24429.112690984079</v>
      </c>
      <c r="H3623" t="s">
        <v>1755</v>
      </c>
      <c r="I3623" t="s">
        <v>6642</v>
      </c>
      <c r="M3623" t="s">
        <v>1757</v>
      </c>
    </row>
    <row r="3624" spans="1:13" x14ac:dyDescent="0.45">
      <c r="A3624" t="s">
        <v>6643</v>
      </c>
      <c r="B3624">
        <v>1</v>
      </c>
      <c r="C3624" t="s">
        <v>1774</v>
      </c>
      <c r="G3624" s="3">
        <v>6001.2773499880768</v>
      </c>
      <c r="H3624" t="s">
        <v>1755</v>
      </c>
      <c r="I3624" t="s">
        <v>6643</v>
      </c>
      <c r="M3624" t="s">
        <v>1757</v>
      </c>
    </row>
    <row r="3625" spans="1:13" x14ac:dyDescent="0.45">
      <c r="A3625" t="s">
        <v>6644</v>
      </c>
      <c r="B3625">
        <v>1</v>
      </c>
      <c r="C3625" t="s">
        <v>1774</v>
      </c>
      <c r="G3625" s="3">
        <v>13861.646052961591</v>
      </c>
      <c r="H3625" t="s">
        <v>1755</v>
      </c>
      <c r="I3625" t="s">
        <v>6644</v>
      </c>
      <c r="M3625" t="s">
        <v>1757</v>
      </c>
    </row>
    <row r="3626" spans="1:13" x14ac:dyDescent="0.45">
      <c r="A3626" t="s">
        <v>6645</v>
      </c>
      <c r="B3626">
        <v>1</v>
      </c>
      <c r="C3626" t="s">
        <v>1774</v>
      </c>
      <c r="G3626" s="3">
        <v>6523.1275543348675</v>
      </c>
      <c r="H3626" t="s">
        <v>1755</v>
      </c>
      <c r="I3626" t="s">
        <v>6645</v>
      </c>
      <c r="M3626" t="s">
        <v>1757</v>
      </c>
    </row>
    <row r="3627" spans="1:13" x14ac:dyDescent="0.45">
      <c r="A3627" t="s">
        <v>6646</v>
      </c>
      <c r="B3627">
        <v>1</v>
      </c>
      <c r="C3627" t="s">
        <v>1774</v>
      </c>
      <c r="G3627" s="3">
        <v>21298.011464903338</v>
      </c>
      <c r="H3627" t="s">
        <v>1755</v>
      </c>
      <c r="I3627" t="s">
        <v>6646</v>
      </c>
      <c r="M3627" t="s">
        <v>1757</v>
      </c>
    </row>
    <row r="3628" spans="1:13" x14ac:dyDescent="0.45">
      <c r="A3628" t="s">
        <v>6647</v>
      </c>
      <c r="B3628">
        <v>1</v>
      </c>
      <c r="C3628" t="s">
        <v>1774</v>
      </c>
      <c r="G3628" s="3">
        <v>16633.975263553912</v>
      </c>
      <c r="H3628" t="s">
        <v>1755</v>
      </c>
      <c r="I3628" t="s">
        <v>6647</v>
      </c>
      <c r="M3628" t="s">
        <v>1757</v>
      </c>
    </row>
    <row r="3629" spans="1:13" x14ac:dyDescent="0.45">
      <c r="A3629" t="s">
        <v>6648</v>
      </c>
      <c r="B3629">
        <v>1</v>
      </c>
      <c r="C3629" t="s">
        <v>1774</v>
      </c>
      <c r="G3629" s="3">
        <v>23222.33409343212</v>
      </c>
      <c r="H3629" t="s">
        <v>1755</v>
      </c>
      <c r="I3629" t="s">
        <v>6648</v>
      </c>
      <c r="M3629" t="s">
        <v>1757</v>
      </c>
    </row>
    <row r="3630" spans="1:13" x14ac:dyDescent="0.45">
      <c r="A3630" t="s">
        <v>6649</v>
      </c>
      <c r="B3630">
        <v>1</v>
      </c>
      <c r="C3630" t="s">
        <v>1774</v>
      </c>
      <c r="G3630" s="3">
        <v>520.34010031796083</v>
      </c>
      <c r="H3630" t="s">
        <v>1755</v>
      </c>
      <c r="I3630" t="s">
        <v>6649</v>
      </c>
      <c r="M3630" t="s">
        <v>1757</v>
      </c>
    </row>
    <row r="3631" spans="1:13" x14ac:dyDescent="0.45">
      <c r="A3631" t="s">
        <v>6650</v>
      </c>
      <c r="B3631">
        <v>1</v>
      </c>
      <c r="C3631" t="s">
        <v>1774</v>
      </c>
      <c r="H3631" t="s">
        <v>1755</v>
      </c>
      <c r="I3631" t="s">
        <v>6650</v>
      </c>
      <c r="M3631" t="s">
        <v>1757</v>
      </c>
    </row>
    <row r="3632" spans="1:13" x14ac:dyDescent="0.45">
      <c r="A3632" t="s">
        <v>6651</v>
      </c>
      <c r="B3632">
        <v>1</v>
      </c>
      <c r="C3632" t="s">
        <v>1774</v>
      </c>
      <c r="G3632" s="3">
        <v>2781.438758221947</v>
      </c>
      <c r="H3632" t="s">
        <v>1755</v>
      </c>
      <c r="I3632" t="s">
        <v>6651</v>
      </c>
      <c r="M3632" t="s">
        <v>1757</v>
      </c>
    </row>
    <row r="3633" spans="1:13" x14ac:dyDescent="0.45">
      <c r="A3633" t="s">
        <v>6652</v>
      </c>
      <c r="B3633">
        <v>1</v>
      </c>
      <c r="C3633" t="s">
        <v>1774</v>
      </c>
      <c r="G3633" s="3">
        <v>2680.737976601903</v>
      </c>
      <c r="H3633" t="s">
        <v>1755</v>
      </c>
      <c r="I3633" t="s">
        <v>6652</v>
      </c>
      <c r="M3633" t="s">
        <v>1757</v>
      </c>
    </row>
    <row r="3634" spans="1:13" x14ac:dyDescent="0.45">
      <c r="A3634" t="s">
        <v>6653</v>
      </c>
      <c r="B3634">
        <v>1</v>
      </c>
      <c r="C3634" t="s">
        <v>1774</v>
      </c>
      <c r="G3634" s="3">
        <v>2847.0842523649958</v>
      </c>
      <c r="H3634" t="s">
        <v>1755</v>
      </c>
      <c r="I3634" t="s">
        <v>6653</v>
      </c>
      <c r="M3634" t="s">
        <v>1757</v>
      </c>
    </row>
    <row r="3635" spans="1:13" x14ac:dyDescent="0.45">
      <c r="A3635" t="s">
        <v>6654</v>
      </c>
      <c r="B3635">
        <v>1</v>
      </c>
      <c r="C3635" t="s">
        <v>1774</v>
      </c>
      <c r="G3635" s="3">
        <v>2981.7900979257879</v>
      </c>
      <c r="H3635" t="s">
        <v>1755</v>
      </c>
      <c r="I3635" t="s">
        <v>6654</v>
      </c>
      <c r="M3635" t="s">
        <v>1757</v>
      </c>
    </row>
    <row r="3636" spans="1:13" x14ac:dyDescent="0.45">
      <c r="A3636" t="s">
        <v>6655</v>
      </c>
      <c r="B3636">
        <v>1</v>
      </c>
      <c r="C3636" t="s">
        <v>1774</v>
      </c>
      <c r="G3636" s="3">
        <v>2709.778940473801</v>
      </c>
      <c r="H3636" t="s">
        <v>1755</v>
      </c>
      <c r="I3636" t="s">
        <v>6655</v>
      </c>
      <c r="M3636" t="s">
        <v>1757</v>
      </c>
    </row>
    <row r="3637" spans="1:13" x14ac:dyDescent="0.45">
      <c r="A3637" t="s">
        <v>6656</v>
      </c>
      <c r="B3637">
        <v>1</v>
      </c>
      <c r="C3637" t="s">
        <v>1774</v>
      </c>
      <c r="G3637" s="3">
        <v>711.41555263953774</v>
      </c>
      <c r="H3637" t="s">
        <v>1755</v>
      </c>
      <c r="I3637" t="s">
        <v>6656</v>
      </c>
      <c r="M3637" t="s">
        <v>1757</v>
      </c>
    </row>
    <row r="3638" spans="1:13" x14ac:dyDescent="0.45">
      <c r="A3638" t="s">
        <v>6657</v>
      </c>
      <c r="B3638">
        <v>1</v>
      </c>
      <c r="C3638" t="s">
        <v>1774</v>
      </c>
      <c r="H3638" t="s">
        <v>1755</v>
      </c>
      <c r="I3638" t="s">
        <v>6657</v>
      </c>
      <c r="M3638" t="s">
        <v>1757</v>
      </c>
    </row>
    <row r="3639" spans="1:13" x14ac:dyDescent="0.45">
      <c r="A3639" t="s">
        <v>6658</v>
      </c>
      <c r="B3639">
        <v>1</v>
      </c>
      <c r="C3639" t="s">
        <v>1774</v>
      </c>
      <c r="G3639" s="3">
        <v>621.07349757577697</v>
      </c>
      <c r="H3639" t="s">
        <v>1755</v>
      </c>
      <c r="I3639" t="s">
        <v>6658</v>
      </c>
      <c r="M3639" t="s">
        <v>1757</v>
      </c>
    </row>
    <row r="3640" spans="1:13" x14ac:dyDescent="0.45">
      <c r="A3640" t="s">
        <v>6659</v>
      </c>
      <c r="B3640">
        <v>1</v>
      </c>
      <c r="C3640" t="s">
        <v>1774</v>
      </c>
      <c r="G3640" s="3">
        <v>1456.0990558061831</v>
      </c>
      <c r="H3640" t="s">
        <v>1755</v>
      </c>
      <c r="I3640" t="s">
        <v>6659</v>
      </c>
      <c r="M3640" t="s">
        <v>1757</v>
      </c>
    </row>
    <row r="3641" spans="1:13" x14ac:dyDescent="0.45">
      <c r="A3641" t="s">
        <v>6660</v>
      </c>
      <c r="B3641">
        <v>1</v>
      </c>
      <c r="C3641" t="s">
        <v>1774</v>
      </c>
      <c r="G3641" s="3">
        <v>2112.172394274744</v>
      </c>
      <c r="H3641" t="s">
        <v>1755</v>
      </c>
      <c r="I3641" t="s">
        <v>6660</v>
      </c>
      <c r="M3641" t="s">
        <v>1757</v>
      </c>
    </row>
    <row r="3642" spans="1:13" x14ac:dyDescent="0.45">
      <c r="A3642" t="s">
        <v>6661</v>
      </c>
      <c r="B3642">
        <v>1</v>
      </c>
      <c r="C3642" t="s">
        <v>1774</v>
      </c>
      <c r="G3642" s="3">
        <v>1050.7062476869339</v>
      </c>
      <c r="H3642" t="s">
        <v>1755</v>
      </c>
      <c r="I3642" t="s">
        <v>6661</v>
      </c>
      <c r="M3642" t="s">
        <v>1757</v>
      </c>
    </row>
    <row r="3643" spans="1:13" x14ac:dyDescent="0.45">
      <c r="A3643" t="s">
        <v>6662</v>
      </c>
      <c r="B3643">
        <v>1</v>
      </c>
      <c r="C3643" t="s">
        <v>1774</v>
      </c>
      <c r="G3643" s="3">
        <v>2565.170987285529</v>
      </c>
      <c r="H3643" t="s">
        <v>1755</v>
      </c>
      <c r="I3643" t="s">
        <v>6662</v>
      </c>
      <c r="M3643" t="s">
        <v>1757</v>
      </c>
    </row>
    <row r="3644" spans="1:13" x14ac:dyDescent="0.45">
      <c r="A3644" t="s">
        <v>6663</v>
      </c>
      <c r="B3644">
        <v>1</v>
      </c>
      <c r="C3644" t="s">
        <v>1774</v>
      </c>
      <c r="G3644" s="3">
        <v>2929.4322146109189</v>
      </c>
      <c r="H3644" t="s">
        <v>1755</v>
      </c>
      <c r="I3644" t="s">
        <v>6663</v>
      </c>
      <c r="M3644" t="s">
        <v>1757</v>
      </c>
    </row>
    <row r="3645" spans="1:13" x14ac:dyDescent="0.45">
      <c r="A3645" t="s">
        <v>6664</v>
      </c>
      <c r="B3645">
        <v>1</v>
      </c>
      <c r="C3645" t="s">
        <v>1774</v>
      </c>
      <c r="G3645" s="3">
        <v>3392.9395661117369</v>
      </c>
      <c r="H3645" t="s">
        <v>1755</v>
      </c>
      <c r="I3645" t="s">
        <v>6664</v>
      </c>
      <c r="M3645" t="s">
        <v>1757</v>
      </c>
    </row>
    <row r="3646" spans="1:13" x14ac:dyDescent="0.45">
      <c r="A3646" t="s">
        <v>6665</v>
      </c>
      <c r="B3646">
        <v>1</v>
      </c>
      <c r="C3646" t="s">
        <v>1774</v>
      </c>
      <c r="G3646" s="3">
        <v>3575.2935968931688</v>
      </c>
      <c r="H3646" t="s">
        <v>1755</v>
      </c>
      <c r="I3646" t="s">
        <v>6665</v>
      </c>
      <c r="M3646" t="s">
        <v>1757</v>
      </c>
    </row>
    <row r="3647" spans="1:13" x14ac:dyDescent="0.45">
      <c r="A3647" t="s">
        <v>6666</v>
      </c>
      <c r="B3647">
        <v>1</v>
      </c>
      <c r="C3647" t="s">
        <v>1774</v>
      </c>
      <c r="G3647" s="3">
        <v>1162.391976108479</v>
      </c>
      <c r="H3647" t="s">
        <v>1755</v>
      </c>
      <c r="I3647" t="s">
        <v>6666</v>
      </c>
      <c r="M3647" t="s">
        <v>1757</v>
      </c>
    </row>
    <row r="3648" spans="1:13" x14ac:dyDescent="0.45">
      <c r="A3648" t="s">
        <v>6667</v>
      </c>
      <c r="B3648">
        <v>1</v>
      </c>
      <c r="C3648" t="s">
        <v>1774</v>
      </c>
      <c r="G3648" s="3">
        <v>1248.846247149856</v>
      </c>
      <c r="H3648" t="s">
        <v>1755</v>
      </c>
      <c r="I3648" t="s">
        <v>6667</v>
      </c>
      <c r="M3648" t="s">
        <v>1757</v>
      </c>
    </row>
    <row r="3649" spans="1:13" x14ac:dyDescent="0.45">
      <c r="A3649" t="s">
        <v>6668</v>
      </c>
      <c r="B3649">
        <v>1</v>
      </c>
      <c r="C3649" t="s">
        <v>1774</v>
      </c>
      <c r="G3649" s="3">
        <v>1933.751809408576</v>
      </c>
      <c r="H3649" t="s">
        <v>1755</v>
      </c>
      <c r="I3649" t="s">
        <v>6668</v>
      </c>
      <c r="M3649" t="s">
        <v>1757</v>
      </c>
    </row>
    <row r="3650" spans="1:13" x14ac:dyDescent="0.45">
      <c r="A3650" t="s">
        <v>6669</v>
      </c>
      <c r="B3650">
        <v>1</v>
      </c>
      <c r="C3650" t="s">
        <v>1774</v>
      </c>
      <c r="G3650" s="3">
        <v>3506.017982266133</v>
      </c>
      <c r="H3650" t="s">
        <v>1755</v>
      </c>
      <c r="I3650" t="s">
        <v>6669</v>
      </c>
      <c r="M3650" t="s">
        <v>1757</v>
      </c>
    </row>
    <row r="3651" spans="1:13" x14ac:dyDescent="0.45">
      <c r="A3651" t="s">
        <v>6670</v>
      </c>
      <c r="B3651">
        <v>1</v>
      </c>
      <c r="C3651" t="s">
        <v>1774</v>
      </c>
      <c r="G3651" s="3">
        <v>2227.850276759541</v>
      </c>
      <c r="H3651" t="s">
        <v>1755</v>
      </c>
      <c r="I3651" t="s">
        <v>6670</v>
      </c>
      <c r="M3651" t="s">
        <v>1757</v>
      </c>
    </row>
    <row r="3652" spans="1:13" x14ac:dyDescent="0.45">
      <c r="A3652" t="s">
        <v>6671</v>
      </c>
      <c r="B3652">
        <v>1</v>
      </c>
      <c r="C3652" t="s">
        <v>1774</v>
      </c>
      <c r="G3652" s="3">
        <v>1700.034672264313</v>
      </c>
      <c r="H3652" t="s">
        <v>1755</v>
      </c>
      <c r="I3652" t="s">
        <v>6671</v>
      </c>
      <c r="M3652" t="s">
        <v>1757</v>
      </c>
    </row>
    <row r="3653" spans="1:13" x14ac:dyDescent="0.45">
      <c r="A3653" t="s">
        <v>6672</v>
      </c>
      <c r="B3653">
        <v>1</v>
      </c>
      <c r="C3653" t="s">
        <v>1774</v>
      </c>
      <c r="G3653" s="3">
        <v>3567.1396874502502</v>
      </c>
      <c r="H3653" t="s">
        <v>1755</v>
      </c>
      <c r="I3653" t="s">
        <v>6672</v>
      </c>
      <c r="M3653" t="s">
        <v>1757</v>
      </c>
    </row>
    <row r="3654" spans="1:13" x14ac:dyDescent="0.45">
      <c r="A3654" t="s">
        <v>6673</v>
      </c>
      <c r="B3654">
        <v>1</v>
      </c>
      <c r="C3654" t="s">
        <v>1774</v>
      </c>
      <c r="G3654" s="3">
        <v>3072.7909888725362</v>
      </c>
      <c r="H3654" t="s">
        <v>1755</v>
      </c>
      <c r="I3654" t="s">
        <v>6673</v>
      </c>
      <c r="M3654" t="s">
        <v>1757</v>
      </c>
    </row>
    <row r="3655" spans="1:13" x14ac:dyDescent="0.45">
      <c r="A3655" t="s">
        <v>6674</v>
      </c>
      <c r="B3655">
        <v>1</v>
      </c>
      <c r="C3655" t="s">
        <v>1774</v>
      </c>
      <c r="G3655" s="3">
        <v>2426.51212642681</v>
      </c>
      <c r="H3655" t="s">
        <v>1755</v>
      </c>
      <c r="I3655" t="s">
        <v>6674</v>
      </c>
      <c r="M3655" t="s">
        <v>1757</v>
      </c>
    </row>
    <row r="3656" spans="1:13" x14ac:dyDescent="0.45">
      <c r="A3656" t="s">
        <v>6675</v>
      </c>
      <c r="B3656">
        <v>1</v>
      </c>
      <c r="C3656" t="s">
        <v>1774</v>
      </c>
      <c r="G3656" s="3">
        <v>777.48178850984129</v>
      </c>
      <c r="H3656" t="s">
        <v>1755</v>
      </c>
      <c r="I3656" t="s">
        <v>6675</v>
      </c>
      <c r="M3656" t="s">
        <v>1757</v>
      </c>
    </row>
    <row r="3657" spans="1:13" x14ac:dyDescent="0.45">
      <c r="A3657" t="s">
        <v>6676</v>
      </c>
      <c r="B3657">
        <v>1</v>
      </c>
      <c r="C3657" t="s">
        <v>1774</v>
      </c>
      <c r="G3657" s="3">
        <v>1622.2235452324289</v>
      </c>
      <c r="H3657" t="s">
        <v>1755</v>
      </c>
      <c r="I3657" t="s">
        <v>6676</v>
      </c>
      <c r="M3657" t="s">
        <v>1757</v>
      </c>
    </row>
    <row r="3658" spans="1:13" x14ac:dyDescent="0.45">
      <c r="A3658" t="s">
        <v>6677</v>
      </c>
      <c r="B3658">
        <v>1</v>
      </c>
      <c r="C3658" t="s">
        <v>1774</v>
      </c>
      <c r="G3658" s="3">
        <v>2731.4194161353071</v>
      </c>
      <c r="H3658" t="s">
        <v>1755</v>
      </c>
      <c r="I3658" t="s">
        <v>6677</v>
      </c>
      <c r="M3658" t="s">
        <v>1757</v>
      </c>
    </row>
    <row r="3659" spans="1:13" x14ac:dyDescent="0.45">
      <c r="A3659" t="s">
        <v>6678</v>
      </c>
      <c r="B3659">
        <v>1</v>
      </c>
      <c r="C3659" t="s">
        <v>1774</v>
      </c>
      <c r="G3659" s="3">
        <v>1428.092007651647</v>
      </c>
      <c r="H3659" t="s">
        <v>1755</v>
      </c>
      <c r="I3659" t="s">
        <v>6678</v>
      </c>
      <c r="M3659" t="s">
        <v>1757</v>
      </c>
    </row>
    <row r="3660" spans="1:13" x14ac:dyDescent="0.45">
      <c r="A3660" t="s">
        <v>6679</v>
      </c>
      <c r="B3660">
        <v>1</v>
      </c>
      <c r="C3660" t="s">
        <v>1774</v>
      </c>
      <c r="G3660" s="3">
        <v>392.93689605424652</v>
      </c>
      <c r="H3660" t="s">
        <v>1755</v>
      </c>
      <c r="I3660" t="s">
        <v>6679</v>
      </c>
      <c r="M3660" t="s">
        <v>1757</v>
      </c>
    </row>
    <row r="3661" spans="1:13" x14ac:dyDescent="0.45">
      <c r="A3661" t="s">
        <v>6680</v>
      </c>
      <c r="B3661">
        <v>1</v>
      </c>
      <c r="C3661" t="s">
        <v>1774</v>
      </c>
      <c r="G3661" s="3">
        <v>597.12057319625933</v>
      </c>
      <c r="H3661" t="s">
        <v>1755</v>
      </c>
      <c r="I3661" t="s">
        <v>6680</v>
      </c>
      <c r="M3661" t="s">
        <v>1757</v>
      </c>
    </row>
    <row r="3662" spans="1:13" x14ac:dyDescent="0.45">
      <c r="A3662" t="s">
        <v>6681</v>
      </c>
      <c r="B3662">
        <v>1</v>
      </c>
      <c r="C3662" t="s">
        <v>1774</v>
      </c>
      <c r="G3662" s="3">
        <v>876.17670840692779</v>
      </c>
      <c r="H3662" t="s">
        <v>1755</v>
      </c>
      <c r="I3662" t="s">
        <v>6681</v>
      </c>
      <c r="M3662" t="s">
        <v>1757</v>
      </c>
    </row>
    <row r="3663" spans="1:13" x14ac:dyDescent="0.45">
      <c r="A3663" t="s">
        <v>6682</v>
      </c>
      <c r="B3663">
        <v>1</v>
      </c>
      <c r="C3663" t="s">
        <v>1774</v>
      </c>
      <c r="G3663" s="3">
        <v>908.02587869096772</v>
      </c>
      <c r="H3663" t="s">
        <v>1755</v>
      </c>
      <c r="I3663" t="s">
        <v>6682</v>
      </c>
      <c r="M3663" t="s">
        <v>1757</v>
      </c>
    </row>
    <row r="3664" spans="1:13" x14ac:dyDescent="0.45">
      <c r="A3664" t="s">
        <v>6683</v>
      </c>
      <c r="B3664">
        <v>1</v>
      </c>
      <c r="C3664" t="s">
        <v>1774</v>
      </c>
      <c r="G3664" s="3">
        <v>915.04802550320926</v>
      </c>
      <c r="H3664" t="s">
        <v>1755</v>
      </c>
      <c r="I3664" t="s">
        <v>6683</v>
      </c>
      <c r="M3664" t="s">
        <v>1757</v>
      </c>
    </row>
    <row r="3665" spans="1:13" x14ac:dyDescent="0.45">
      <c r="A3665" t="s">
        <v>6684</v>
      </c>
      <c r="B3665">
        <v>1</v>
      </c>
      <c r="C3665" t="s">
        <v>1774</v>
      </c>
      <c r="G3665" s="3">
        <v>1000.579273995648</v>
      </c>
      <c r="H3665" t="s">
        <v>1755</v>
      </c>
      <c r="I3665" t="s">
        <v>6684</v>
      </c>
      <c r="M3665" t="s">
        <v>1757</v>
      </c>
    </row>
    <row r="3666" spans="1:13" x14ac:dyDescent="0.45">
      <c r="A3666" t="s">
        <v>6685</v>
      </c>
      <c r="B3666">
        <v>1</v>
      </c>
      <c r="C3666" t="s">
        <v>1774</v>
      </c>
      <c r="G3666" s="3">
        <v>1005.416173077187</v>
      </c>
      <c r="H3666" t="s">
        <v>1755</v>
      </c>
      <c r="I3666" t="s">
        <v>6685</v>
      </c>
      <c r="M3666" t="s">
        <v>1757</v>
      </c>
    </row>
    <row r="3667" spans="1:13" x14ac:dyDescent="0.45">
      <c r="A3667" t="s">
        <v>6686</v>
      </c>
      <c r="B3667">
        <v>1</v>
      </c>
      <c r="C3667" t="s">
        <v>1774</v>
      </c>
      <c r="G3667" s="3">
        <v>1399.1325828741769</v>
      </c>
      <c r="H3667" t="s">
        <v>1755</v>
      </c>
      <c r="I3667" t="s">
        <v>6686</v>
      </c>
      <c r="M3667" t="s">
        <v>1757</v>
      </c>
    </row>
    <row r="3668" spans="1:13" x14ac:dyDescent="0.45">
      <c r="A3668" t="s">
        <v>6687</v>
      </c>
      <c r="B3668">
        <v>1</v>
      </c>
      <c r="C3668" t="s">
        <v>1774</v>
      </c>
      <c r="G3668" s="3">
        <v>1986.709820458444</v>
      </c>
      <c r="H3668" t="s">
        <v>1755</v>
      </c>
      <c r="I3668" t="s">
        <v>6687</v>
      </c>
      <c r="M3668" t="s">
        <v>1757</v>
      </c>
    </row>
    <row r="3669" spans="1:13" x14ac:dyDescent="0.45">
      <c r="A3669" t="s">
        <v>6688</v>
      </c>
      <c r="B3669">
        <v>2</v>
      </c>
      <c r="C3669" t="s">
        <v>1774</v>
      </c>
      <c r="G3669" s="3">
        <v>1682.3733044109511</v>
      </c>
      <c r="H3669" t="s">
        <v>1755</v>
      </c>
      <c r="I3669" t="s">
        <v>6688</v>
      </c>
      <c r="M3669" t="s">
        <v>1757</v>
      </c>
    </row>
    <row r="3670" spans="1:13" x14ac:dyDescent="0.45">
      <c r="A3670" t="s">
        <v>6689</v>
      </c>
      <c r="B3670">
        <v>1</v>
      </c>
      <c r="C3670" t="s">
        <v>1774</v>
      </c>
      <c r="G3670" s="3">
        <v>2677.3426887098708</v>
      </c>
      <c r="H3670" t="s">
        <v>1755</v>
      </c>
      <c r="I3670" t="s">
        <v>6689</v>
      </c>
      <c r="M3670" t="s">
        <v>1757</v>
      </c>
    </row>
    <row r="3671" spans="1:13" x14ac:dyDescent="0.45">
      <c r="A3671" t="s">
        <v>6690</v>
      </c>
      <c r="B3671">
        <v>2</v>
      </c>
      <c r="C3671" t="s">
        <v>1774</v>
      </c>
      <c r="G3671" s="3">
        <v>1774.3689723097359</v>
      </c>
      <c r="H3671" t="s">
        <v>1755</v>
      </c>
      <c r="I3671" t="s">
        <v>6690</v>
      </c>
      <c r="M3671" t="s">
        <v>1757</v>
      </c>
    </row>
    <row r="3672" spans="1:13" x14ac:dyDescent="0.45">
      <c r="A3672" t="s">
        <v>6691</v>
      </c>
      <c r="B3672">
        <v>1</v>
      </c>
      <c r="C3672" t="s">
        <v>1774</v>
      </c>
      <c r="G3672" s="3">
        <v>18917.069907571109</v>
      </c>
      <c r="H3672" t="s">
        <v>1755</v>
      </c>
      <c r="I3672" t="s">
        <v>6691</v>
      </c>
      <c r="M3672" t="s">
        <v>1757</v>
      </c>
    </row>
    <row r="3673" spans="1:13" x14ac:dyDescent="0.45">
      <c r="A3673" t="s">
        <v>6692</v>
      </c>
      <c r="B3673">
        <v>1</v>
      </c>
      <c r="C3673" t="s">
        <v>1774</v>
      </c>
      <c r="G3673" s="3">
        <v>10437.004086935791</v>
      </c>
      <c r="H3673" t="s">
        <v>1755</v>
      </c>
      <c r="I3673" t="s">
        <v>6692</v>
      </c>
      <c r="M3673" t="s">
        <v>1757</v>
      </c>
    </row>
    <row r="3674" spans="1:13" x14ac:dyDescent="0.45">
      <c r="A3674" t="s">
        <v>6693</v>
      </c>
      <c r="B3674">
        <v>1</v>
      </c>
      <c r="C3674" t="s">
        <v>1774</v>
      </c>
      <c r="G3674" s="3">
        <v>13372.41148638648</v>
      </c>
      <c r="H3674" t="s">
        <v>1755</v>
      </c>
      <c r="I3674" t="s">
        <v>6693</v>
      </c>
      <c r="M3674" t="s">
        <v>1757</v>
      </c>
    </row>
    <row r="3675" spans="1:13" x14ac:dyDescent="0.45">
      <c r="A3675" t="s">
        <v>6694</v>
      </c>
      <c r="B3675">
        <v>1</v>
      </c>
      <c r="C3675" t="s">
        <v>1774</v>
      </c>
      <c r="G3675" s="3">
        <v>21526.32092930506</v>
      </c>
      <c r="H3675" t="s">
        <v>1755</v>
      </c>
      <c r="I3675" t="s">
        <v>6694</v>
      </c>
      <c r="M3675" t="s">
        <v>1757</v>
      </c>
    </row>
    <row r="3676" spans="1:13" x14ac:dyDescent="0.45">
      <c r="A3676" t="s">
        <v>6695</v>
      </c>
      <c r="B3676">
        <v>2</v>
      </c>
      <c r="C3676" t="s">
        <v>1774</v>
      </c>
      <c r="G3676" s="3">
        <v>4924.961303522824</v>
      </c>
      <c r="H3676" t="s">
        <v>1755</v>
      </c>
      <c r="I3676" t="s">
        <v>6695</v>
      </c>
      <c r="M3676" t="s">
        <v>1757</v>
      </c>
    </row>
    <row r="3677" spans="1:13" x14ac:dyDescent="0.45">
      <c r="A3677" t="s">
        <v>6696</v>
      </c>
      <c r="B3677">
        <v>1</v>
      </c>
      <c r="C3677" t="s">
        <v>1774</v>
      </c>
      <c r="G3677" s="3">
        <v>13046.255108669729</v>
      </c>
      <c r="H3677" t="s">
        <v>1755</v>
      </c>
      <c r="I3677" t="s">
        <v>6696</v>
      </c>
      <c r="M3677" t="s">
        <v>1757</v>
      </c>
    </row>
    <row r="3678" spans="1:13" x14ac:dyDescent="0.45">
      <c r="A3678" t="s">
        <v>6697</v>
      </c>
      <c r="B3678">
        <v>1</v>
      </c>
      <c r="C3678" t="s">
        <v>1774</v>
      </c>
      <c r="G3678" s="3">
        <v>9001.9160249821161</v>
      </c>
      <c r="H3678" t="s">
        <v>1755</v>
      </c>
      <c r="I3678" t="s">
        <v>6697</v>
      </c>
      <c r="M3678" t="s">
        <v>1757</v>
      </c>
    </row>
    <row r="3679" spans="1:13" x14ac:dyDescent="0.45">
      <c r="A3679" t="s">
        <v>6698</v>
      </c>
      <c r="B3679">
        <v>1</v>
      </c>
      <c r="C3679" t="s">
        <v>1774</v>
      </c>
      <c r="G3679" s="3">
        <v>19243.226285287859</v>
      </c>
      <c r="H3679" t="s">
        <v>1755</v>
      </c>
      <c r="I3679" t="s">
        <v>6698</v>
      </c>
      <c r="M3679" t="s">
        <v>1757</v>
      </c>
    </row>
    <row r="3680" spans="1:13" x14ac:dyDescent="0.45">
      <c r="A3680" t="s">
        <v>6699</v>
      </c>
      <c r="B3680">
        <v>1</v>
      </c>
      <c r="C3680" t="s">
        <v>1774</v>
      </c>
      <c r="G3680" s="3">
        <v>26418.666595056209</v>
      </c>
      <c r="H3680" t="s">
        <v>1755</v>
      </c>
      <c r="I3680" t="s">
        <v>6699</v>
      </c>
      <c r="M3680" t="s">
        <v>1757</v>
      </c>
    </row>
    <row r="3681" spans="1:13" x14ac:dyDescent="0.45">
      <c r="A3681" t="s">
        <v>6700</v>
      </c>
      <c r="B3681">
        <v>1</v>
      </c>
      <c r="C3681" t="s">
        <v>1774</v>
      </c>
      <c r="G3681" s="3">
        <v>22178.63368473855</v>
      </c>
      <c r="H3681" t="s">
        <v>1755</v>
      </c>
      <c r="I3681" t="s">
        <v>6700</v>
      </c>
      <c r="M3681" t="s">
        <v>1757</v>
      </c>
    </row>
    <row r="3682" spans="1:13" x14ac:dyDescent="0.45">
      <c r="A3682" t="s">
        <v>6701</v>
      </c>
      <c r="B3682">
        <v>1</v>
      </c>
      <c r="C3682" t="s">
        <v>1774</v>
      </c>
      <c r="G3682" s="3">
        <v>19895.539040721342</v>
      </c>
      <c r="H3682" t="s">
        <v>1755</v>
      </c>
      <c r="I3682" t="s">
        <v>6701</v>
      </c>
      <c r="M3682" t="s">
        <v>1757</v>
      </c>
    </row>
    <row r="3683" spans="1:13" x14ac:dyDescent="0.45">
      <c r="A3683" t="s">
        <v>6702</v>
      </c>
      <c r="B3683">
        <v>1</v>
      </c>
      <c r="C3683" t="s">
        <v>1774</v>
      </c>
      <c r="G3683" s="3">
        <v>8382.2189073203044</v>
      </c>
      <c r="H3683" t="s">
        <v>1755</v>
      </c>
      <c r="I3683" t="s">
        <v>6702</v>
      </c>
      <c r="M3683" t="s">
        <v>1757</v>
      </c>
    </row>
    <row r="3684" spans="1:13" x14ac:dyDescent="0.45">
      <c r="A3684" t="s">
        <v>6703</v>
      </c>
      <c r="B3684">
        <v>1</v>
      </c>
      <c r="C3684" t="s">
        <v>1774</v>
      </c>
      <c r="G3684" s="3">
        <v>14285.64934399336</v>
      </c>
      <c r="H3684" t="s">
        <v>1755</v>
      </c>
      <c r="I3684" t="s">
        <v>6703</v>
      </c>
      <c r="M3684" t="s">
        <v>1757</v>
      </c>
    </row>
    <row r="3685" spans="1:13" x14ac:dyDescent="0.45">
      <c r="A3685" t="s">
        <v>6704</v>
      </c>
      <c r="B3685">
        <v>2</v>
      </c>
      <c r="C3685" t="s">
        <v>1774</v>
      </c>
      <c r="G3685" s="3">
        <v>13108.224820435909</v>
      </c>
      <c r="H3685" t="s">
        <v>1755</v>
      </c>
      <c r="I3685" t="s">
        <v>6704</v>
      </c>
      <c r="M3685" t="s">
        <v>1757</v>
      </c>
    </row>
    <row r="3686" spans="1:13" x14ac:dyDescent="0.45">
      <c r="A3686" t="s">
        <v>6705</v>
      </c>
      <c r="B3686">
        <v>1</v>
      </c>
      <c r="C3686" t="s">
        <v>1774</v>
      </c>
      <c r="G3686" s="3">
        <v>5740.3522478146824</v>
      </c>
      <c r="H3686" t="s">
        <v>1755</v>
      </c>
      <c r="I3686" t="s">
        <v>6705</v>
      </c>
      <c r="M3686" t="s">
        <v>1757</v>
      </c>
    </row>
    <row r="3687" spans="1:13" x14ac:dyDescent="0.45">
      <c r="A3687" t="s">
        <v>6706</v>
      </c>
      <c r="B3687">
        <v>1</v>
      </c>
      <c r="C3687" t="s">
        <v>1774</v>
      </c>
      <c r="G3687" s="3">
        <v>16209.97197252214</v>
      </c>
      <c r="H3687" t="s">
        <v>1755</v>
      </c>
      <c r="I3687" t="s">
        <v>6706</v>
      </c>
      <c r="M3687" t="s">
        <v>1757</v>
      </c>
    </row>
    <row r="3688" spans="1:13" x14ac:dyDescent="0.45">
      <c r="A3688" t="s">
        <v>6707</v>
      </c>
      <c r="B3688">
        <v>1</v>
      </c>
      <c r="C3688" t="s">
        <v>1774</v>
      </c>
      <c r="G3688" s="3">
        <v>4240.0329103176637</v>
      </c>
      <c r="H3688" t="s">
        <v>1755</v>
      </c>
      <c r="I3688" t="s">
        <v>6707</v>
      </c>
      <c r="M3688" t="s">
        <v>1757</v>
      </c>
    </row>
    <row r="3689" spans="1:13" x14ac:dyDescent="0.45">
      <c r="A3689" t="s">
        <v>6708</v>
      </c>
      <c r="B3689">
        <v>1</v>
      </c>
      <c r="C3689" t="s">
        <v>1774</v>
      </c>
      <c r="G3689" s="3">
        <v>21852.4773070218</v>
      </c>
      <c r="H3689" t="s">
        <v>1755</v>
      </c>
      <c r="I3689" t="s">
        <v>6708</v>
      </c>
      <c r="M3689" t="s">
        <v>1757</v>
      </c>
    </row>
    <row r="3690" spans="1:13" x14ac:dyDescent="0.45">
      <c r="A3690" t="s">
        <v>6709</v>
      </c>
      <c r="B3690">
        <v>1</v>
      </c>
      <c r="C3690" t="s">
        <v>1774</v>
      </c>
      <c r="G3690" s="3">
        <v>20613.08307169818</v>
      </c>
      <c r="H3690" t="s">
        <v>1755</v>
      </c>
      <c r="I3690" t="s">
        <v>6709</v>
      </c>
      <c r="M3690" t="s">
        <v>1757</v>
      </c>
    </row>
    <row r="3691" spans="1:13" x14ac:dyDescent="0.45">
      <c r="A3691" t="s">
        <v>6710</v>
      </c>
      <c r="B3691">
        <v>1</v>
      </c>
      <c r="C3691" t="s">
        <v>1774</v>
      </c>
      <c r="G3691" s="3">
        <v>8480.0658206353273</v>
      </c>
      <c r="H3691" t="s">
        <v>1755</v>
      </c>
      <c r="I3691" t="s">
        <v>6710</v>
      </c>
      <c r="M3691" t="s">
        <v>1757</v>
      </c>
    </row>
    <row r="3692" spans="1:13" x14ac:dyDescent="0.45">
      <c r="A3692" t="s">
        <v>6711</v>
      </c>
      <c r="B3692">
        <v>1</v>
      </c>
      <c r="C3692" t="s">
        <v>1774</v>
      </c>
      <c r="G3692" s="3">
        <v>9915.1538825889966</v>
      </c>
      <c r="H3692" t="s">
        <v>1755</v>
      </c>
      <c r="I3692" t="s">
        <v>6711</v>
      </c>
      <c r="M3692" t="s">
        <v>1757</v>
      </c>
    </row>
    <row r="3693" spans="1:13" x14ac:dyDescent="0.45">
      <c r="A3693" t="s">
        <v>6712</v>
      </c>
      <c r="B3693">
        <v>1</v>
      </c>
      <c r="C3693" t="s">
        <v>1774</v>
      </c>
      <c r="G3693" s="3">
        <v>12720.09873095299</v>
      </c>
      <c r="H3693" t="s">
        <v>1755</v>
      </c>
      <c r="I3693" t="s">
        <v>6712</v>
      </c>
      <c r="M3693" t="s">
        <v>1757</v>
      </c>
    </row>
    <row r="3694" spans="1:13" x14ac:dyDescent="0.45">
      <c r="A3694" t="s">
        <v>6713</v>
      </c>
      <c r="B3694">
        <v>1</v>
      </c>
      <c r="C3694" t="s">
        <v>1774</v>
      </c>
      <c r="G3694" s="3">
        <v>2971.2846009995319</v>
      </c>
      <c r="H3694" t="s">
        <v>1755</v>
      </c>
      <c r="I3694" t="s">
        <v>6713</v>
      </c>
      <c r="M3694" t="s">
        <v>1757</v>
      </c>
    </row>
    <row r="3695" spans="1:13" x14ac:dyDescent="0.45">
      <c r="A3695" t="s">
        <v>6714</v>
      </c>
      <c r="B3695">
        <v>1</v>
      </c>
      <c r="C3695" t="s">
        <v>1774</v>
      </c>
      <c r="G3695" s="3">
        <v>10502.235362479139</v>
      </c>
      <c r="H3695" t="s">
        <v>1755</v>
      </c>
      <c r="I3695" t="s">
        <v>6714</v>
      </c>
      <c r="M3695" t="s">
        <v>1757</v>
      </c>
    </row>
    <row r="3696" spans="1:13" x14ac:dyDescent="0.45">
      <c r="A3696" t="s">
        <v>6715</v>
      </c>
      <c r="B3696">
        <v>1</v>
      </c>
      <c r="C3696" t="s">
        <v>1774</v>
      </c>
      <c r="G3696" s="3">
        <v>20547.851796154831</v>
      </c>
      <c r="H3696" t="s">
        <v>1755</v>
      </c>
      <c r="I3696" t="s">
        <v>6715</v>
      </c>
      <c r="M3696" t="s">
        <v>1757</v>
      </c>
    </row>
    <row r="3697" spans="1:13" x14ac:dyDescent="0.45">
      <c r="A3697" t="s">
        <v>6716</v>
      </c>
      <c r="B3697">
        <v>1</v>
      </c>
      <c r="C3697" t="s">
        <v>1774</v>
      </c>
      <c r="G3697" s="3">
        <v>22504.790062455289</v>
      </c>
      <c r="H3697" t="s">
        <v>1755</v>
      </c>
      <c r="I3697" t="s">
        <v>6716</v>
      </c>
      <c r="M3697" t="s">
        <v>1757</v>
      </c>
    </row>
    <row r="3698" spans="1:13" x14ac:dyDescent="0.45">
      <c r="A3698" t="s">
        <v>6717</v>
      </c>
      <c r="B3698">
        <v>1</v>
      </c>
      <c r="C3698" t="s">
        <v>1774</v>
      </c>
      <c r="G3698" s="3">
        <v>11415.47322008602</v>
      </c>
      <c r="H3698" t="s">
        <v>1755</v>
      </c>
      <c r="I3698" t="s">
        <v>6717</v>
      </c>
      <c r="M3698" t="s">
        <v>1757</v>
      </c>
    </row>
    <row r="3699" spans="1:13" x14ac:dyDescent="0.45">
      <c r="A3699" t="s">
        <v>6718</v>
      </c>
      <c r="B3699">
        <v>1</v>
      </c>
      <c r="C3699" t="s">
        <v>1774</v>
      </c>
      <c r="G3699" s="3">
        <v>12002.55469997615</v>
      </c>
      <c r="H3699" t="s">
        <v>1755</v>
      </c>
      <c r="I3699" t="s">
        <v>6718</v>
      </c>
      <c r="M3699" t="s">
        <v>1757</v>
      </c>
    </row>
    <row r="3700" spans="1:13" x14ac:dyDescent="0.45">
      <c r="A3700" t="s">
        <v>6719</v>
      </c>
      <c r="B3700">
        <v>1</v>
      </c>
      <c r="C3700" t="s">
        <v>1774</v>
      </c>
      <c r="G3700" s="3">
        <v>25211.887997504258</v>
      </c>
      <c r="H3700" t="s">
        <v>1755</v>
      </c>
      <c r="I3700" t="s">
        <v>6719</v>
      </c>
      <c r="M3700" t="s">
        <v>1757</v>
      </c>
    </row>
    <row r="3701" spans="1:13" x14ac:dyDescent="0.45">
      <c r="A3701" t="s">
        <v>6720</v>
      </c>
      <c r="B3701">
        <v>1</v>
      </c>
      <c r="C3701" t="s">
        <v>1774</v>
      </c>
      <c r="G3701" s="3">
        <v>6131.7399010747749</v>
      </c>
      <c r="H3701" t="s">
        <v>1755</v>
      </c>
      <c r="I3701" t="s">
        <v>6720</v>
      </c>
      <c r="M3701" t="s">
        <v>1757</v>
      </c>
    </row>
    <row r="3702" spans="1:13" x14ac:dyDescent="0.45">
      <c r="A3702" t="s">
        <v>6721</v>
      </c>
      <c r="B3702">
        <v>2</v>
      </c>
      <c r="C3702" t="s">
        <v>1774</v>
      </c>
      <c r="G3702" s="3">
        <v>20874.008173871571</v>
      </c>
      <c r="H3702" t="s">
        <v>1755</v>
      </c>
      <c r="I3702" t="s">
        <v>6721</v>
      </c>
      <c r="M3702" t="s">
        <v>1757</v>
      </c>
    </row>
    <row r="3703" spans="1:13" x14ac:dyDescent="0.45">
      <c r="A3703" t="s">
        <v>6722</v>
      </c>
      <c r="B3703">
        <v>1</v>
      </c>
      <c r="C3703" t="s">
        <v>1774</v>
      </c>
      <c r="G3703" s="3">
        <v>23013.594011693411</v>
      </c>
      <c r="H3703" t="s">
        <v>1755</v>
      </c>
      <c r="I3703" t="s">
        <v>6722</v>
      </c>
      <c r="M3703" t="s">
        <v>1757</v>
      </c>
    </row>
    <row r="3704" spans="1:13" x14ac:dyDescent="0.45">
      <c r="A3704" t="s">
        <v>6723</v>
      </c>
      <c r="B3704">
        <v>1</v>
      </c>
      <c r="C3704" t="s">
        <v>1774</v>
      </c>
      <c r="G3704" s="3">
        <v>26744.822972772949</v>
      </c>
      <c r="H3704" t="s">
        <v>1755</v>
      </c>
      <c r="I3704" t="s">
        <v>6723</v>
      </c>
      <c r="M3704" t="s">
        <v>1757</v>
      </c>
    </row>
    <row r="3705" spans="1:13" x14ac:dyDescent="0.45">
      <c r="A3705" t="s">
        <v>6724</v>
      </c>
      <c r="B3705">
        <v>1</v>
      </c>
      <c r="C3705" t="s">
        <v>1774</v>
      </c>
      <c r="G3705" s="3">
        <v>3913.8765326009202</v>
      </c>
      <c r="H3705" t="s">
        <v>1755</v>
      </c>
      <c r="I3705" t="s">
        <v>6724</v>
      </c>
      <c r="M3705" t="s">
        <v>1757</v>
      </c>
    </row>
    <row r="3706" spans="1:13" x14ac:dyDescent="0.45">
      <c r="A3706" t="s">
        <v>6725</v>
      </c>
      <c r="B3706">
        <v>1</v>
      </c>
      <c r="C3706" t="s">
        <v>1774</v>
      </c>
      <c r="G3706" s="3">
        <v>10763.16046465253</v>
      </c>
      <c r="H3706" t="s">
        <v>1755</v>
      </c>
      <c r="I3706" t="s">
        <v>6725</v>
      </c>
      <c r="M3706" t="s">
        <v>1757</v>
      </c>
    </row>
    <row r="3707" spans="1:13" x14ac:dyDescent="0.45">
      <c r="A3707" t="s">
        <v>6726</v>
      </c>
      <c r="B3707">
        <v>1</v>
      </c>
      <c r="C3707" t="s">
        <v>1774</v>
      </c>
      <c r="G3707" s="3">
        <v>10763.16046465253</v>
      </c>
      <c r="H3707" t="s">
        <v>1755</v>
      </c>
      <c r="I3707" t="s">
        <v>6726</v>
      </c>
      <c r="M3707" t="s">
        <v>1757</v>
      </c>
    </row>
    <row r="3708" spans="1:13" x14ac:dyDescent="0.45">
      <c r="A3708" t="s">
        <v>6727</v>
      </c>
      <c r="B3708">
        <v>1</v>
      </c>
      <c r="C3708" t="s">
        <v>1774</v>
      </c>
      <c r="G3708" s="3">
        <v>13796.41477741824</v>
      </c>
      <c r="H3708" t="s">
        <v>1755</v>
      </c>
      <c r="I3708" t="s">
        <v>6727</v>
      </c>
      <c r="M3708" t="s">
        <v>1757</v>
      </c>
    </row>
    <row r="3709" spans="1:13" x14ac:dyDescent="0.45">
      <c r="A3709" t="s">
        <v>6728</v>
      </c>
      <c r="B3709">
        <v>1</v>
      </c>
      <c r="C3709" t="s">
        <v>1774</v>
      </c>
      <c r="G3709" s="3">
        <v>21852.4773070218</v>
      </c>
      <c r="H3709" t="s">
        <v>1755</v>
      </c>
      <c r="I3709" t="s">
        <v>6728</v>
      </c>
      <c r="M3709" t="s">
        <v>1757</v>
      </c>
    </row>
    <row r="3710" spans="1:13" x14ac:dyDescent="0.45">
      <c r="A3710" t="s">
        <v>6729</v>
      </c>
      <c r="B3710">
        <v>1</v>
      </c>
      <c r="C3710" t="s">
        <v>1774</v>
      </c>
      <c r="G3710" s="3">
        <v>23059.255904573751</v>
      </c>
      <c r="H3710" t="s">
        <v>1755</v>
      </c>
      <c r="I3710" t="s">
        <v>6729</v>
      </c>
      <c r="M3710" t="s">
        <v>1757</v>
      </c>
    </row>
    <row r="3711" spans="1:13" x14ac:dyDescent="0.45">
      <c r="A3711" t="s">
        <v>6730</v>
      </c>
      <c r="B3711">
        <v>1</v>
      </c>
      <c r="C3711" t="s">
        <v>1774</v>
      </c>
      <c r="G3711" s="3">
        <v>14024.72424181996</v>
      </c>
      <c r="H3711" t="s">
        <v>1755</v>
      </c>
      <c r="I3711" t="s">
        <v>6730</v>
      </c>
      <c r="M3711" t="s">
        <v>1757</v>
      </c>
    </row>
    <row r="3712" spans="1:13" x14ac:dyDescent="0.45">
      <c r="A3712" t="s">
        <v>6731</v>
      </c>
      <c r="B3712">
        <v>1</v>
      </c>
      <c r="C3712" t="s">
        <v>1774</v>
      </c>
      <c r="G3712" s="3">
        <v>25603.27565076435</v>
      </c>
      <c r="H3712" t="s">
        <v>1755</v>
      </c>
      <c r="I3712" t="s">
        <v>6731</v>
      </c>
      <c r="M3712" t="s">
        <v>1757</v>
      </c>
    </row>
    <row r="3713" spans="1:13" x14ac:dyDescent="0.45">
      <c r="A3713" t="s">
        <v>6732</v>
      </c>
      <c r="B3713">
        <v>1</v>
      </c>
      <c r="C3713" t="s">
        <v>1774</v>
      </c>
      <c r="G3713" s="3">
        <v>21200.164551588321</v>
      </c>
      <c r="H3713" t="s">
        <v>1755</v>
      </c>
      <c r="I3713" t="s">
        <v>6732</v>
      </c>
      <c r="M3713" t="s">
        <v>1757</v>
      </c>
    </row>
    <row r="3714" spans="1:13" x14ac:dyDescent="0.45">
      <c r="A3714" t="s">
        <v>6733</v>
      </c>
      <c r="B3714">
        <v>1</v>
      </c>
      <c r="C3714" t="s">
        <v>1774</v>
      </c>
      <c r="G3714" s="3">
        <v>11121.932480140949</v>
      </c>
      <c r="H3714" t="s">
        <v>1755</v>
      </c>
      <c r="I3714" t="s">
        <v>6733</v>
      </c>
      <c r="M3714" t="s">
        <v>1757</v>
      </c>
    </row>
    <row r="3715" spans="1:13" x14ac:dyDescent="0.45">
      <c r="A3715" t="s">
        <v>6734</v>
      </c>
      <c r="B3715">
        <v>1</v>
      </c>
      <c r="C3715" t="s">
        <v>1774</v>
      </c>
      <c r="G3715" s="3">
        <v>12165.632888834531</v>
      </c>
      <c r="H3715" t="s">
        <v>1755</v>
      </c>
      <c r="I3715" t="s">
        <v>6734</v>
      </c>
      <c r="M3715" t="s">
        <v>1757</v>
      </c>
    </row>
    <row r="3716" spans="1:13" x14ac:dyDescent="0.45">
      <c r="A3716" t="s">
        <v>6735</v>
      </c>
      <c r="B3716">
        <v>1</v>
      </c>
      <c r="C3716" t="s">
        <v>1774</v>
      </c>
      <c r="G3716" s="3">
        <v>26483.897870599561</v>
      </c>
      <c r="H3716" t="s">
        <v>1755</v>
      </c>
      <c r="I3716" t="s">
        <v>6735</v>
      </c>
      <c r="M3716" t="s">
        <v>1757</v>
      </c>
    </row>
    <row r="3717" spans="1:13" x14ac:dyDescent="0.45">
      <c r="A3717" t="s">
        <v>6736</v>
      </c>
      <c r="B3717">
        <v>1</v>
      </c>
      <c r="C3717" t="s">
        <v>1774</v>
      </c>
      <c r="G3717" s="3">
        <v>22080.786771423522</v>
      </c>
      <c r="H3717" t="s">
        <v>1755</v>
      </c>
      <c r="I3717" t="s">
        <v>6736</v>
      </c>
      <c r="M3717" t="s">
        <v>1757</v>
      </c>
    </row>
    <row r="3718" spans="1:13" x14ac:dyDescent="0.45">
      <c r="A3718" t="s">
        <v>6737</v>
      </c>
      <c r="B3718">
        <v>1</v>
      </c>
      <c r="C3718" t="s">
        <v>1774</v>
      </c>
      <c r="G3718" s="3">
        <v>12752.714368724661</v>
      </c>
      <c r="H3718" t="s">
        <v>1755</v>
      </c>
      <c r="I3718" t="s">
        <v>6737</v>
      </c>
      <c r="M3718" t="s">
        <v>1757</v>
      </c>
    </row>
    <row r="3719" spans="1:13" x14ac:dyDescent="0.45">
      <c r="A3719" t="s">
        <v>6738</v>
      </c>
      <c r="B3719">
        <v>1</v>
      </c>
      <c r="C3719" t="s">
        <v>1774</v>
      </c>
      <c r="H3719" t="s">
        <v>1755</v>
      </c>
      <c r="I3719" t="s">
        <v>6738</v>
      </c>
      <c r="M3719" t="s">
        <v>1757</v>
      </c>
    </row>
    <row r="3720" spans="1:13" x14ac:dyDescent="0.45">
      <c r="A3720" t="s">
        <v>6739</v>
      </c>
      <c r="B3720">
        <v>1</v>
      </c>
      <c r="C3720" t="s">
        <v>1774</v>
      </c>
      <c r="G3720" s="3">
        <v>10045.61643367569</v>
      </c>
      <c r="H3720" t="s">
        <v>1755</v>
      </c>
      <c r="I3720" t="s">
        <v>6739</v>
      </c>
      <c r="M3720" t="s">
        <v>1757</v>
      </c>
    </row>
    <row r="3721" spans="1:13" x14ac:dyDescent="0.45">
      <c r="A3721" t="s">
        <v>6740</v>
      </c>
      <c r="B3721">
        <v>1</v>
      </c>
      <c r="C3721" t="s">
        <v>1774</v>
      </c>
      <c r="G3721" s="3">
        <v>19275.841923059528</v>
      </c>
      <c r="H3721" t="s">
        <v>1755</v>
      </c>
      <c r="I3721" t="s">
        <v>6740</v>
      </c>
      <c r="M3721" t="s">
        <v>1757</v>
      </c>
    </row>
    <row r="3722" spans="1:13" x14ac:dyDescent="0.45">
      <c r="A3722" t="s">
        <v>6741</v>
      </c>
      <c r="B3722">
        <v>1</v>
      </c>
      <c r="C3722" t="s">
        <v>1774</v>
      </c>
      <c r="G3722" s="3">
        <v>21134.933276044969</v>
      </c>
      <c r="H3722" t="s">
        <v>1755</v>
      </c>
      <c r="I3722" t="s">
        <v>6741</v>
      </c>
      <c r="M3722" t="s">
        <v>1757</v>
      </c>
    </row>
    <row r="3723" spans="1:13" x14ac:dyDescent="0.45">
      <c r="A3723" t="s">
        <v>6742</v>
      </c>
      <c r="B3723">
        <v>1</v>
      </c>
      <c r="C3723" t="s">
        <v>1774</v>
      </c>
      <c r="G3723" s="3">
        <v>15345.65757157277</v>
      </c>
      <c r="H3723" t="s">
        <v>1755</v>
      </c>
      <c r="I3723" t="s">
        <v>6742</v>
      </c>
      <c r="M3723" t="s">
        <v>1757</v>
      </c>
    </row>
    <row r="3724" spans="1:13" x14ac:dyDescent="0.45">
      <c r="A3724" t="s">
        <v>6743</v>
      </c>
      <c r="B3724">
        <v>1</v>
      </c>
      <c r="C3724" t="s">
        <v>1774</v>
      </c>
      <c r="G3724" s="3">
        <v>25635.89128853603</v>
      </c>
      <c r="H3724" t="s">
        <v>1755</v>
      </c>
      <c r="I3724" t="s">
        <v>6743</v>
      </c>
      <c r="M3724" t="s">
        <v>1757</v>
      </c>
    </row>
    <row r="3725" spans="1:13" x14ac:dyDescent="0.45">
      <c r="A3725" t="s">
        <v>6744</v>
      </c>
      <c r="B3725">
        <v>1</v>
      </c>
      <c r="C3725" t="s">
        <v>1774</v>
      </c>
      <c r="G3725" s="3">
        <v>19292.14974194537</v>
      </c>
      <c r="H3725" t="s">
        <v>1755</v>
      </c>
      <c r="I3725" t="s">
        <v>6744</v>
      </c>
      <c r="M3725" t="s">
        <v>1757</v>
      </c>
    </row>
    <row r="3726" spans="1:13" x14ac:dyDescent="0.45">
      <c r="A3726" t="s">
        <v>6745</v>
      </c>
      <c r="B3726">
        <v>1</v>
      </c>
      <c r="C3726" t="s">
        <v>1774</v>
      </c>
      <c r="G3726" s="3">
        <v>16960.131641270651</v>
      </c>
      <c r="H3726" t="s">
        <v>1755</v>
      </c>
      <c r="I3726" t="s">
        <v>6745</v>
      </c>
      <c r="M3726" t="s">
        <v>1757</v>
      </c>
    </row>
    <row r="3727" spans="1:13" x14ac:dyDescent="0.45">
      <c r="A3727" t="s">
        <v>6746</v>
      </c>
      <c r="B3727">
        <v>1</v>
      </c>
      <c r="C3727" t="s">
        <v>1774</v>
      </c>
      <c r="G3727" s="3">
        <v>24559.575242070769</v>
      </c>
      <c r="H3727" t="s">
        <v>1755</v>
      </c>
      <c r="I3727" t="s">
        <v>6746</v>
      </c>
      <c r="M3727" t="s">
        <v>1757</v>
      </c>
    </row>
    <row r="3728" spans="1:13" x14ac:dyDescent="0.45">
      <c r="A3728" t="s">
        <v>6747</v>
      </c>
      <c r="B3728">
        <v>1</v>
      </c>
      <c r="C3728" t="s">
        <v>1774</v>
      </c>
      <c r="G3728" s="3">
        <v>18917.069907571109</v>
      </c>
      <c r="H3728" t="s">
        <v>1755</v>
      </c>
      <c r="I3728" t="s">
        <v>6747</v>
      </c>
      <c r="M3728" t="s">
        <v>1757</v>
      </c>
    </row>
    <row r="3729" spans="1:13" x14ac:dyDescent="0.45">
      <c r="A3729" t="s">
        <v>6748</v>
      </c>
      <c r="B3729">
        <v>1</v>
      </c>
      <c r="C3729" t="s">
        <v>1774</v>
      </c>
      <c r="G3729" s="3">
        <v>12883.17691981136</v>
      </c>
      <c r="H3729" t="s">
        <v>1755</v>
      </c>
      <c r="I3729" t="s">
        <v>6748</v>
      </c>
      <c r="M3729" t="s">
        <v>1757</v>
      </c>
    </row>
    <row r="3730" spans="1:13" x14ac:dyDescent="0.45">
      <c r="A3730" t="s">
        <v>6749</v>
      </c>
      <c r="B3730">
        <v>1</v>
      </c>
      <c r="C3730" t="s">
        <v>1774</v>
      </c>
      <c r="G3730" s="3">
        <v>21624.167842620082</v>
      </c>
      <c r="H3730" t="s">
        <v>1755</v>
      </c>
      <c r="I3730" t="s">
        <v>6749</v>
      </c>
      <c r="M3730" t="s">
        <v>1757</v>
      </c>
    </row>
    <row r="3731" spans="1:13" x14ac:dyDescent="0.45">
      <c r="A3731" t="s">
        <v>6750</v>
      </c>
      <c r="B3731">
        <v>1</v>
      </c>
      <c r="C3731" t="s">
        <v>1774</v>
      </c>
      <c r="G3731" s="3">
        <v>18493.066616539341</v>
      </c>
      <c r="H3731" t="s">
        <v>1755</v>
      </c>
      <c r="I3731" t="s">
        <v>6750</v>
      </c>
      <c r="M3731" t="s">
        <v>1757</v>
      </c>
    </row>
    <row r="3732" spans="1:13" x14ac:dyDescent="0.45">
      <c r="A3732" t="s">
        <v>6751</v>
      </c>
      <c r="B3732">
        <v>1</v>
      </c>
      <c r="C3732" t="s">
        <v>1774</v>
      </c>
      <c r="G3732" s="3">
        <v>23646.337384463892</v>
      </c>
      <c r="H3732" t="s">
        <v>1755</v>
      </c>
      <c r="I3732" t="s">
        <v>6751</v>
      </c>
      <c r="M3732" t="s">
        <v>1757</v>
      </c>
    </row>
    <row r="3733" spans="1:13" x14ac:dyDescent="0.45">
      <c r="A3733" t="s">
        <v>6752</v>
      </c>
      <c r="B3733">
        <v>1</v>
      </c>
      <c r="C3733" t="s">
        <v>1774</v>
      </c>
      <c r="H3733" t="s">
        <v>1755</v>
      </c>
      <c r="I3733" t="s">
        <v>6752</v>
      </c>
      <c r="M3733" t="s">
        <v>1757</v>
      </c>
    </row>
    <row r="3734" spans="1:13" x14ac:dyDescent="0.45">
      <c r="A3734" t="s">
        <v>6753</v>
      </c>
      <c r="B3734">
        <v>1</v>
      </c>
      <c r="C3734" t="s">
        <v>1774</v>
      </c>
      <c r="G3734" s="3">
        <v>19667.22957631962</v>
      </c>
      <c r="H3734" t="s">
        <v>1755</v>
      </c>
      <c r="I3734" t="s">
        <v>6753</v>
      </c>
      <c r="M3734" t="s">
        <v>1757</v>
      </c>
    </row>
    <row r="3735" spans="1:13" x14ac:dyDescent="0.45">
      <c r="A3735" t="s">
        <v>6754</v>
      </c>
      <c r="B3735">
        <v>1</v>
      </c>
      <c r="C3735" t="s">
        <v>1774</v>
      </c>
      <c r="G3735" s="3">
        <v>25081.425446417561</v>
      </c>
      <c r="H3735" t="s">
        <v>1755</v>
      </c>
      <c r="I3735" t="s">
        <v>6754</v>
      </c>
      <c r="M3735" t="s">
        <v>1757</v>
      </c>
    </row>
    <row r="3736" spans="1:13" x14ac:dyDescent="0.45">
      <c r="A3736" t="s">
        <v>6755</v>
      </c>
      <c r="B3736">
        <v>1</v>
      </c>
      <c r="C3736" t="s">
        <v>1774</v>
      </c>
      <c r="G3736" s="3">
        <v>12817.945644268009</v>
      </c>
      <c r="H3736" t="s">
        <v>1755</v>
      </c>
      <c r="I3736" t="s">
        <v>6755</v>
      </c>
      <c r="M3736" t="s">
        <v>1757</v>
      </c>
    </row>
    <row r="3737" spans="1:13" x14ac:dyDescent="0.45">
      <c r="A3737" t="s">
        <v>6756</v>
      </c>
      <c r="B3737">
        <v>1</v>
      </c>
      <c r="C3737" t="s">
        <v>1774</v>
      </c>
      <c r="G3737" s="3">
        <v>2804.9448483639931</v>
      </c>
      <c r="H3737" t="s">
        <v>1755</v>
      </c>
      <c r="I3737" t="s">
        <v>6756</v>
      </c>
      <c r="M3737" t="s">
        <v>1757</v>
      </c>
    </row>
    <row r="3738" spans="1:13" x14ac:dyDescent="0.45">
      <c r="A3738" t="s">
        <v>6757</v>
      </c>
      <c r="B3738">
        <v>1</v>
      </c>
      <c r="C3738" t="s">
        <v>1774</v>
      </c>
      <c r="G3738" s="3">
        <v>24429.112690984079</v>
      </c>
      <c r="H3738" t="s">
        <v>1755</v>
      </c>
      <c r="I3738" t="s">
        <v>6757</v>
      </c>
      <c r="M3738" t="s">
        <v>1757</v>
      </c>
    </row>
    <row r="3739" spans="1:13" x14ac:dyDescent="0.45">
      <c r="A3739" t="s">
        <v>6758</v>
      </c>
      <c r="B3739">
        <v>1</v>
      </c>
      <c r="C3739" t="s">
        <v>1774</v>
      </c>
      <c r="G3739" s="3">
        <v>23776.799935550589</v>
      </c>
      <c r="H3739" t="s">
        <v>1755</v>
      </c>
      <c r="I3739" t="s">
        <v>6758</v>
      </c>
      <c r="M3739" t="s">
        <v>1757</v>
      </c>
    </row>
    <row r="3740" spans="1:13" x14ac:dyDescent="0.45">
      <c r="A3740" t="s">
        <v>6759</v>
      </c>
      <c r="B3740">
        <v>1</v>
      </c>
      <c r="C3740" t="s">
        <v>1774</v>
      </c>
      <c r="G3740" s="3">
        <v>20874.008173871571</v>
      </c>
      <c r="H3740" t="s">
        <v>1755</v>
      </c>
      <c r="I3740" t="s">
        <v>6759</v>
      </c>
      <c r="M3740" t="s">
        <v>1757</v>
      </c>
    </row>
    <row r="3741" spans="1:13" x14ac:dyDescent="0.45">
      <c r="A3741" t="s">
        <v>6760</v>
      </c>
      <c r="B3741">
        <v>1</v>
      </c>
      <c r="C3741" t="s">
        <v>1774</v>
      </c>
      <c r="G3741" s="3">
        <v>21330.627102675011</v>
      </c>
      <c r="H3741" t="s">
        <v>1755</v>
      </c>
      <c r="I3741" t="s">
        <v>6760</v>
      </c>
      <c r="M3741" t="s">
        <v>1757</v>
      </c>
    </row>
    <row r="3742" spans="1:13" x14ac:dyDescent="0.45">
      <c r="A3742" t="s">
        <v>6761</v>
      </c>
      <c r="B3742">
        <v>1</v>
      </c>
      <c r="C3742" t="s">
        <v>1774</v>
      </c>
      <c r="G3742" s="3">
        <v>25114.041084189241</v>
      </c>
      <c r="H3742" t="s">
        <v>1755</v>
      </c>
      <c r="I3742" t="s">
        <v>6761</v>
      </c>
      <c r="M3742" t="s">
        <v>1757</v>
      </c>
    </row>
    <row r="3743" spans="1:13" x14ac:dyDescent="0.45">
      <c r="A3743" t="s">
        <v>6762</v>
      </c>
      <c r="B3743">
        <v>1</v>
      </c>
      <c r="C3743" t="s">
        <v>1774</v>
      </c>
      <c r="G3743" s="3">
        <v>18264.75715213763</v>
      </c>
      <c r="H3743" t="s">
        <v>1755</v>
      </c>
      <c r="I3743" t="s">
        <v>6762</v>
      </c>
      <c r="M3743" t="s">
        <v>1757</v>
      </c>
    </row>
    <row r="3744" spans="1:13" x14ac:dyDescent="0.45">
      <c r="A3744" t="s">
        <v>6763</v>
      </c>
      <c r="B3744">
        <v>1</v>
      </c>
      <c r="C3744" t="s">
        <v>1774</v>
      </c>
      <c r="G3744" s="3">
        <v>22830.946440172029</v>
      </c>
      <c r="H3744" t="s">
        <v>1755</v>
      </c>
      <c r="I3744" t="s">
        <v>6763</v>
      </c>
      <c r="M3744" t="s">
        <v>1757</v>
      </c>
    </row>
    <row r="3745" spans="1:13" x14ac:dyDescent="0.45">
      <c r="A3745" t="s">
        <v>6764</v>
      </c>
      <c r="B3745">
        <v>1</v>
      </c>
      <c r="C3745" t="s">
        <v>1774</v>
      </c>
      <c r="G3745" s="3">
        <v>2521.1887997504259</v>
      </c>
      <c r="H3745" t="s">
        <v>1755</v>
      </c>
      <c r="I3745" t="s">
        <v>6764</v>
      </c>
      <c r="M3745" t="s">
        <v>1757</v>
      </c>
    </row>
    <row r="3746" spans="1:13" x14ac:dyDescent="0.45">
      <c r="A3746" t="s">
        <v>6765</v>
      </c>
      <c r="B3746">
        <v>1</v>
      </c>
      <c r="C3746" t="s">
        <v>1774</v>
      </c>
      <c r="G3746" s="3">
        <v>23026.640266802078</v>
      </c>
      <c r="H3746" t="s">
        <v>1755</v>
      </c>
      <c r="I3746" t="s">
        <v>6765</v>
      </c>
      <c r="M3746" t="s">
        <v>1757</v>
      </c>
    </row>
    <row r="3747" spans="1:13" x14ac:dyDescent="0.45">
      <c r="A3747" t="s">
        <v>6766</v>
      </c>
      <c r="B3747">
        <v>1</v>
      </c>
      <c r="C3747" t="s">
        <v>1774</v>
      </c>
      <c r="G3747" s="3">
        <v>18427.835340996</v>
      </c>
      <c r="H3747" t="s">
        <v>1755</v>
      </c>
      <c r="I3747" t="s">
        <v>6766</v>
      </c>
      <c r="M3747" t="s">
        <v>1757</v>
      </c>
    </row>
    <row r="3748" spans="1:13" x14ac:dyDescent="0.45">
      <c r="A3748" t="s">
        <v>6767</v>
      </c>
      <c r="B3748">
        <v>1</v>
      </c>
      <c r="C3748" t="s">
        <v>1774</v>
      </c>
      <c r="G3748" s="3">
        <v>24722.653430929149</v>
      </c>
      <c r="H3748" t="s">
        <v>1755</v>
      </c>
      <c r="I3748" t="s">
        <v>6767</v>
      </c>
      <c r="M3748" t="s">
        <v>1757</v>
      </c>
    </row>
    <row r="3749" spans="1:13" x14ac:dyDescent="0.45">
      <c r="A3749" t="s">
        <v>6768</v>
      </c>
      <c r="B3749">
        <v>1</v>
      </c>
      <c r="C3749" t="s">
        <v>1774</v>
      </c>
      <c r="G3749" s="3">
        <v>10437.004086935791</v>
      </c>
      <c r="H3749" t="s">
        <v>1755</v>
      </c>
      <c r="I3749" t="s">
        <v>6768</v>
      </c>
      <c r="M3749" t="s">
        <v>1757</v>
      </c>
    </row>
    <row r="3750" spans="1:13" x14ac:dyDescent="0.45">
      <c r="A3750" t="s">
        <v>6769</v>
      </c>
      <c r="B3750">
        <v>1</v>
      </c>
      <c r="C3750" t="s">
        <v>1774</v>
      </c>
      <c r="G3750" s="3">
        <v>13209.333297528099</v>
      </c>
      <c r="H3750" t="s">
        <v>1755</v>
      </c>
      <c r="I3750" t="s">
        <v>6769</v>
      </c>
      <c r="M3750" t="s">
        <v>1757</v>
      </c>
    </row>
    <row r="3751" spans="1:13" x14ac:dyDescent="0.45">
      <c r="A3751" t="s">
        <v>6770</v>
      </c>
      <c r="B3751">
        <v>1</v>
      </c>
      <c r="C3751" t="s">
        <v>1774</v>
      </c>
      <c r="G3751" s="3">
        <v>21591.552204848409</v>
      </c>
      <c r="H3751" t="s">
        <v>1755</v>
      </c>
      <c r="I3751" t="s">
        <v>6770</v>
      </c>
      <c r="M3751" t="s">
        <v>1757</v>
      </c>
    </row>
    <row r="3752" spans="1:13" x14ac:dyDescent="0.45">
      <c r="A3752" t="s">
        <v>6771</v>
      </c>
      <c r="B3752">
        <v>1</v>
      </c>
      <c r="C3752" t="s">
        <v>1774</v>
      </c>
      <c r="G3752" s="3">
        <v>21200.164551588321</v>
      </c>
      <c r="H3752" t="s">
        <v>1755</v>
      </c>
      <c r="I3752" t="s">
        <v>6771</v>
      </c>
      <c r="M3752" t="s">
        <v>1757</v>
      </c>
    </row>
    <row r="3753" spans="1:13" x14ac:dyDescent="0.45">
      <c r="A3753" t="s">
        <v>6772</v>
      </c>
      <c r="B3753">
        <v>1</v>
      </c>
      <c r="C3753" t="s">
        <v>1774</v>
      </c>
      <c r="G3753" s="3">
        <v>21200.164551588321</v>
      </c>
      <c r="H3753" t="s">
        <v>1755</v>
      </c>
      <c r="I3753" t="s">
        <v>6772</v>
      </c>
      <c r="M3753" t="s">
        <v>1757</v>
      </c>
    </row>
    <row r="3754" spans="1:13" x14ac:dyDescent="0.45">
      <c r="A3754" t="s">
        <v>6773</v>
      </c>
      <c r="B3754">
        <v>2</v>
      </c>
      <c r="C3754" t="s">
        <v>1774</v>
      </c>
      <c r="G3754" s="3">
        <v>23157.102817888779</v>
      </c>
      <c r="H3754" t="s">
        <v>1755</v>
      </c>
      <c r="I3754" t="s">
        <v>6773</v>
      </c>
      <c r="M3754" t="s">
        <v>1757</v>
      </c>
    </row>
    <row r="3755" spans="1:13" x14ac:dyDescent="0.45">
      <c r="A3755" t="s">
        <v>6774</v>
      </c>
      <c r="B3755">
        <v>1</v>
      </c>
      <c r="C3755" t="s">
        <v>1774</v>
      </c>
      <c r="G3755" s="3">
        <v>18786.607356484419</v>
      </c>
      <c r="H3755" t="s">
        <v>1755</v>
      </c>
      <c r="I3755" t="s">
        <v>6774</v>
      </c>
      <c r="M3755" t="s">
        <v>1757</v>
      </c>
    </row>
    <row r="3756" spans="1:13" x14ac:dyDescent="0.45">
      <c r="A3756" t="s">
        <v>6775</v>
      </c>
      <c r="B3756">
        <v>1</v>
      </c>
      <c r="C3756" t="s">
        <v>1774</v>
      </c>
      <c r="G3756" s="3">
        <v>18590.91352985437</v>
      </c>
      <c r="H3756" t="s">
        <v>1755</v>
      </c>
      <c r="I3756" t="s">
        <v>6775</v>
      </c>
      <c r="M3756" t="s">
        <v>1757</v>
      </c>
    </row>
    <row r="3757" spans="1:13" x14ac:dyDescent="0.45">
      <c r="A3757" t="s">
        <v>6776</v>
      </c>
      <c r="B3757">
        <v>1</v>
      </c>
      <c r="C3757" t="s">
        <v>1774</v>
      </c>
      <c r="G3757" s="3">
        <v>24135.571951039012</v>
      </c>
      <c r="H3757" t="s">
        <v>1755</v>
      </c>
      <c r="I3757" t="s">
        <v>6776</v>
      </c>
      <c r="M3757" t="s">
        <v>1757</v>
      </c>
    </row>
    <row r="3758" spans="1:13" x14ac:dyDescent="0.45">
      <c r="A3758" t="s">
        <v>6777</v>
      </c>
      <c r="B3758">
        <v>1</v>
      </c>
      <c r="C3758" t="s">
        <v>1774</v>
      </c>
      <c r="G3758" s="3">
        <v>5055.4238546095212</v>
      </c>
      <c r="H3758" t="s">
        <v>1755</v>
      </c>
      <c r="I3758" t="s">
        <v>6777</v>
      </c>
      <c r="M3758" t="s">
        <v>1757</v>
      </c>
    </row>
    <row r="3759" spans="1:13" x14ac:dyDescent="0.45">
      <c r="A3759" t="s">
        <v>6778</v>
      </c>
      <c r="B3759">
        <v>1</v>
      </c>
      <c r="C3759" t="s">
        <v>1774</v>
      </c>
      <c r="G3759" s="3">
        <v>8186.5250806902577</v>
      </c>
      <c r="H3759" t="s">
        <v>1755</v>
      </c>
      <c r="I3759" t="s">
        <v>6778</v>
      </c>
      <c r="M3759" t="s">
        <v>1757</v>
      </c>
    </row>
    <row r="3760" spans="1:13" x14ac:dyDescent="0.45">
      <c r="A3760" t="s">
        <v>6779</v>
      </c>
      <c r="B3760">
        <v>1</v>
      </c>
      <c r="C3760" t="s">
        <v>1774</v>
      </c>
      <c r="G3760" s="3">
        <v>17514.59748338912</v>
      </c>
      <c r="H3760" t="s">
        <v>1755</v>
      </c>
      <c r="I3760" t="s">
        <v>6779</v>
      </c>
      <c r="M3760" t="s">
        <v>1757</v>
      </c>
    </row>
    <row r="3761" spans="1:13" x14ac:dyDescent="0.45">
      <c r="A3761" t="s">
        <v>6780</v>
      </c>
      <c r="B3761">
        <v>1</v>
      </c>
      <c r="C3761" t="s">
        <v>1774</v>
      </c>
      <c r="G3761" s="3">
        <v>20286.92669398143</v>
      </c>
      <c r="H3761" t="s">
        <v>1755</v>
      </c>
      <c r="I3761" t="s">
        <v>6780</v>
      </c>
      <c r="M3761" t="s">
        <v>1757</v>
      </c>
    </row>
    <row r="3762" spans="1:13" x14ac:dyDescent="0.45">
      <c r="A3762" t="s">
        <v>6781</v>
      </c>
      <c r="B3762">
        <v>1</v>
      </c>
      <c r="C3762" t="s">
        <v>1774</v>
      </c>
      <c r="G3762" s="3">
        <v>25701.122564079371</v>
      </c>
      <c r="H3762" t="s">
        <v>1755</v>
      </c>
      <c r="I3762" t="s">
        <v>6781</v>
      </c>
      <c r="M3762" t="s">
        <v>1757</v>
      </c>
    </row>
    <row r="3763" spans="1:13" x14ac:dyDescent="0.45">
      <c r="A3763" t="s">
        <v>6782</v>
      </c>
      <c r="B3763">
        <v>1</v>
      </c>
      <c r="C3763" t="s">
        <v>1774</v>
      </c>
      <c r="G3763" s="3">
        <v>24787.884706472491</v>
      </c>
      <c r="H3763" t="s">
        <v>1755</v>
      </c>
      <c r="I3763" t="s">
        <v>6782</v>
      </c>
      <c r="M3763" t="s">
        <v>1757</v>
      </c>
    </row>
    <row r="3764" spans="1:13" x14ac:dyDescent="0.45">
      <c r="A3764" t="s">
        <v>6783</v>
      </c>
      <c r="B3764">
        <v>1</v>
      </c>
      <c r="C3764" t="s">
        <v>1774</v>
      </c>
      <c r="G3764" s="3">
        <v>20776.16126055655</v>
      </c>
      <c r="H3764" t="s">
        <v>1755</v>
      </c>
      <c r="I3764" t="s">
        <v>6783</v>
      </c>
      <c r="M3764" t="s">
        <v>1757</v>
      </c>
    </row>
    <row r="3765" spans="1:13" x14ac:dyDescent="0.45">
      <c r="A3765" t="s">
        <v>6784</v>
      </c>
      <c r="B3765">
        <v>1</v>
      </c>
      <c r="C3765" t="s">
        <v>1774</v>
      </c>
      <c r="G3765" s="3">
        <v>19014.916820886141</v>
      </c>
      <c r="H3765" t="s">
        <v>1755</v>
      </c>
      <c r="I3765" t="s">
        <v>6784</v>
      </c>
      <c r="M3765" t="s">
        <v>1757</v>
      </c>
    </row>
    <row r="3766" spans="1:13" x14ac:dyDescent="0.45">
      <c r="A3766" t="s">
        <v>6785</v>
      </c>
      <c r="B3766">
        <v>1</v>
      </c>
      <c r="C3766" t="s">
        <v>1774</v>
      </c>
      <c r="G3766" s="3">
        <v>22765.71516462868</v>
      </c>
      <c r="H3766" t="s">
        <v>1755</v>
      </c>
      <c r="I3766" t="s">
        <v>6785</v>
      </c>
      <c r="M3766" t="s">
        <v>1757</v>
      </c>
    </row>
    <row r="3767" spans="1:13" x14ac:dyDescent="0.45">
      <c r="A3767" t="s">
        <v>6786</v>
      </c>
      <c r="B3767">
        <v>1</v>
      </c>
      <c r="C3767" t="s">
        <v>1774</v>
      </c>
      <c r="G3767" s="3">
        <v>19014.916820886141</v>
      </c>
      <c r="H3767" t="s">
        <v>1755</v>
      </c>
      <c r="I3767" t="s">
        <v>6786</v>
      </c>
      <c r="M3767" t="s">
        <v>1757</v>
      </c>
    </row>
    <row r="3768" spans="1:13" x14ac:dyDescent="0.45">
      <c r="A3768" t="s">
        <v>6787</v>
      </c>
      <c r="B3768">
        <v>2</v>
      </c>
      <c r="C3768" t="s">
        <v>1774</v>
      </c>
      <c r="G3768" s="3">
        <v>14350.880619536711</v>
      </c>
      <c r="H3768" t="s">
        <v>1755</v>
      </c>
      <c r="I3768" t="s">
        <v>6787</v>
      </c>
      <c r="M3768" t="s">
        <v>1757</v>
      </c>
    </row>
    <row r="3769" spans="1:13" x14ac:dyDescent="0.45">
      <c r="A3769" t="s">
        <v>6788</v>
      </c>
      <c r="B3769">
        <v>1</v>
      </c>
      <c r="C3769" t="s">
        <v>1774</v>
      </c>
      <c r="G3769" s="3">
        <v>18362.604065452651</v>
      </c>
      <c r="H3769" t="s">
        <v>1755</v>
      </c>
      <c r="I3769" t="s">
        <v>6788</v>
      </c>
      <c r="M3769" t="s">
        <v>1757</v>
      </c>
    </row>
    <row r="3770" spans="1:13" x14ac:dyDescent="0.45">
      <c r="A3770" t="s">
        <v>6789</v>
      </c>
      <c r="B3770">
        <v>1</v>
      </c>
      <c r="C3770" t="s">
        <v>1774</v>
      </c>
      <c r="G3770" s="3">
        <v>11839.47651111778</v>
      </c>
      <c r="H3770" t="s">
        <v>1755</v>
      </c>
      <c r="I3770" t="s">
        <v>6789</v>
      </c>
      <c r="M3770" t="s">
        <v>1757</v>
      </c>
    </row>
    <row r="3771" spans="1:13" x14ac:dyDescent="0.45">
      <c r="A3771" t="s">
        <v>6790</v>
      </c>
      <c r="B3771">
        <v>1</v>
      </c>
      <c r="C3771" t="s">
        <v>1774</v>
      </c>
      <c r="G3771" s="3">
        <v>3196.3325016240851</v>
      </c>
      <c r="H3771" t="s">
        <v>1755</v>
      </c>
      <c r="I3771" t="s">
        <v>6790</v>
      </c>
      <c r="M3771" t="s">
        <v>1757</v>
      </c>
    </row>
    <row r="3772" spans="1:13" x14ac:dyDescent="0.45">
      <c r="A3772" t="s">
        <v>6791</v>
      </c>
      <c r="B3772">
        <v>1</v>
      </c>
      <c r="C3772" t="s">
        <v>1774</v>
      </c>
      <c r="G3772" s="3">
        <v>22178.63368473855</v>
      </c>
      <c r="H3772" t="s">
        <v>1755</v>
      </c>
      <c r="I3772" t="s">
        <v>6791</v>
      </c>
      <c r="M3772" t="s">
        <v>1757</v>
      </c>
    </row>
    <row r="3773" spans="1:13" x14ac:dyDescent="0.45">
      <c r="A3773" t="s">
        <v>6792</v>
      </c>
      <c r="B3773">
        <v>1</v>
      </c>
      <c r="C3773" t="s">
        <v>1774</v>
      </c>
      <c r="G3773" s="3">
        <v>19797.692127406321</v>
      </c>
      <c r="H3773" t="s">
        <v>1755</v>
      </c>
      <c r="I3773" t="s">
        <v>6792</v>
      </c>
      <c r="M3773" t="s">
        <v>1757</v>
      </c>
    </row>
    <row r="3774" spans="1:13" x14ac:dyDescent="0.45">
      <c r="A3774" t="s">
        <v>6793</v>
      </c>
      <c r="B3774">
        <v>1</v>
      </c>
      <c r="C3774" t="s">
        <v>1774</v>
      </c>
      <c r="G3774" s="3">
        <v>19243.226285287859</v>
      </c>
      <c r="H3774" t="s">
        <v>1755</v>
      </c>
      <c r="I3774" t="s">
        <v>6793</v>
      </c>
      <c r="M3774" t="s">
        <v>1757</v>
      </c>
    </row>
    <row r="3775" spans="1:13" x14ac:dyDescent="0.45">
      <c r="A3775" t="s">
        <v>6794</v>
      </c>
      <c r="B3775">
        <v>1</v>
      </c>
      <c r="C3775" t="s">
        <v>1774</v>
      </c>
      <c r="G3775" s="3">
        <v>18264.75715213763</v>
      </c>
      <c r="H3775" t="s">
        <v>1755</v>
      </c>
      <c r="I3775" t="s">
        <v>6794</v>
      </c>
      <c r="M3775" t="s">
        <v>1757</v>
      </c>
    </row>
    <row r="3776" spans="1:13" x14ac:dyDescent="0.45">
      <c r="A3776" t="s">
        <v>6795</v>
      </c>
      <c r="B3776">
        <v>1</v>
      </c>
      <c r="C3776" t="s">
        <v>1774</v>
      </c>
      <c r="G3776" s="3">
        <v>24135.571951039012</v>
      </c>
      <c r="H3776" t="s">
        <v>1755</v>
      </c>
      <c r="I3776" t="s">
        <v>6795</v>
      </c>
      <c r="M3776" t="s">
        <v>1757</v>
      </c>
    </row>
    <row r="3777" spans="1:13" x14ac:dyDescent="0.45">
      <c r="A3777" t="s">
        <v>6796</v>
      </c>
      <c r="B3777">
        <v>1</v>
      </c>
      <c r="C3777" t="s">
        <v>1774</v>
      </c>
      <c r="G3777" s="3">
        <v>16699.20653909726</v>
      </c>
      <c r="H3777" t="s">
        <v>1755</v>
      </c>
      <c r="I3777" t="s">
        <v>6796</v>
      </c>
      <c r="M3777" t="s">
        <v>1757</v>
      </c>
    </row>
    <row r="3778" spans="1:13" x14ac:dyDescent="0.45">
      <c r="A3778" t="s">
        <v>6797</v>
      </c>
      <c r="B3778">
        <v>1</v>
      </c>
      <c r="C3778" t="s">
        <v>1774</v>
      </c>
      <c r="G3778" s="3">
        <v>4386.7054333768829</v>
      </c>
      <c r="H3778" t="s">
        <v>1755</v>
      </c>
      <c r="I3778" t="s">
        <v>6797</v>
      </c>
      <c r="M3778" t="s">
        <v>1757</v>
      </c>
    </row>
    <row r="3779" spans="1:13" x14ac:dyDescent="0.45">
      <c r="A3779" t="s">
        <v>6798</v>
      </c>
      <c r="B3779">
        <v>1</v>
      </c>
      <c r="C3779" t="s">
        <v>1774</v>
      </c>
      <c r="G3779" s="3">
        <v>3484.426430061284</v>
      </c>
      <c r="H3779" t="s">
        <v>1755</v>
      </c>
      <c r="I3779" t="s">
        <v>6798</v>
      </c>
      <c r="M3779" t="s">
        <v>1757</v>
      </c>
    </row>
    <row r="3780" spans="1:13" x14ac:dyDescent="0.45">
      <c r="A3780" t="s">
        <v>6799</v>
      </c>
      <c r="B3780">
        <v>1</v>
      </c>
      <c r="C3780" t="s">
        <v>1774</v>
      </c>
      <c r="G3780" s="3">
        <v>1847.5421556504871</v>
      </c>
      <c r="H3780" t="s">
        <v>1755</v>
      </c>
      <c r="I3780" t="s">
        <v>6799</v>
      </c>
      <c r="M3780" t="s">
        <v>1757</v>
      </c>
    </row>
    <row r="3781" spans="1:13" x14ac:dyDescent="0.45">
      <c r="A3781" t="s">
        <v>6800</v>
      </c>
      <c r="B3781">
        <v>1</v>
      </c>
      <c r="C3781" t="s">
        <v>1774</v>
      </c>
      <c r="G3781" s="3">
        <v>6564.2884892027196</v>
      </c>
      <c r="H3781" t="s">
        <v>1755</v>
      </c>
      <c r="I3781" t="s">
        <v>6800</v>
      </c>
      <c r="M3781" t="s">
        <v>1757</v>
      </c>
    </row>
    <row r="3782" spans="1:13" x14ac:dyDescent="0.45">
      <c r="A3782" t="s">
        <v>6801</v>
      </c>
      <c r="B3782">
        <v>1</v>
      </c>
      <c r="C3782" t="s">
        <v>1774</v>
      </c>
      <c r="G3782" s="3">
        <v>8159.6171795286264</v>
      </c>
      <c r="H3782" t="s">
        <v>1755</v>
      </c>
      <c r="I3782" t="s">
        <v>6801</v>
      </c>
      <c r="M3782" t="s">
        <v>1757</v>
      </c>
    </row>
    <row r="3783" spans="1:13" x14ac:dyDescent="0.45">
      <c r="A3783" t="s">
        <v>6802</v>
      </c>
      <c r="B3783">
        <v>1</v>
      </c>
      <c r="C3783" t="s">
        <v>1774</v>
      </c>
      <c r="G3783" s="3">
        <v>4942.1171289907252</v>
      </c>
      <c r="H3783" t="s">
        <v>1755</v>
      </c>
      <c r="I3783" t="s">
        <v>6802</v>
      </c>
      <c r="M3783" t="s">
        <v>1757</v>
      </c>
    </row>
    <row r="3784" spans="1:13" x14ac:dyDescent="0.45">
      <c r="A3784" t="s">
        <v>6803</v>
      </c>
      <c r="B3784">
        <v>1</v>
      </c>
      <c r="C3784" t="s">
        <v>1774</v>
      </c>
      <c r="H3784" t="s">
        <v>1755</v>
      </c>
      <c r="I3784" t="s">
        <v>6803</v>
      </c>
      <c r="M3784" t="s">
        <v>1757</v>
      </c>
    </row>
    <row r="3785" spans="1:13" x14ac:dyDescent="0.45">
      <c r="A3785" t="s">
        <v>6804</v>
      </c>
      <c r="B3785">
        <v>1</v>
      </c>
      <c r="C3785" t="s">
        <v>1774</v>
      </c>
      <c r="G3785" s="3">
        <v>5308.6190506310286</v>
      </c>
      <c r="H3785" t="s">
        <v>1755</v>
      </c>
      <c r="I3785" t="s">
        <v>6804</v>
      </c>
      <c r="M3785" t="s">
        <v>1757</v>
      </c>
    </row>
    <row r="3786" spans="1:13" x14ac:dyDescent="0.45">
      <c r="A3786" t="s">
        <v>6805</v>
      </c>
      <c r="B3786">
        <v>1</v>
      </c>
      <c r="C3786" t="s">
        <v>1774</v>
      </c>
      <c r="H3786" t="s">
        <v>1755</v>
      </c>
      <c r="I3786" t="s">
        <v>6805</v>
      </c>
      <c r="M3786" t="s">
        <v>1757</v>
      </c>
    </row>
    <row r="3787" spans="1:13" x14ac:dyDescent="0.45">
      <c r="A3787" t="s">
        <v>6806</v>
      </c>
      <c r="B3787">
        <v>2</v>
      </c>
      <c r="C3787" t="s">
        <v>1774</v>
      </c>
      <c r="G3787" s="3">
        <v>368.76544690165872</v>
      </c>
      <c r="H3787" t="s">
        <v>1755</v>
      </c>
      <c r="I3787" t="s">
        <v>6806</v>
      </c>
      <c r="M3787" t="s">
        <v>1757</v>
      </c>
    </row>
    <row r="3788" spans="1:13" x14ac:dyDescent="0.45">
      <c r="A3788" t="s">
        <v>6807</v>
      </c>
      <c r="B3788">
        <v>1</v>
      </c>
      <c r="C3788" t="s">
        <v>1774</v>
      </c>
      <c r="G3788" s="3">
        <v>3369.7172320183058</v>
      </c>
      <c r="H3788" t="s">
        <v>1755</v>
      </c>
      <c r="I3788" t="s">
        <v>6807</v>
      </c>
      <c r="M3788" t="s">
        <v>1757</v>
      </c>
    </row>
    <row r="3789" spans="1:13" x14ac:dyDescent="0.45">
      <c r="A3789" t="s">
        <v>6808</v>
      </c>
      <c r="B3789">
        <v>1</v>
      </c>
      <c r="C3789" t="s">
        <v>1774</v>
      </c>
      <c r="G3789" s="3">
        <v>1121.5311051081251</v>
      </c>
      <c r="H3789" t="s">
        <v>1755</v>
      </c>
      <c r="I3789" t="s">
        <v>6808</v>
      </c>
      <c r="M3789" t="s">
        <v>1757</v>
      </c>
    </row>
    <row r="3790" spans="1:13" x14ac:dyDescent="0.45">
      <c r="A3790" t="s">
        <v>6809</v>
      </c>
      <c r="B3790">
        <v>1</v>
      </c>
      <c r="C3790" t="s">
        <v>1774</v>
      </c>
      <c r="G3790" s="3">
        <v>2439.5159812063762</v>
      </c>
      <c r="H3790" t="s">
        <v>1755</v>
      </c>
      <c r="I3790" t="s">
        <v>6809</v>
      </c>
      <c r="M3790" t="s">
        <v>1757</v>
      </c>
    </row>
    <row r="3791" spans="1:13" x14ac:dyDescent="0.45">
      <c r="A3791" t="s">
        <v>6810</v>
      </c>
      <c r="B3791">
        <v>1</v>
      </c>
      <c r="C3791" t="s">
        <v>1774</v>
      </c>
      <c r="H3791" t="s">
        <v>1755</v>
      </c>
      <c r="I3791" t="s">
        <v>6810</v>
      </c>
      <c r="M3791" t="s">
        <v>1757</v>
      </c>
    </row>
    <row r="3792" spans="1:13" x14ac:dyDescent="0.45">
      <c r="A3792" t="s">
        <v>6811</v>
      </c>
      <c r="B3792">
        <v>3</v>
      </c>
      <c r="C3792" t="s">
        <v>1774</v>
      </c>
      <c r="G3792" s="3">
        <v>1956.9382663004601</v>
      </c>
      <c r="H3792" t="s">
        <v>1755</v>
      </c>
      <c r="I3792" t="s">
        <v>6811</v>
      </c>
      <c r="M3792" t="s">
        <v>1757</v>
      </c>
    </row>
    <row r="3793" spans="1:13" x14ac:dyDescent="0.45">
      <c r="A3793" t="s">
        <v>6812</v>
      </c>
      <c r="B3793">
        <v>1</v>
      </c>
      <c r="C3793" t="s">
        <v>1774</v>
      </c>
      <c r="H3793" t="s">
        <v>1755</v>
      </c>
      <c r="I3793" t="s">
        <v>6812</v>
      </c>
      <c r="M3793" t="s">
        <v>1757</v>
      </c>
    </row>
    <row r="3794" spans="1:13" x14ac:dyDescent="0.45">
      <c r="A3794" t="s">
        <v>6813</v>
      </c>
      <c r="B3794">
        <v>1</v>
      </c>
      <c r="C3794" t="s">
        <v>1774</v>
      </c>
      <c r="G3794" s="3">
        <v>3913.8765326009202</v>
      </c>
      <c r="H3794" t="s">
        <v>1755</v>
      </c>
      <c r="I3794" t="s">
        <v>6813</v>
      </c>
      <c r="M3794" t="s">
        <v>1757</v>
      </c>
    </row>
    <row r="3795" spans="1:13" x14ac:dyDescent="0.45">
      <c r="A3795" t="s">
        <v>6814</v>
      </c>
      <c r="B3795">
        <v>1</v>
      </c>
      <c r="C3795" t="s">
        <v>1774</v>
      </c>
      <c r="G3795" s="3">
        <v>750.1596687485096</v>
      </c>
      <c r="H3795" t="s">
        <v>1755</v>
      </c>
      <c r="I3795" t="s">
        <v>6814</v>
      </c>
      <c r="M3795" t="s">
        <v>1757</v>
      </c>
    </row>
    <row r="3796" spans="1:13" x14ac:dyDescent="0.45">
      <c r="A3796" t="s">
        <v>6815</v>
      </c>
      <c r="B3796">
        <v>1</v>
      </c>
      <c r="C3796" t="s">
        <v>1761</v>
      </c>
      <c r="D3796" t="s">
        <v>6816</v>
      </c>
      <c r="E3796" t="s">
        <v>6817</v>
      </c>
      <c r="F3796" s="3">
        <v>167.9486820468158</v>
      </c>
      <c r="G3796" s="3">
        <v>153.50484685962979</v>
      </c>
      <c r="H3796" t="s">
        <v>73</v>
      </c>
      <c r="I3796" t="s">
        <v>6815</v>
      </c>
      <c r="J3796" s="3">
        <v>1.3727843708530529</v>
      </c>
      <c r="K3796" s="3">
        <v>8.6001479804168692</v>
      </c>
    </row>
    <row r="3797" spans="1:13" x14ac:dyDescent="0.45">
      <c r="A3797" t="s">
        <v>6818</v>
      </c>
      <c r="B3797">
        <v>1</v>
      </c>
      <c r="C3797" t="s">
        <v>1774</v>
      </c>
      <c r="G3797" s="3">
        <v>589.16888070752509</v>
      </c>
      <c r="H3797" t="s">
        <v>1755</v>
      </c>
      <c r="I3797" t="s">
        <v>6818</v>
      </c>
      <c r="M3797" t="s">
        <v>1757</v>
      </c>
    </row>
    <row r="3798" spans="1:13" x14ac:dyDescent="0.45">
      <c r="A3798" t="s">
        <v>6819</v>
      </c>
      <c r="B3798">
        <v>2</v>
      </c>
      <c r="C3798" t="s">
        <v>1774</v>
      </c>
      <c r="G3798" s="3">
        <v>595.93336398137035</v>
      </c>
      <c r="H3798" t="s">
        <v>1755</v>
      </c>
      <c r="I3798" t="s">
        <v>6819</v>
      </c>
      <c r="M3798" t="s">
        <v>1757</v>
      </c>
    </row>
    <row r="3799" spans="1:13" x14ac:dyDescent="0.45">
      <c r="A3799" t="s">
        <v>46</v>
      </c>
      <c r="B3799">
        <v>2</v>
      </c>
      <c r="C3799" t="s">
        <v>1751</v>
      </c>
      <c r="D3799" t="s">
        <v>45</v>
      </c>
      <c r="E3799" t="s">
        <v>43</v>
      </c>
      <c r="F3799" s="3">
        <v>4.2266604988312766</v>
      </c>
      <c r="G3799" s="3">
        <v>4.2439141712124924</v>
      </c>
      <c r="H3799" t="s">
        <v>47</v>
      </c>
      <c r="I3799" t="s">
        <v>6820</v>
      </c>
      <c r="J3799" s="3">
        <v>77.438682368553941</v>
      </c>
      <c r="K3799" s="3">
        <v>0.40821051007022269</v>
      </c>
    </row>
    <row r="3800" spans="1:13" x14ac:dyDescent="0.45">
      <c r="A3800" t="s">
        <v>6821</v>
      </c>
      <c r="B3800">
        <v>1</v>
      </c>
      <c r="C3800" t="s">
        <v>1774</v>
      </c>
      <c r="G3800" s="3">
        <v>605.39516049893314</v>
      </c>
      <c r="H3800" t="s">
        <v>1755</v>
      </c>
      <c r="I3800" t="s">
        <v>6821</v>
      </c>
      <c r="M3800" t="s">
        <v>1757</v>
      </c>
    </row>
    <row r="3801" spans="1:13" x14ac:dyDescent="0.45">
      <c r="A3801" t="s">
        <v>6822</v>
      </c>
      <c r="B3801">
        <v>1</v>
      </c>
      <c r="C3801" t="s">
        <v>1774</v>
      </c>
      <c r="G3801" s="3">
        <v>1823.435937773442</v>
      </c>
      <c r="H3801" t="s">
        <v>1755</v>
      </c>
      <c r="I3801" t="s">
        <v>6822</v>
      </c>
      <c r="M3801" t="s">
        <v>1757</v>
      </c>
    </row>
    <row r="3802" spans="1:13" x14ac:dyDescent="0.45">
      <c r="A3802" t="s">
        <v>6823</v>
      </c>
      <c r="B3802">
        <v>1</v>
      </c>
      <c r="C3802" t="s">
        <v>1774</v>
      </c>
      <c r="G3802" s="3">
        <v>591.56286851996606</v>
      </c>
      <c r="H3802" t="s">
        <v>1755</v>
      </c>
      <c r="I3802" t="s">
        <v>6823</v>
      </c>
      <c r="M3802" t="s">
        <v>1757</v>
      </c>
    </row>
    <row r="3803" spans="1:13" x14ac:dyDescent="0.45">
      <c r="A3803" t="s">
        <v>6824</v>
      </c>
      <c r="B3803">
        <v>1</v>
      </c>
      <c r="C3803" t="s">
        <v>1774</v>
      </c>
      <c r="G3803" s="3">
        <v>2399.2095760481411</v>
      </c>
      <c r="H3803" t="s">
        <v>1755</v>
      </c>
      <c r="I3803" t="s">
        <v>6824</v>
      </c>
      <c r="M3803" t="s">
        <v>1757</v>
      </c>
    </row>
    <row r="3804" spans="1:13" x14ac:dyDescent="0.45">
      <c r="A3804" t="s">
        <v>6825</v>
      </c>
      <c r="B3804">
        <v>1</v>
      </c>
      <c r="C3804" t="s">
        <v>1774</v>
      </c>
      <c r="G3804" s="3">
        <v>1073.171898984064</v>
      </c>
      <c r="H3804" t="s">
        <v>1755</v>
      </c>
      <c r="I3804" t="s">
        <v>6825</v>
      </c>
      <c r="M3804" t="s">
        <v>1757</v>
      </c>
    </row>
    <row r="3805" spans="1:13" x14ac:dyDescent="0.45">
      <c r="A3805" t="s">
        <v>6826</v>
      </c>
      <c r="B3805">
        <v>1</v>
      </c>
      <c r="C3805" t="s">
        <v>1774</v>
      </c>
      <c r="G3805" s="3">
        <v>1199.140015185824</v>
      </c>
      <c r="H3805" t="s">
        <v>1755</v>
      </c>
      <c r="I3805" t="s">
        <v>6826</v>
      </c>
      <c r="M3805" t="s">
        <v>1757</v>
      </c>
    </row>
    <row r="3806" spans="1:13" x14ac:dyDescent="0.45">
      <c r="A3806" t="s">
        <v>6827</v>
      </c>
      <c r="B3806">
        <v>1</v>
      </c>
      <c r="C3806" t="s">
        <v>1774</v>
      </c>
      <c r="G3806" s="3">
        <v>328.92218379978129</v>
      </c>
      <c r="H3806" t="s">
        <v>1755</v>
      </c>
      <c r="I3806" t="s">
        <v>6827</v>
      </c>
      <c r="M3806" t="s">
        <v>1757</v>
      </c>
    </row>
    <row r="3807" spans="1:13" x14ac:dyDescent="0.45">
      <c r="A3807" t="s">
        <v>6828</v>
      </c>
      <c r="B3807">
        <v>1</v>
      </c>
      <c r="C3807" t="s">
        <v>1774</v>
      </c>
      <c r="G3807" s="3">
        <v>2302.602056968442</v>
      </c>
      <c r="H3807" t="s">
        <v>1755</v>
      </c>
      <c r="I3807" t="s">
        <v>6828</v>
      </c>
      <c r="M3807" t="s">
        <v>1757</v>
      </c>
    </row>
    <row r="3808" spans="1:13" x14ac:dyDescent="0.45">
      <c r="A3808" t="s">
        <v>6829</v>
      </c>
      <c r="B3808">
        <v>1</v>
      </c>
      <c r="C3808" t="s">
        <v>1774</v>
      </c>
      <c r="G3808" s="3">
        <v>918.12368014507808</v>
      </c>
      <c r="H3808" t="s">
        <v>1755</v>
      </c>
      <c r="I3808" t="s">
        <v>6829</v>
      </c>
      <c r="M3808" t="s">
        <v>1757</v>
      </c>
    </row>
    <row r="3809" spans="1:13" x14ac:dyDescent="0.45">
      <c r="A3809" t="s">
        <v>6830</v>
      </c>
      <c r="B3809">
        <v>1</v>
      </c>
      <c r="C3809" t="s">
        <v>1774</v>
      </c>
      <c r="G3809" s="3">
        <v>697.22775020885933</v>
      </c>
      <c r="H3809" t="s">
        <v>1755</v>
      </c>
      <c r="I3809" t="s">
        <v>6830</v>
      </c>
      <c r="M3809" t="s">
        <v>1757</v>
      </c>
    </row>
    <row r="3810" spans="1:13" x14ac:dyDescent="0.45">
      <c r="A3810" t="s">
        <v>6831</v>
      </c>
      <c r="B3810">
        <v>1</v>
      </c>
      <c r="C3810" t="s">
        <v>1774</v>
      </c>
      <c r="G3810" s="3">
        <v>445.69269014992977</v>
      </c>
      <c r="H3810" t="s">
        <v>1755</v>
      </c>
      <c r="I3810" t="s">
        <v>6831</v>
      </c>
      <c r="M3810" t="s">
        <v>1757</v>
      </c>
    </row>
    <row r="3811" spans="1:13" x14ac:dyDescent="0.45">
      <c r="A3811" t="s">
        <v>6832</v>
      </c>
      <c r="B3811">
        <v>1</v>
      </c>
      <c r="C3811" t="s">
        <v>1774</v>
      </c>
      <c r="G3811" s="3">
        <v>468.32794276347181</v>
      </c>
      <c r="H3811" t="s">
        <v>1755</v>
      </c>
      <c r="I3811" t="s">
        <v>6832</v>
      </c>
      <c r="M3811" t="s">
        <v>1757</v>
      </c>
    </row>
    <row r="3812" spans="1:13" x14ac:dyDescent="0.45">
      <c r="A3812" t="s">
        <v>1031</v>
      </c>
      <c r="B3812">
        <v>1</v>
      </c>
      <c r="C3812" t="s">
        <v>1751</v>
      </c>
      <c r="D3812" t="s">
        <v>1030</v>
      </c>
      <c r="E3812" t="s">
        <v>1027</v>
      </c>
      <c r="F3812" s="3">
        <v>26.51683966474895</v>
      </c>
      <c r="G3812" s="3">
        <v>69.117754940221388</v>
      </c>
      <c r="H3812" t="s">
        <v>47</v>
      </c>
      <c r="I3812" t="s">
        <v>1758</v>
      </c>
      <c r="J3812" s="3">
        <v>49.781799824401887</v>
      </c>
      <c r="K3812" s="3">
        <v>160.6560804910149</v>
      </c>
      <c r="M3812" t="s">
        <v>1752</v>
      </c>
    </row>
    <row r="3813" spans="1:13" x14ac:dyDescent="0.45">
      <c r="A3813" t="s">
        <v>142</v>
      </c>
      <c r="B3813">
        <v>1</v>
      </c>
      <c r="C3813" t="s">
        <v>1751</v>
      </c>
      <c r="D3813" t="s">
        <v>144</v>
      </c>
      <c r="E3813" t="s">
        <v>142</v>
      </c>
      <c r="F3813" s="3">
        <v>10.943524941529891</v>
      </c>
      <c r="G3813" s="3">
        <v>11.006277428602591</v>
      </c>
      <c r="H3813" t="s">
        <v>73</v>
      </c>
      <c r="I3813" t="s">
        <v>142</v>
      </c>
      <c r="J3813" s="3">
        <v>21.186911493392369</v>
      </c>
      <c r="K3813" s="3">
        <v>0.57342115459124143</v>
      </c>
    </row>
    <row r="3814" spans="1:13" x14ac:dyDescent="0.45">
      <c r="A3814" t="s">
        <v>6833</v>
      </c>
      <c r="B3814">
        <v>1</v>
      </c>
      <c r="C3814" t="s">
        <v>1774</v>
      </c>
      <c r="G3814" s="3">
        <v>151.49572357289469</v>
      </c>
      <c r="H3814" t="s">
        <v>1755</v>
      </c>
      <c r="I3814" t="s">
        <v>6833</v>
      </c>
      <c r="M3814" t="s">
        <v>1757</v>
      </c>
    </row>
    <row r="3815" spans="1:13" x14ac:dyDescent="0.45">
      <c r="A3815" t="s">
        <v>6834</v>
      </c>
      <c r="B3815">
        <v>1</v>
      </c>
      <c r="C3815" t="s">
        <v>1774</v>
      </c>
      <c r="G3815" s="3">
        <v>37.538642136930847</v>
      </c>
      <c r="H3815" t="s">
        <v>1755</v>
      </c>
      <c r="I3815" t="s">
        <v>6834</v>
      </c>
      <c r="M3815" t="s">
        <v>1757</v>
      </c>
    </row>
    <row r="3816" spans="1:13" x14ac:dyDescent="0.45">
      <c r="A3816" t="s">
        <v>6835</v>
      </c>
      <c r="B3816">
        <v>1</v>
      </c>
      <c r="C3816" t="s">
        <v>1774</v>
      </c>
      <c r="G3816" s="3">
        <v>36.563108411180067</v>
      </c>
      <c r="H3816" t="s">
        <v>1755</v>
      </c>
      <c r="I3816" t="s">
        <v>6835</v>
      </c>
      <c r="M3816" t="s">
        <v>1757</v>
      </c>
    </row>
    <row r="3817" spans="1:13" x14ac:dyDescent="0.45">
      <c r="A3817" t="s">
        <v>6836</v>
      </c>
      <c r="B3817">
        <v>1</v>
      </c>
      <c r="C3817" t="s">
        <v>1774</v>
      </c>
      <c r="H3817" t="s">
        <v>1755</v>
      </c>
      <c r="I3817" t="s">
        <v>6836</v>
      </c>
      <c r="M3817" t="s">
        <v>1757</v>
      </c>
    </row>
    <row r="3818" spans="1:13" x14ac:dyDescent="0.45">
      <c r="A3818" t="s">
        <v>6837</v>
      </c>
      <c r="B3818">
        <v>1</v>
      </c>
      <c r="C3818" t="s">
        <v>1774</v>
      </c>
      <c r="H3818" t="s">
        <v>1755</v>
      </c>
      <c r="I3818" t="s">
        <v>6837</v>
      </c>
      <c r="M3818" t="s">
        <v>1757</v>
      </c>
    </row>
    <row r="3819" spans="1:13" x14ac:dyDescent="0.45">
      <c r="A3819" t="s">
        <v>6838</v>
      </c>
      <c r="B3819">
        <v>1</v>
      </c>
      <c r="C3819" t="s">
        <v>1774</v>
      </c>
      <c r="H3819" t="s">
        <v>1755</v>
      </c>
      <c r="I3819" t="s">
        <v>6838</v>
      </c>
      <c r="M3819" t="s">
        <v>1757</v>
      </c>
    </row>
    <row r="3820" spans="1:13" x14ac:dyDescent="0.45">
      <c r="A3820" t="s">
        <v>6839</v>
      </c>
      <c r="B3820">
        <v>1</v>
      </c>
      <c r="C3820" t="s">
        <v>1774</v>
      </c>
      <c r="H3820" t="s">
        <v>1755</v>
      </c>
      <c r="I3820" t="s">
        <v>6839</v>
      </c>
      <c r="M3820" t="s">
        <v>1757</v>
      </c>
    </row>
    <row r="3821" spans="1:13" x14ac:dyDescent="0.45">
      <c r="A3821" t="s">
        <v>6840</v>
      </c>
      <c r="B3821">
        <v>1</v>
      </c>
      <c r="C3821" t="s">
        <v>1774</v>
      </c>
      <c r="G3821" s="3">
        <v>395.96036567568069</v>
      </c>
      <c r="H3821" t="s">
        <v>1755</v>
      </c>
      <c r="I3821" t="s">
        <v>6840</v>
      </c>
      <c r="M3821" t="s">
        <v>1757</v>
      </c>
    </row>
    <row r="3822" spans="1:13" x14ac:dyDescent="0.45">
      <c r="A3822" t="s">
        <v>6841</v>
      </c>
      <c r="B3822">
        <v>1</v>
      </c>
      <c r="C3822" t="s">
        <v>1774</v>
      </c>
      <c r="G3822" s="3">
        <v>1647.089707469554</v>
      </c>
      <c r="H3822" t="s">
        <v>1755</v>
      </c>
      <c r="I3822" t="s">
        <v>6841</v>
      </c>
      <c r="M3822" t="s">
        <v>1757</v>
      </c>
    </row>
    <row r="3823" spans="1:13" x14ac:dyDescent="0.45">
      <c r="A3823" t="s">
        <v>6842</v>
      </c>
      <c r="B3823">
        <v>1</v>
      </c>
      <c r="C3823" t="s">
        <v>1774</v>
      </c>
      <c r="G3823" s="3">
        <v>615.64625545057038</v>
      </c>
      <c r="H3823" t="s">
        <v>1755</v>
      </c>
      <c r="I3823" t="s">
        <v>6842</v>
      </c>
      <c r="M3823" t="s">
        <v>1757</v>
      </c>
    </row>
    <row r="3824" spans="1:13" x14ac:dyDescent="0.45">
      <c r="A3824" t="s">
        <v>6843</v>
      </c>
      <c r="B3824">
        <v>2</v>
      </c>
      <c r="C3824" t="s">
        <v>1774</v>
      </c>
      <c r="G3824" s="3">
        <v>619.28942218966642</v>
      </c>
      <c r="H3824" t="s">
        <v>1755</v>
      </c>
      <c r="I3824" t="s">
        <v>6843</v>
      </c>
      <c r="M3824" t="s">
        <v>1757</v>
      </c>
    </row>
    <row r="3825" spans="1:13" x14ac:dyDescent="0.45">
      <c r="A3825" t="s">
        <v>6844</v>
      </c>
      <c r="B3825">
        <v>1</v>
      </c>
      <c r="C3825" t="s">
        <v>1774</v>
      </c>
      <c r="G3825" s="3">
        <v>299.37372060415521</v>
      </c>
      <c r="H3825" t="s">
        <v>1755</v>
      </c>
      <c r="I3825" t="s">
        <v>6844</v>
      </c>
      <c r="M3825" t="s">
        <v>1757</v>
      </c>
    </row>
    <row r="3826" spans="1:13" x14ac:dyDescent="0.45">
      <c r="A3826" t="s">
        <v>6845</v>
      </c>
      <c r="B3826">
        <v>1</v>
      </c>
      <c r="C3826" t="s">
        <v>1774</v>
      </c>
      <c r="G3826" s="3">
        <v>550.98575356822596</v>
      </c>
      <c r="H3826" t="s">
        <v>1755</v>
      </c>
      <c r="I3826" t="s">
        <v>6845</v>
      </c>
      <c r="M3826" t="s">
        <v>1757</v>
      </c>
    </row>
    <row r="3827" spans="1:13" x14ac:dyDescent="0.45">
      <c r="A3827" t="s">
        <v>6846</v>
      </c>
      <c r="B3827">
        <v>1</v>
      </c>
      <c r="C3827" t="s">
        <v>1774</v>
      </c>
      <c r="G3827" s="3">
        <v>1491.1412970280701</v>
      </c>
      <c r="H3827" t="s">
        <v>1755</v>
      </c>
      <c r="I3827" t="s">
        <v>6846</v>
      </c>
      <c r="M3827" t="s">
        <v>1757</v>
      </c>
    </row>
    <row r="3828" spans="1:13" x14ac:dyDescent="0.45">
      <c r="A3828" t="s">
        <v>6847</v>
      </c>
      <c r="B3828">
        <v>1</v>
      </c>
      <c r="C3828" t="s">
        <v>1774</v>
      </c>
      <c r="G3828" s="3">
        <v>666.55926601215401</v>
      </c>
      <c r="H3828" t="s">
        <v>1755</v>
      </c>
      <c r="I3828" t="s">
        <v>6847</v>
      </c>
      <c r="M3828" t="s">
        <v>1757</v>
      </c>
    </row>
    <row r="3829" spans="1:13" x14ac:dyDescent="0.45">
      <c r="A3829" t="s">
        <v>6848</v>
      </c>
      <c r="B3829">
        <v>1</v>
      </c>
      <c r="C3829" t="s">
        <v>1774</v>
      </c>
      <c r="G3829" s="3">
        <v>431.60273463256652</v>
      </c>
      <c r="H3829" t="s">
        <v>1755</v>
      </c>
      <c r="I3829" t="s">
        <v>6848</v>
      </c>
      <c r="M3829" t="s">
        <v>1757</v>
      </c>
    </row>
    <row r="3830" spans="1:13" x14ac:dyDescent="0.45">
      <c r="A3830" t="s">
        <v>6849</v>
      </c>
      <c r="B3830">
        <v>1</v>
      </c>
      <c r="C3830" t="s">
        <v>1774</v>
      </c>
      <c r="G3830" s="3">
        <v>738.62351766866846</v>
      </c>
      <c r="H3830" t="s">
        <v>1755</v>
      </c>
      <c r="I3830" t="s">
        <v>6849</v>
      </c>
      <c r="M3830" t="s">
        <v>1757</v>
      </c>
    </row>
    <row r="3831" spans="1:13" x14ac:dyDescent="0.45">
      <c r="A3831" t="s">
        <v>6850</v>
      </c>
      <c r="B3831">
        <v>1</v>
      </c>
      <c r="C3831" t="s">
        <v>1774</v>
      </c>
      <c r="G3831" s="3">
        <v>652.82155938272479</v>
      </c>
      <c r="H3831" t="s">
        <v>1755</v>
      </c>
      <c r="I3831" t="s">
        <v>6850</v>
      </c>
      <c r="M3831" t="s">
        <v>1757</v>
      </c>
    </row>
    <row r="3832" spans="1:13" x14ac:dyDescent="0.45">
      <c r="A3832" t="s">
        <v>6851</v>
      </c>
      <c r="B3832">
        <v>1</v>
      </c>
      <c r="C3832" t="s">
        <v>1774</v>
      </c>
      <c r="G3832" s="3">
        <v>529.17567659030738</v>
      </c>
      <c r="H3832" t="s">
        <v>1755</v>
      </c>
      <c r="I3832" t="s">
        <v>6851</v>
      </c>
      <c r="M3832" t="s">
        <v>1757</v>
      </c>
    </row>
    <row r="3833" spans="1:13" x14ac:dyDescent="0.45">
      <c r="A3833" t="s">
        <v>6852</v>
      </c>
      <c r="B3833">
        <v>1</v>
      </c>
      <c r="C3833" t="s">
        <v>1774</v>
      </c>
      <c r="G3833" s="3">
        <v>818.50899926283034</v>
      </c>
      <c r="H3833" t="s">
        <v>1755</v>
      </c>
      <c r="I3833" t="s">
        <v>6852</v>
      </c>
      <c r="M3833" t="s">
        <v>1757</v>
      </c>
    </row>
    <row r="3834" spans="1:13" x14ac:dyDescent="0.45">
      <c r="A3834" t="s">
        <v>6853</v>
      </c>
      <c r="B3834">
        <v>1</v>
      </c>
      <c r="C3834" t="s">
        <v>1774</v>
      </c>
      <c r="G3834" s="3">
        <v>581.00518657327507</v>
      </c>
      <c r="H3834" t="s">
        <v>1755</v>
      </c>
      <c r="I3834" t="s">
        <v>6853</v>
      </c>
      <c r="M3834" t="s">
        <v>1757</v>
      </c>
    </row>
    <row r="3835" spans="1:13" x14ac:dyDescent="0.45">
      <c r="A3835" t="s">
        <v>6854</v>
      </c>
      <c r="B3835">
        <v>1</v>
      </c>
      <c r="C3835" t="s">
        <v>1774</v>
      </c>
      <c r="G3835" s="3">
        <v>3942.415215651135</v>
      </c>
      <c r="H3835" t="s">
        <v>1755</v>
      </c>
      <c r="I3835" t="s">
        <v>6854</v>
      </c>
      <c r="M3835" t="s">
        <v>1757</v>
      </c>
    </row>
    <row r="3836" spans="1:13" x14ac:dyDescent="0.45">
      <c r="A3836" t="s">
        <v>6855</v>
      </c>
      <c r="B3836">
        <v>1</v>
      </c>
      <c r="C3836" t="s">
        <v>1774</v>
      </c>
      <c r="G3836" s="3">
        <v>980.89247503666536</v>
      </c>
      <c r="H3836" t="s">
        <v>1755</v>
      </c>
      <c r="I3836" t="s">
        <v>6855</v>
      </c>
      <c r="M3836" t="s">
        <v>1757</v>
      </c>
    </row>
    <row r="3837" spans="1:13" x14ac:dyDescent="0.45">
      <c r="A3837" t="s">
        <v>6856</v>
      </c>
      <c r="B3837">
        <v>1</v>
      </c>
      <c r="C3837" t="s">
        <v>1774</v>
      </c>
      <c r="G3837" s="3">
        <v>375.63103865259609</v>
      </c>
      <c r="H3837" t="s">
        <v>1755</v>
      </c>
      <c r="I3837" t="s">
        <v>6856</v>
      </c>
      <c r="M3837" t="s">
        <v>1757</v>
      </c>
    </row>
    <row r="3838" spans="1:13" x14ac:dyDescent="0.45">
      <c r="A3838" t="s">
        <v>6857</v>
      </c>
      <c r="B3838">
        <v>1</v>
      </c>
      <c r="C3838" t="s">
        <v>1774</v>
      </c>
      <c r="G3838" s="3">
        <v>424.11744576396723</v>
      </c>
      <c r="H3838" t="s">
        <v>1755</v>
      </c>
      <c r="I3838" t="s">
        <v>6857</v>
      </c>
      <c r="M3838" t="s">
        <v>1757</v>
      </c>
    </row>
    <row r="3839" spans="1:13" x14ac:dyDescent="0.45">
      <c r="A3839" t="s">
        <v>6858</v>
      </c>
      <c r="B3839">
        <v>1</v>
      </c>
      <c r="C3839" t="s">
        <v>1774</v>
      </c>
      <c r="G3839" s="3">
        <v>416.94852858175318</v>
      </c>
      <c r="H3839" t="s">
        <v>1755</v>
      </c>
      <c r="I3839" t="s">
        <v>6858</v>
      </c>
      <c r="M3839" t="s">
        <v>1757</v>
      </c>
    </row>
    <row r="3840" spans="1:13" x14ac:dyDescent="0.45">
      <c r="A3840" t="s">
        <v>6859</v>
      </c>
      <c r="B3840">
        <v>1</v>
      </c>
      <c r="C3840" t="s">
        <v>1774</v>
      </c>
      <c r="G3840" s="3">
        <v>163.86357341591361</v>
      </c>
      <c r="H3840" t="s">
        <v>1755</v>
      </c>
      <c r="I3840" t="s">
        <v>6859</v>
      </c>
      <c r="M3840" t="s">
        <v>1757</v>
      </c>
    </row>
    <row r="3841" spans="1:13" x14ac:dyDescent="0.45">
      <c r="A3841" t="s">
        <v>6860</v>
      </c>
      <c r="B3841">
        <v>1</v>
      </c>
      <c r="C3841" t="s">
        <v>1774</v>
      </c>
      <c r="G3841" s="3">
        <v>998.24399433119606</v>
      </c>
      <c r="H3841" t="s">
        <v>1755</v>
      </c>
      <c r="I3841" t="s">
        <v>6860</v>
      </c>
      <c r="M3841" t="s">
        <v>1757</v>
      </c>
    </row>
    <row r="3842" spans="1:13" x14ac:dyDescent="0.45">
      <c r="A3842" t="s">
        <v>6861</v>
      </c>
      <c r="B3842">
        <v>1</v>
      </c>
      <c r="C3842" t="s">
        <v>1774</v>
      </c>
      <c r="G3842" s="3">
        <v>1058.207844374419</v>
      </c>
      <c r="H3842" t="s">
        <v>1755</v>
      </c>
      <c r="I3842" t="s">
        <v>6861</v>
      </c>
      <c r="M3842" t="s">
        <v>1757</v>
      </c>
    </row>
    <row r="3843" spans="1:13" x14ac:dyDescent="0.45">
      <c r="A3843" t="s">
        <v>6862</v>
      </c>
      <c r="B3843">
        <v>1</v>
      </c>
      <c r="C3843" t="s">
        <v>1774</v>
      </c>
      <c r="G3843" s="3">
        <v>991.38492570781295</v>
      </c>
      <c r="H3843" t="s">
        <v>1755</v>
      </c>
      <c r="I3843" t="s">
        <v>6862</v>
      </c>
      <c r="M3843" t="s">
        <v>1757</v>
      </c>
    </row>
    <row r="3844" spans="1:13" x14ac:dyDescent="0.45">
      <c r="A3844" t="s">
        <v>6863</v>
      </c>
      <c r="B3844">
        <v>2</v>
      </c>
      <c r="C3844" t="s">
        <v>1774</v>
      </c>
      <c r="G3844" s="3">
        <v>581.03454064726952</v>
      </c>
      <c r="H3844" t="s">
        <v>1755</v>
      </c>
      <c r="I3844" t="s">
        <v>6863</v>
      </c>
      <c r="M3844" t="s">
        <v>1757</v>
      </c>
    </row>
    <row r="3845" spans="1:13" x14ac:dyDescent="0.45">
      <c r="A3845" t="s">
        <v>6864</v>
      </c>
      <c r="B3845">
        <v>1</v>
      </c>
      <c r="C3845" t="s">
        <v>1774</v>
      </c>
      <c r="G3845" s="3">
        <v>1293.0795750958</v>
      </c>
      <c r="H3845" t="s">
        <v>1755</v>
      </c>
      <c r="I3845" t="s">
        <v>6864</v>
      </c>
      <c r="M3845" t="s">
        <v>1757</v>
      </c>
    </row>
    <row r="3846" spans="1:13" x14ac:dyDescent="0.45">
      <c r="A3846" t="s">
        <v>6865</v>
      </c>
      <c r="B3846">
        <v>1</v>
      </c>
      <c r="C3846" t="s">
        <v>1774</v>
      </c>
      <c r="G3846" s="3">
        <v>1649.382586804903</v>
      </c>
      <c r="H3846" t="s">
        <v>1755</v>
      </c>
      <c r="I3846" t="s">
        <v>6865</v>
      </c>
      <c r="M3846" t="s">
        <v>1757</v>
      </c>
    </row>
    <row r="3847" spans="1:13" x14ac:dyDescent="0.45">
      <c r="A3847" t="s">
        <v>6866</v>
      </c>
      <c r="B3847">
        <v>1</v>
      </c>
      <c r="C3847" t="s">
        <v>1774</v>
      </c>
      <c r="G3847" s="3">
        <v>395.37328419579057</v>
      </c>
      <c r="H3847" t="s">
        <v>1755</v>
      </c>
      <c r="I3847" t="s">
        <v>6866</v>
      </c>
      <c r="M3847" t="s">
        <v>1757</v>
      </c>
    </row>
    <row r="3848" spans="1:13" x14ac:dyDescent="0.45">
      <c r="A3848" t="s">
        <v>6867</v>
      </c>
      <c r="B3848">
        <v>1</v>
      </c>
      <c r="C3848" t="s">
        <v>1774</v>
      </c>
      <c r="G3848" s="3">
        <v>593.94381007729828</v>
      </c>
      <c r="H3848" t="s">
        <v>1755</v>
      </c>
      <c r="I3848" t="s">
        <v>6867</v>
      </c>
      <c r="M3848" t="s">
        <v>1757</v>
      </c>
    </row>
    <row r="3849" spans="1:13" x14ac:dyDescent="0.45">
      <c r="A3849" t="s">
        <v>6868</v>
      </c>
      <c r="B3849">
        <v>2</v>
      </c>
      <c r="C3849" t="s">
        <v>1774</v>
      </c>
      <c r="G3849" s="3">
        <v>931.45042973858426</v>
      </c>
      <c r="H3849" t="s">
        <v>1755</v>
      </c>
      <c r="I3849" t="s">
        <v>6868</v>
      </c>
      <c r="M3849" t="s">
        <v>1757</v>
      </c>
    </row>
    <row r="3850" spans="1:13" x14ac:dyDescent="0.45">
      <c r="A3850" t="s">
        <v>6869</v>
      </c>
      <c r="B3850">
        <v>1</v>
      </c>
      <c r="C3850" t="s">
        <v>1774</v>
      </c>
      <c r="G3850" s="3">
        <v>1290.1898295892299</v>
      </c>
      <c r="H3850" t="s">
        <v>1755</v>
      </c>
      <c r="I3850" t="s">
        <v>6869</v>
      </c>
      <c r="M3850" t="s">
        <v>1757</v>
      </c>
    </row>
    <row r="3851" spans="1:13" x14ac:dyDescent="0.45">
      <c r="A3851" t="s">
        <v>6870</v>
      </c>
      <c r="B3851">
        <v>1</v>
      </c>
      <c r="C3851" t="s">
        <v>1774</v>
      </c>
      <c r="G3851" s="3">
        <v>617.52165462244159</v>
      </c>
      <c r="H3851" t="s">
        <v>1755</v>
      </c>
      <c r="I3851" t="s">
        <v>6870</v>
      </c>
      <c r="M3851" t="s">
        <v>1757</v>
      </c>
    </row>
    <row r="3852" spans="1:13" x14ac:dyDescent="0.45">
      <c r="A3852" t="s">
        <v>6871</v>
      </c>
      <c r="B3852">
        <v>1</v>
      </c>
      <c r="C3852" t="s">
        <v>1774</v>
      </c>
      <c r="G3852" s="3">
        <v>1656.411256744698</v>
      </c>
      <c r="H3852" t="s">
        <v>1755</v>
      </c>
      <c r="I3852" t="s">
        <v>6871</v>
      </c>
      <c r="M3852" t="s">
        <v>1757</v>
      </c>
    </row>
    <row r="3853" spans="1:13" x14ac:dyDescent="0.45">
      <c r="A3853" t="s">
        <v>6872</v>
      </c>
      <c r="B3853">
        <v>1</v>
      </c>
      <c r="C3853" t="s">
        <v>1774</v>
      </c>
      <c r="G3853" s="3">
        <v>942.24294427723123</v>
      </c>
      <c r="H3853" t="s">
        <v>1755</v>
      </c>
      <c r="I3853" t="s">
        <v>6872</v>
      </c>
      <c r="M3853" t="s">
        <v>1757</v>
      </c>
    </row>
    <row r="3854" spans="1:13" x14ac:dyDescent="0.45">
      <c r="A3854" t="s">
        <v>6873</v>
      </c>
      <c r="B3854">
        <v>1</v>
      </c>
      <c r="C3854" t="s">
        <v>1774</v>
      </c>
      <c r="G3854" s="3">
        <v>486.36439045120773</v>
      </c>
      <c r="H3854" t="s">
        <v>1755</v>
      </c>
      <c r="I3854" t="s">
        <v>6873</v>
      </c>
      <c r="M3854" t="s">
        <v>1757</v>
      </c>
    </row>
    <row r="3855" spans="1:13" x14ac:dyDescent="0.45">
      <c r="A3855" t="s">
        <v>6874</v>
      </c>
      <c r="B3855">
        <v>1</v>
      </c>
      <c r="C3855" t="s">
        <v>1774</v>
      </c>
      <c r="G3855" s="3">
        <v>786.37933449395393</v>
      </c>
      <c r="H3855" t="s">
        <v>1755</v>
      </c>
      <c r="I3855" t="s">
        <v>6874</v>
      </c>
      <c r="M3855" t="s">
        <v>1757</v>
      </c>
    </row>
    <row r="3856" spans="1:13" x14ac:dyDescent="0.45">
      <c r="A3856" t="s">
        <v>6875</v>
      </c>
      <c r="B3856">
        <v>1</v>
      </c>
      <c r="C3856" t="s">
        <v>1774</v>
      </c>
      <c r="G3856" s="3">
        <v>1264.2114741040921</v>
      </c>
      <c r="H3856" t="s">
        <v>1755</v>
      </c>
      <c r="I3856" t="s">
        <v>6875</v>
      </c>
      <c r="M3856" t="s">
        <v>1757</v>
      </c>
    </row>
    <row r="3857" spans="1:13" x14ac:dyDescent="0.45">
      <c r="A3857" t="s">
        <v>6876</v>
      </c>
      <c r="B3857">
        <v>1</v>
      </c>
      <c r="C3857" t="s">
        <v>1774</v>
      </c>
      <c r="G3857" s="3">
        <v>1811.9487101502591</v>
      </c>
      <c r="H3857" t="s">
        <v>1755</v>
      </c>
      <c r="I3857" t="s">
        <v>6876</v>
      </c>
      <c r="M3857" t="s">
        <v>1757</v>
      </c>
    </row>
    <row r="3858" spans="1:13" x14ac:dyDescent="0.45">
      <c r="A3858" t="s">
        <v>6877</v>
      </c>
      <c r="B3858">
        <v>1</v>
      </c>
      <c r="C3858" t="s">
        <v>1774</v>
      </c>
      <c r="G3858" s="3">
        <v>540.23890092245938</v>
      </c>
      <c r="H3858" t="s">
        <v>1755</v>
      </c>
      <c r="I3858" t="s">
        <v>6877</v>
      </c>
      <c r="M3858" t="s">
        <v>1757</v>
      </c>
    </row>
    <row r="3859" spans="1:13" x14ac:dyDescent="0.45">
      <c r="A3859" t="s">
        <v>6878</v>
      </c>
      <c r="B3859">
        <v>1</v>
      </c>
      <c r="C3859" t="s">
        <v>1774</v>
      </c>
      <c r="G3859" s="3">
        <v>934.16078923741043</v>
      </c>
      <c r="H3859" t="s">
        <v>1755</v>
      </c>
      <c r="I3859" t="s">
        <v>6878</v>
      </c>
      <c r="M3859" t="s">
        <v>1757</v>
      </c>
    </row>
    <row r="3860" spans="1:13" x14ac:dyDescent="0.45">
      <c r="A3860" t="s">
        <v>6879</v>
      </c>
      <c r="B3860">
        <v>1</v>
      </c>
      <c r="C3860" t="s">
        <v>1774</v>
      </c>
      <c r="G3860" s="3">
        <v>373.63822318474678</v>
      </c>
      <c r="H3860" t="s">
        <v>1755</v>
      </c>
      <c r="I3860" t="s">
        <v>6879</v>
      </c>
      <c r="M3860" t="s">
        <v>1757</v>
      </c>
    </row>
    <row r="3861" spans="1:13" x14ac:dyDescent="0.45">
      <c r="A3861" t="s">
        <v>6880</v>
      </c>
      <c r="B3861">
        <v>1</v>
      </c>
      <c r="C3861" t="s">
        <v>1774</v>
      </c>
      <c r="G3861" s="3">
        <v>305.72104987090069</v>
      </c>
      <c r="H3861" t="s">
        <v>1755</v>
      </c>
      <c r="I3861" t="s">
        <v>6880</v>
      </c>
      <c r="M3861" t="s">
        <v>1757</v>
      </c>
    </row>
    <row r="3862" spans="1:13" x14ac:dyDescent="0.45">
      <c r="A3862" t="s">
        <v>6881</v>
      </c>
      <c r="B3862">
        <v>1</v>
      </c>
      <c r="C3862" t="s">
        <v>1774</v>
      </c>
      <c r="G3862" s="3">
        <v>444.19563237620991</v>
      </c>
      <c r="H3862" t="s">
        <v>1755</v>
      </c>
      <c r="I3862" t="s">
        <v>6881</v>
      </c>
      <c r="M3862" t="s">
        <v>1757</v>
      </c>
    </row>
    <row r="3863" spans="1:13" x14ac:dyDescent="0.45">
      <c r="A3863" t="s">
        <v>6882</v>
      </c>
      <c r="B3863">
        <v>2</v>
      </c>
      <c r="C3863" t="s">
        <v>1774</v>
      </c>
      <c r="G3863" s="3">
        <v>707.79521684688189</v>
      </c>
      <c r="H3863" t="s">
        <v>1755</v>
      </c>
      <c r="I3863" t="s">
        <v>6882</v>
      </c>
      <c r="M3863" t="s">
        <v>1757</v>
      </c>
    </row>
    <row r="3864" spans="1:13" x14ac:dyDescent="0.45">
      <c r="A3864" t="s">
        <v>6883</v>
      </c>
      <c r="B3864">
        <v>1</v>
      </c>
      <c r="C3864" t="s">
        <v>1774</v>
      </c>
      <c r="G3864" s="3">
        <v>804.30162744948905</v>
      </c>
      <c r="H3864" t="s">
        <v>1755</v>
      </c>
      <c r="I3864" t="s">
        <v>6883</v>
      </c>
      <c r="M3864" t="s">
        <v>1757</v>
      </c>
    </row>
    <row r="3865" spans="1:13" x14ac:dyDescent="0.45">
      <c r="A3865" t="s">
        <v>6884</v>
      </c>
      <c r="B3865">
        <v>1</v>
      </c>
      <c r="C3865" t="s">
        <v>1774</v>
      </c>
      <c r="G3865" s="3">
        <v>768.60381190839155</v>
      </c>
      <c r="H3865" t="s">
        <v>1755</v>
      </c>
      <c r="I3865" t="s">
        <v>6884</v>
      </c>
      <c r="M3865" t="s">
        <v>1757</v>
      </c>
    </row>
    <row r="3866" spans="1:13" x14ac:dyDescent="0.45">
      <c r="A3866" t="s">
        <v>6885</v>
      </c>
      <c r="B3866">
        <v>1</v>
      </c>
      <c r="C3866" t="s">
        <v>1774</v>
      </c>
      <c r="G3866" s="3">
        <v>295.2918735370302</v>
      </c>
      <c r="H3866" t="s">
        <v>1755</v>
      </c>
      <c r="I3866" t="s">
        <v>6885</v>
      </c>
      <c r="M3866" t="s">
        <v>1757</v>
      </c>
    </row>
    <row r="3867" spans="1:13" x14ac:dyDescent="0.45">
      <c r="A3867" t="s">
        <v>6886</v>
      </c>
      <c r="B3867">
        <v>1</v>
      </c>
      <c r="C3867" t="s">
        <v>1774</v>
      </c>
      <c r="G3867" s="3">
        <v>826.43133767757001</v>
      </c>
      <c r="H3867" t="s">
        <v>1755</v>
      </c>
      <c r="I3867" t="s">
        <v>6886</v>
      </c>
      <c r="M3867" t="s">
        <v>1757</v>
      </c>
    </row>
    <row r="3868" spans="1:13" x14ac:dyDescent="0.45">
      <c r="A3868" t="s">
        <v>6887</v>
      </c>
      <c r="B3868">
        <v>1</v>
      </c>
      <c r="C3868" t="s">
        <v>1774</v>
      </c>
      <c r="G3868" s="3">
        <v>706.39274442269982</v>
      </c>
      <c r="H3868" t="s">
        <v>1755</v>
      </c>
      <c r="I3868" t="s">
        <v>6887</v>
      </c>
      <c r="M3868" t="s">
        <v>1757</v>
      </c>
    </row>
    <row r="3869" spans="1:13" x14ac:dyDescent="0.45">
      <c r="A3869" t="s">
        <v>6888</v>
      </c>
      <c r="B3869">
        <v>1</v>
      </c>
      <c r="C3869" t="s">
        <v>1774</v>
      </c>
      <c r="G3869" s="3">
        <v>961.69491064425802</v>
      </c>
      <c r="H3869" t="s">
        <v>1755</v>
      </c>
      <c r="I3869" t="s">
        <v>6888</v>
      </c>
      <c r="M3869" t="s">
        <v>1757</v>
      </c>
    </row>
    <row r="3870" spans="1:13" x14ac:dyDescent="0.45">
      <c r="A3870" t="s">
        <v>6889</v>
      </c>
      <c r="B3870">
        <v>1</v>
      </c>
      <c r="C3870" t="s">
        <v>1774</v>
      </c>
      <c r="G3870" s="3">
        <v>494.53134614923488</v>
      </c>
      <c r="H3870" t="s">
        <v>1755</v>
      </c>
      <c r="I3870" t="s">
        <v>6889</v>
      </c>
      <c r="M3870" t="s">
        <v>1757</v>
      </c>
    </row>
    <row r="3871" spans="1:13" x14ac:dyDescent="0.45">
      <c r="A3871" t="s">
        <v>6890</v>
      </c>
      <c r="B3871">
        <v>1</v>
      </c>
      <c r="C3871" t="s">
        <v>1774</v>
      </c>
      <c r="G3871" s="3">
        <v>812.79147796145594</v>
      </c>
      <c r="H3871" t="s">
        <v>1755</v>
      </c>
      <c r="I3871" t="s">
        <v>6890</v>
      </c>
      <c r="M3871" t="s">
        <v>1757</v>
      </c>
    </row>
    <row r="3872" spans="1:13" x14ac:dyDescent="0.45">
      <c r="A3872" t="s">
        <v>6891</v>
      </c>
      <c r="B3872">
        <v>1</v>
      </c>
      <c r="C3872" t="s">
        <v>1774</v>
      </c>
      <c r="G3872" s="3">
        <v>872.8596980455485</v>
      </c>
      <c r="H3872" t="s">
        <v>1755</v>
      </c>
      <c r="I3872" t="s">
        <v>6891</v>
      </c>
      <c r="M3872" t="s">
        <v>1757</v>
      </c>
    </row>
    <row r="3873" spans="1:13" x14ac:dyDescent="0.45">
      <c r="A3873" t="s">
        <v>6892</v>
      </c>
      <c r="B3873">
        <v>1</v>
      </c>
      <c r="C3873" t="s">
        <v>1774</v>
      </c>
      <c r="G3873" s="3">
        <v>1217.9168378509769</v>
      </c>
      <c r="H3873" t="s">
        <v>1755</v>
      </c>
      <c r="I3873" t="s">
        <v>6892</v>
      </c>
      <c r="M3873" t="s">
        <v>1757</v>
      </c>
    </row>
    <row r="3874" spans="1:13" x14ac:dyDescent="0.45">
      <c r="A3874" t="s">
        <v>6893</v>
      </c>
      <c r="B3874">
        <v>1</v>
      </c>
      <c r="C3874" t="s">
        <v>1774</v>
      </c>
      <c r="G3874" s="3">
        <v>798.03942499732761</v>
      </c>
      <c r="H3874" t="s">
        <v>1755</v>
      </c>
      <c r="I3874" t="s">
        <v>6893</v>
      </c>
      <c r="M3874" t="s">
        <v>1757</v>
      </c>
    </row>
    <row r="3875" spans="1:13" x14ac:dyDescent="0.45">
      <c r="A3875" t="s">
        <v>6894</v>
      </c>
      <c r="B3875">
        <v>1</v>
      </c>
      <c r="C3875" t="s">
        <v>1774</v>
      </c>
      <c r="G3875" s="3">
        <v>1254.912755775387</v>
      </c>
      <c r="H3875" t="s">
        <v>1755</v>
      </c>
      <c r="I3875" t="s">
        <v>6894</v>
      </c>
      <c r="M3875" t="s">
        <v>1757</v>
      </c>
    </row>
    <row r="3876" spans="1:13" x14ac:dyDescent="0.45">
      <c r="A3876" t="s">
        <v>6895</v>
      </c>
      <c r="B3876">
        <v>1</v>
      </c>
      <c r="C3876" t="s">
        <v>1774</v>
      </c>
      <c r="G3876" s="3">
        <v>239.80908596725729</v>
      </c>
      <c r="H3876" t="s">
        <v>1755</v>
      </c>
      <c r="I3876" t="s">
        <v>6895</v>
      </c>
      <c r="M3876" t="s">
        <v>1757</v>
      </c>
    </row>
    <row r="3877" spans="1:13" x14ac:dyDescent="0.45">
      <c r="A3877" t="s">
        <v>6896</v>
      </c>
      <c r="B3877">
        <v>1</v>
      </c>
      <c r="C3877" t="s">
        <v>1774</v>
      </c>
      <c r="G3877" s="3">
        <v>399.16974443241349</v>
      </c>
      <c r="H3877" t="s">
        <v>1755</v>
      </c>
      <c r="I3877" t="s">
        <v>6896</v>
      </c>
      <c r="M3877" t="s">
        <v>1757</v>
      </c>
    </row>
    <row r="3878" spans="1:13" x14ac:dyDescent="0.45">
      <c r="A3878" t="s">
        <v>6897</v>
      </c>
      <c r="B3878">
        <v>1</v>
      </c>
      <c r="C3878" t="s">
        <v>1774</v>
      </c>
      <c r="G3878" s="3">
        <v>1735.895565994269</v>
      </c>
      <c r="H3878" t="s">
        <v>1755</v>
      </c>
      <c r="I3878" t="s">
        <v>6897</v>
      </c>
      <c r="M3878" t="s">
        <v>1757</v>
      </c>
    </row>
    <row r="3879" spans="1:13" x14ac:dyDescent="0.45">
      <c r="A3879" t="s">
        <v>6898</v>
      </c>
      <c r="B3879">
        <v>1</v>
      </c>
      <c r="C3879" t="s">
        <v>1774</v>
      </c>
      <c r="G3879" s="3">
        <v>171.62348595455029</v>
      </c>
      <c r="H3879" t="s">
        <v>1755</v>
      </c>
      <c r="I3879" t="s">
        <v>6898</v>
      </c>
      <c r="M3879" t="s">
        <v>1757</v>
      </c>
    </row>
    <row r="3880" spans="1:13" x14ac:dyDescent="0.45">
      <c r="A3880" t="s">
        <v>6899</v>
      </c>
      <c r="B3880">
        <v>1</v>
      </c>
      <c r="C3880" t="s">
        <v>1774</v>
      </c>
      <c r="G3880" s="3">
        <v>600.17665845546514</v>
      </c>
      <c r="H3880" t="s">
        <v>1755</v>
      </c>
      <c r="I3880" t="s">
        <v>6899</v>
      </c>
      <c r="M3880" t="s">
        <v>1757</v>
      </c>
    </row>
    <row r="3881" spans="1:13" x14ac:dyDescent="0.45">
      <c r="A3881" t="s">
        <v>6900</v>
      </c>
      <c r="B3881">
        <v>2</v>
      </c>
      <c r="C3881" t="s">
        <v>1774</v>
      </c>
      <c r="G3881" s="3">
        <v>423.36402453144149</v>
      </c>
      <c r="H3881" t="s">
        <v>1755</v>
      </c>
      <c r="I3881" t="s">
        <v>6900</v>
      </c>
      <c r="M3881" t="s">
        <v>1757</v>
      </c>
    </row>
    <row r="3882" spans="1:13" x14ac:dyDescent="0.45">
      <c r="A3882" t="s">
        <v>6901</v>
      </c>
      <c r="B3882">
        <v>1</v>
      </c>
      <c r="C3882" t="s">
        <v>1774</v>
      </c>
      <c r="G3882" s="3">
        <v>288.43410953915787</v>
      </c>
      <c r="H3882" t="s">
        <v>1755</v>
      </c>
      <c r="I3882" t="s">
        <v>6901</v>
      </c>
      <c r="M3882" t="s">
        <v>1757</v>
      </c>
    </row>
    <row r="3883" spans="1:13" x14ac:dyDescent="0.45">
      <c r="A3883" t="s">
        <v>6902</v>
      </c>
      <c r="B3883">
        <v>2</v>
      </c>
      <c r="C3883" t="s">
        <v>1774</v>
      </c>
      <c r="G3883" s="3">
        <v>268.01345873031272</v>
      </c>
      <c r="H3883" t="s">
        <v>1755</v>
      </c>
      <c r="I3883" t="s">
        <v>6902</v>
      </c>
      <c r="M3883" t="s">
        <v>1757</v>
      </c>
    </row>
    <row r="3884" spans="1:13" x14ac:dyDescent="0.45">
      <c r="A3884" t="s">
        <v>6903</v>
      </c>
      <c r="B3884">
        <v>2</v>
      </c>
      <c r="C3884" t="s">
        <v>1774</v>
      </c>
      <c r="G3884" s="3">
        <v>222.02312637760781</v>
      </c>
      <c r="H3884" t="s">
        <v>1755</v>
      </c>
      <c r="I3884" t="s">
        <v>6903</v>
      </c>
      <c r="M3884" t="s">
        <v>1757</v>
      </c>
    </row>
    <row r="3885" spans="1:13" x14ac:dyDescent="0.45">
      <c r="A3885" t="s">
        <v>6904</v>
      </c>
      <c r="B3885">
        <v>1</v>
      </c>
      <c r="C3885" t="s">
        <v>1774</v>
      </c>
      <c r="G3885" s="3">
        <v>200.45310049368871</v>
      </c>
      <c r="H3885" t="s">
        <v>1755</v>
      </c>
      <c r="I3885" t="s">
        <v>6904</v>
      </c>
      <c r="M3885" t="s">
        <v>1757</v>
      </c>
    </row>
    <row r="3886" spans="1:13" x14ac:dyDescent="0.45">
      <c r="A3886" t="s">
        <v>6905</v>
      </c>
      <c r="B3886">
        <v>1</v>
      </c>
      <c r="C3886" t="s">
        <v>1774</v>
      </c>
      <c r="G3886" s="3">
        <v>83.362308580622425</v>
      </c>
      <c r="H3886" t="s">
        <v>1755</v>
      </c>
      <c r="I3886" t="s">
        <v>6905</v>
      </c>
      <c r="M3886" t="s">
        <v>1757</v>
      </c>
    </row>
    <row r="3887" spans="1:13" x14ac:dyDescent="0.45">
      <c r="A3887" t="s">
        <v>6906</v>
      </c>
      <c r="B3887">
        <v>1</v>
      </c>
      <c r="C3887" t="s">
        <v>1774</v>
      </c>
      <c r="G3887" s="3">
        <v>259.36770546979722</v>
      </c>
      <c r="H3887" t="s">
        <v>1755</v>
      </c>
      <c r="I3887" t="s">
        <v>6906</v>
      </c>
      <c r="M3887" t="s">
        <v>1757</v>
      </c>
    </row>
    <row r="3888" spans="1:13" x14ac:dyDescent="0.45">
      <c r="A3888" t="s">
        <v>6907</v>
      </c>
      <c r="B3888">
        <v>1</v>
      </c>
      <c r="C3888" t="s">
        <v>1774</v>
      </c>
      <c r="G3888" s="3">
        <v>917.52355241007945</v>
      </c>
      <c r="H3888" t="s">
        <v>1755</v>
      </c>
      <c r="I3888" t="s">
        <v>6907</v>
      </c>
      <c r="M3888" t="s">
        <v>1757</v>
      </c>
    </row>
    <row r="3889" spans="1:13" x14ac:dyDescent="0.45">
      <c r="A3889" t="s">
        <v>6908</v>
      </c>
      <c r="B3889">
        <v>3</v>
      </c>
      <c r="C3889" t="s">
        <v>1774</v>
      </c>
      <c r="G3889" s="3">
        <v>546.63156592570749</v>
      </c>
      <c r="H3889" t="s">
        <v>1755</v>
      </c>
      <c r="I3889" t="s">
        <v>6908</v>
      </c>
      <c r="M3889" t="s">
        <v>1757</v>
      </c>
    </row>
    <row r="3890" spans="1:13" x14ac:dyDescent="0.45">
      <c r="A3890" t="s">
        <v>6909</v>
      </c>
      <c r="B3890">
        <v>2</v>
      </c>
      <c r="C3890" t="s">
        <v>1774</v>
      </c>
      <c r="G3890" s="3">
        <v>190.02164106517409</v>
      </c>
      <c r="H3890" t="s">
        <v>1755</v>
      </c>
      <c r="I3890" t="s">
        <v>6909</v>
      </c>
      <c r="M3890" t="s">
        <v>1757</v>
      </c>
    </row>
    <row r="3891" spans="1:13" x14ac:dyDescent="0.45">
      <c r="A3891" t="s">
        <v>6910</v>
      </c>
      <c r="B3891">
        <v>1</v>
      </c>
      <c r="C3891" t="s">
        <v>1774</v>
      </c>
      <c r="G3891" s="3">
        <v>371.97482565839141</v>
      </c>
      <c r="H3891" t="s">
        <v>1755</v>
      </c>
      <c r="I3891" t="s">
        <v>6910</v>
      </c>
      <c r="M3891" t="s">
        <v>1757</v>
      </c>
    </row>
    <row r="3892" spans="1:13" x14ac:dyDescent="0.45">
      <c r="A3892" t="s">
        <v>6911</v>
      </c>
      <c r="B3892">
        <v>6</v>
      </c>
      <c r="C3892" t="s">
        <v>1774</v>
      </c>
      <c r="G3892" s="3">
        <v>275.72020777938161</v>
      </c>
      <c r="H3892" t="s">
        <v>1755</v>
      </c>
      <c r="I3892" t="s">
        <v>6911</v>
      </c>
      <c r="M3892" t="s">
        <v>1757</v>
      </c>
    </row>
    <row r="3893" spans="1:13" x14ac:dyDescent="0.45">
      <c r="A3893" t="s">
        <v>6912</v>
      </c>
      <c r="B3893">
        <v>1</v>
      </c>
      <c r="C3893" t="s">
        <v>1774</v>
      </c>
      <c r="G3893" s="3">
        <v>431.67775059944131</v>
      </c>
      <c r="H3893" t="s">
        <v>1755</v>
      </c>
      <c r="I3893" t="s">
        <v>6912</v>
      </c>
      <c r="M3893" t="s">
        <v>1757</v>
      </c>
    </row>
    <row r="3894" spans="1:13" x14ac:dyDescent="0.45">
      <c r="A3894" t="s">
        <v>6913</v>
      </c>
      <c r="B3894">
        <v>1</v>
      </c>
      <c r="C3894" t="s">
        <v>1774</v>
      </c>
      <c r="G3894" s="3">
        <v>308.666241961683</v>
      </c>
      <c r="H3894" t="s">
        <v>1755</v>
      </c>
      <c r="I3894" t="s">
        <v>6913</v>
      </c>
      <c r="M3894" t="s">
        <v>1757</v>
      </c>
    </row>
    <row r="3895" spans="1:13" x14ac:dyDescent="0.45">
      <c r="A3895" t="s">
        <v>6914</v>
      </c>
      <c r="B3895">
        <v>1</v>
      </c>
      <c r="C3895" t="s">
        <v>1774</v>
      </c>
      <c r="G3895" s="3">
        <v>234.91021717395179</v>
      </c>
      <c r="H3895" t="s">
        <v>1755</v>
      </c>
      <c r="I3895" t="s">
        <v>6914</v>
      </c>
      <c r="M3895" t="s">
        <v>1757</v>
      </c>
    </row>
    <row r="3896" spans="1:13" x14ac:dyDescent="0.45">
      <c r="A3896" t="s">
        <v>6915</v>
      </c>
      <c r="B3896">
        <v>1</v>
      </c>
      <c r="C3896" t="s">
        <v>1774</v>
      </c>
      <c r="G3896" s="3">
        <v>987.66348143806499</v>
      </c>
      <c r="H3896" t="s">
        <v>1755</v>
      </c>
      <c r="I3896" t="s">
        <v>6915</v>
      </c>
      <c r="M3896" t="s">
        <v>1757</v>
      </c>
    </row>
    <row r="3897" spans="1:13" x14ac:dyDescent="0.45">
      <c r="A3897" t="s">
        <v>6916</v>
      </c>
      <c r="B3897">
        <v>1</v>
      </c>
      <c r="C3897" t="s">
        <v>1774</v>
      </c>
      <c r="G3897" s="3">
        <v>191.11002489761489</v>
      </c>
      <c r="H3897" t="s">
        <v>1755</v>
      </c>
      <c r="I3897" t="s">
        <v>6916</v>
      </c>
      <c r="M3897" t="s">
        <v>1757</v>
      </c>
    </row>
    <row r="3898" spans="1:13" x14ac:dyDescent="0.45">
      <c r="A3898" t="s">
        <v>6917</v>
      </c>
      <c r="B3898">
        <v>1</v>
      </c>
      <c r="C3898" t="s">
        <v>1774</v>
      </c>
      <c r="G3898" s="3">
        <v>488.14846583731833</v>
      </c>
      <c r="H3898" t="s">
        <v>1755</v>
      </c>
      <c r="I3898" t="s">
        <v>6917</v>
      </c>
      <c r="M3898" t="s">
        <v>1757</v>
      </c>
    </row>
    <row r="3899" spans="1:13" x14ac:dyDescent="0.45">
      <c r="A3899" t="s">
        <v>6918</v>
      </c>
      <c r="B3899">
        <v>1</v>
      </c>
      <c r="C3899" t="s">
        <v>1774</v>
      </c>
      <c r="G3899" s="3">
        <v>810.26050447037392</v>
      </c>
      <c r="H3899" t="s">
        <v>1755</v>
      </c>
      <c r="I3899" t="s">
        <v>6918</v>
      </c>
      <c r="M3899" t="s">
        <v>1757</v>
      </c>
    </row>
    <row r="3900" spans="1:13" x14ac:dyDescent="0.45">
      <c r="A3900" t="s">
        <v>6919</v>
      </c>
      <c r="B3900">
        <v>1</v>
      </c>
      <c r="C3900" t="s">
        <v>1774</v>
      </c>
      <c r="G3900" s="3">
        <v>123.57119298192021</v>
      </c>
      <c r="H3900" t="s">
        <v>1755</v>
      </c>
      <c r="I3900" t="s">
        <v>6919</v>
      </c>
      <c r="M3900" t="s">
        <v>1757</v>
      </c>
    </row>
    <row r="3901" spans="1:13" x14ac:dyDescent="0.45">
      <c r="A3901" t="s">
        <v>6920</v>
      </c>
      <c r="B3901">
        <v>4</v>
      </c>
      <c r="C3901" t="s">
        <v>1774</v>
      </c>
      <c r="G3901" s="3">
        <v>211.98305460235329</v>
      </c>
      <c r="H3901" t="s">
        <v>1755</v>
      </c>
      <c r="I3901" t="s">
        <v>6920</v>
      </c>
      <c r="M3901" t="s">
        <v>1757</v>
      </c>
    </row>
    <row r="3902" spans="1:13" x14ac:dyDescent="0.45">
      <c r="A3902" t="s">
        <v>6921</v>
      </c>
      <c r="B3902">
        <v>1</v>
      </c>
      <c r="C3902" t="s">
        <v>1774</v>
      </c>
      <c r="G3902" s="3">
        <v>202.6018187100866</v>
      </c>
      <c r="H3902" t="s">
        <v>1755</v>
      </c>
      <c r="I3902" t="s">
        <v>6921</v>
      </c>
      <c r="M3902" t="s">
        <v>1757</v>
      </c>
    </row>
    <row r="3903" spans="1:13" x14ac:dyDescent="0.45">
      <c r="A3903" t="s">
        <v>6922</v>
      </c>
      <c r="B3903">
        <v>1</v>
      </c>
      <c r="C3903" t="s">
        <v>1774</v>
      </c>
      <c r="G3903" s="3">
        <v>451.43630396152162</v>
      </c>
      <c r="H3903" t="s">
        <v>1755</v>
      </c>
      <c r="I3903" t="s">
        <v>6922</v>
      </c>
      <c r="M3903" t="s">
        <v>1757</v>
      </c>
    </row>
    <row r="3904" spans="1:13" x14ac:dyDescent="0.45">
      <c r="A3904" t="s">
        <v>6923</v>
      </c>
      <c r="B3904">
        <v>2</v>
      </c>
      <c r="C3904" t="s">
        <v>1774</v>
      </c>
      <c r="G3904" s="3">
        <v>121.7580896781929</v>
      </c>
      <c r="H3904" t="s">
        <v>1755</v>
      </c>
      <c r="I3904" t="s">
        <v>6923</v>
      </c>
      <c r="M3904" t="s">
        <v>1757</v>
      </c>
    </row>
    <row r="3905" spans="1:13" x14ac:dyDescent="0.45">
      <c r="A3905" t="s">
        <v>6924</v>
      </c>
      <c r="B3905">
        <v>1</v>
      </c>
      <c r="C3905" t="s">
        <v>1774</v>
      </c>
      <c r="G3905" s="3">
        <v>841.25514504479611</v>
      </c>
      <c r="H3905" t="s">
        <v>1755</v>
      </c>
      <c r="I3905" t="s">
        <v>6924</v>
      </c>
      <c r="M3905" t="s">
        <v>1757</v>
      </c>
    </row>
    <row r="3906" spans="1:13" x14ac:dyDescent="0.45">
      <c r="A3906" t="s">
        <v>6925</v>
      </c>
      <c r="B3906">
        <v>1</v>
      </c>
      <c r="C3906" t="s">
        <v>1774</v>
      </c>
      <c r="G3906" s="3">
        <v>328.24704009790759</v>
      </c>
      <c r="H3906" t="s">
        <v>1755</v>
      </c>
      <c r="I3906" t="s">
        <v>6925</v>
      </c>
      <c r="M3906" t="s">
        <v>1757</v>
      </c>
    </row>
    <row r="3907" spans="1:13" x14ac:dyDescent="0.45">
      <c r="A3907" t="s">
        <v>6926</v>
      </c>
      <c r="B3907">
        <v>1</v>
      </c>
      <c r="C3907" t="s">
        <v>1774</v>
      </c>
      <c r="G3907" s="3">
        <v>466.85371593619209</v>
      </c>
      <c r="H3907" t="s">
        <v>1755</v>
      </c>
      <c r="I3907" t="s">
        <v>6926</v>
      </c>
      <c r="M3907" t="s">
        <v>1757</v>
      </c>
    </row>
    <row r="3908" spans="1:13" x14ac:dyDescent="0.45">
      <c r="A3908" t="s">
        <v>6927</v>
      </c>
      <c r="B3908">
        <v>1</v>
      </c>
      <c r="C3908" t="s">
        <v>1774</v>
      </c>
      <c r="G3908" s="3">
        <v>90.093197747562854</v>
      </c>
      <c r="H3908" t="s">
        <v>1755</v>
      </c>
      <c r="I3908" t="s">
        <v>6927</v>
      </c>
      <c r="M3908" t="s">
        <v>1757</v>
      </c>
    </row>
    <row r="3909" spans="1:13" x14ac:dyDescent="0.45">
      <c r="A3909" t="s">
        <v>6928</v>
      </c>
      <c r="B3909">
        <v>2</v>
      </c>
      <c r="C3909" t="s">
        <v>1774</v>
      </c>
      <c r="G3909" s="3">
        <v>1071.762903432327</v>
      </c>
      <c r="H3909" t="s">
        <v>1755</v>
      </c>
      <c r="I3909" t="s">
        <v>6928</v>
      </c>
      <c r="M3909" t="s">
        <v>1757</v>
      </c>
    </row>
    <row r="3910" spans="1:13" x14ac:dyDescent="0.45">
      <c r="A3910" t="s">
        <v>6929</v>
      </c>
      <c r="B3910">
        <v>1</v>
      </c>
      <c r="C3910" t="s">
        <v>1774</v>
      </c>
      <c r="G3910" s="3">
        <v>129.27044952614261</v>
      </c>
      <c r="H3910" t="s">
        <v>1755</v>
      </c>
      <c r="I3910" t="s">
        <v>6929</v>
      </c>
      <c r="M3910" t="s">
        <v>1757</v>
      </c>
    </row>
    <row r="3911" spans="1:13" x14ac:dyDescent="0.45">
      <c r="A3911" t="s">
        <v>6930</v>
      </c>
      <c r="B3911">
        <v>2</v>
      </c>
      <c r="C3911" t="s">
        <v>1774</v>
      </c>
      <c r="G3911" s="3">
        <v>230.6398517205065</v>
      </c>
      <c r="H3911" t="s">
        <v>1755</v>
      </c>
      <c r="I3911" t="s">
        <v>6930</v>
      </c>
      <c r="M3911" t="s">
        <v>1757</v>
      </c>
    </row>
    <row r="3912" spans="1:13" x14ac:dyDescent="0.45">
      <c r="A3912" t="s">
        <v>6931</v>
      </c>
      <c r="B3912">
        <v>1</v>
      </c>
      <c r="C3912" t="s">
        <v>1774</v>
      </c>
      <c r="G3912" s="3">
        <v>140.85552406264139</v>
      </c>
      <c r="H3912" t="s">
        <v>1755</v>
      </c>
      <c r="I3912" t="s">
        <v>6931</v>
      </c>
      <c r="M3912" t="s">
        <v>1757</v>
      </c>
    </row>
    <row r="3913" spans="1:13" x14ac:dyDescent="0.45">
      <c r="A3913" t="s">
        <v>6932</v>
      </c>
      <c r="B3913">
        <v>1</v>
      </c>
      <c r="C3913" t="s">
        <v>1774</v>
      </c>
      <c r="G3913" s="3">
        <v>334.47662691229738</v>
      </c>
      <c r="H3913" t="s">
        <v>1755</v>
      </c>
      <c r="I3913" t="s">
        <v>6932</v>
      </c>
      <c r="M3913" t="s">
        <v>1757</v>
      </c>
    </row>
    <row r="3914" spans="1:13" x14ac:dyDescent="0.45">
      <c r="A3914" t="s">
        <v>6933</v>
      </c>
      <c r="B3914">
        <v>4</v>
      </c>
      <c r="C3914" t="s">
        <v>1774</v>
      </c>
      <c r="G3914" s="3">
        <v>552.58065825526091</v>
      </c>
      <c r="H3914" t="s">
        <v>1755</v>
      </c>
      <c r="I3914" t="s">
        <v>6933</v>
      </c>
      <c r="M3914" t="s">
        <v>1757</v>
      </c>
    </row>
    <row r="3915" spans="1:13" x14ac:dyDescent="0.45">
      <c r="A3915" t="s">
        <v>6934</v>
      </c>
      <c r="B3915">
        <v>1</v>
      </c>
      <c r="C3915" t="s">
        <v>1774</v>
      </c>
      <c r="G3915" s="3">
        <v>550.33996394034693</v>
      </c>
      <c r="H3915" t="s">
        <v>1755</v>
      </c>
      <c r="I3915" t="s">
        <v>6934</v>
      </c>
      <c r="M3915" t="s">
        <v>1757</v>
      </c>
    </row>
    <row r="3916" spans="1:13" x14ac:dyDescent="0.45">
      <c r="A3916" t="s">
        <v>6935</v>
      </c>
      <c r="B3916">
        <v>1</v>
      </c>
      <c r="C3916" t="s">
        <v>1774</v>
      </c>
      <c r="G3916" s="3">
        <v>454.9555312770853</v>
      </c>
      <c r="H3916" t="s">
        <v>1755</v>
      </c>
      <c r="I3916" t="s">
        <v>6935</v>
      </c>
      <c r="M3916" t="s">
        <v>1757</v>
      </c>
    </row>
    <row r="3917" spans="1:13" x14ac:dyDescent="0.45">
      <c r="A3917" t="s">
        <v>6936</v>
      </c>
      <c r="B3917">
        <v>3</v>
      </c>
      <c r="C3917" t="s">
        <v>1774</v>
      </c>
      <c r="G3917" s="3">
        <v>362.22601152843799</v>
      </c>
      <c r="H3917" t="s">
        <v>1755</v>
      </c>
      <c r="I3917" t="s">
        <v>6936</v>
      </c>
      <c r="M3917" t="s">
        <v>1757</v>
      </c>
    </row>
    <row r="3918" spans="1:13" x14ac:dyDescent="0.45">
      <c r="A3918" t="s">
        <v>6937</v>
      </c>
      <c r="B3918">
        <v>1</v>
      </c>
      <c r="C3918" t="s">
        <v>1774</v>
      </c>
      <c r="G3918" s="3">
        <v>385.21025146613692</v>
      </c>
      <c r="H3918" t="s">
        <v>1755</v>
      </c>
      <c r="I3918" t="s">
        <v>6937</v>
      </c>
      <c r="M3918" t="s">
        <v>1757</v>
      </c>
    </row>
    <row r="3919" spans="1:13" x14ac:dyDescent="0.45">
      <c r="A3919" t="s">
        <v>6938</v>
      </c>
      <c r="B3919">
        <v>3</v>
      </c>
      <c r="C3919" t="s">
        <v>1774</v>
      </c>
      <c r="G3919" s="3">
        <v>240.0435924028356</v>
      </c>
      <c r="H3919" t="s">
        <v>1755</v>
      </c>
      <c r="I3919" t="s">
        <v>6938</v>
      </c>
      <c r="M3919" t="s">
        <v>1757</v>
      </c>
    </row>
    <row r="3920" spans="1:13" x14ac:dyDescent="0.45">
      <c r="A3920" t="s">
        <v>6939</v>
      </c>
      <c r="B3920">
        <v>3</v>
      </c>
      <c r="C3920" t="s">
        <v>1774</v>
      </c>
      <c r="G3920" s="3">
        <v>117.4547824305982</v>
      </c>
      <c r="H3920" t="s">
        <v>1755</v>
      </c>
      <c r="I3920" t="s">
        <v>6939</v>
      </c>
      <c r="M3920" t="s">
        <v>1757</v>
      </c>
    </row>
    <row r="3921" spans="1:13" x14ac:dyDescent="0.45">
      <c r="A3921" t="s">
        <v>6940</v>
      </c>
      <c r="B3921">
        <v>1</v>
      </c>
      <c r="C3921" t="s">
        <v>1774</v>
      </c>
      <c r="G3921" s="3">
        <v>357.3271427351325</v>
      </c>
      <c r="H3921" t="s">
        <v>1755</v>
      </c>
      <c r="I3921" t="s">
        <v>6940</v>
      </c>
      <c r="M3921" t="s">
        <v>1757</v>
      </c>
    </row>
    <row r="3922" spans="1:13" x14ac:dyDescent="0.45">
      <c r="A3922" t="s">
        <v>6941</v>
      </c>
      <c r="B3922">
        <v>2</v>
      </c>
      <c r="C3922" t="s">
        <v>1774</v>
      </c>
      <c r="G3922" s="3">
        <v>561.43906547404765</v>
      </c>
      <c r="H3922" t="s">
        <v>1755</v>
      </c>
      <c r="I3922" t="s">
        <v>6941</v>
      </c>
      <c r="M3922" t="s">
        <v>1757</v>
      </c>
    </row>
    <row r="3923" spans="1:13" x14ac:dyDescent="0.45">
      <c r="A3923" t="s">
        <v>6942</v>
      </c>
      <c r="B3923">
        <v>1</v>
      </c>
      <c r="C3923" t="s">
        <v>1774</v>
      </c>
      <c r="G3923" s="3">
        <v>448.69985195247813</v>
      </c>
      <c r="H3923" t="s">
        <v>1755</v>
      </c>
      <c r="I3923" t="s">
        <v>6942</v>
      </c>
      <c r="M3923" t="s">
        <v>1757</v>
      </c>
    </row>
    <row r="3924" spans="1:13" x14ac:dyDescent="0.45">
      <c r="A3924" t="s">
        <v>6943</v>
      </c>
      <c r="B3924">
        <v>1</v>
      </c>
      <c r="C3924" t="s">
        <v>1774</v>
      </c>
      <c r="G3924" s="3">
        <v>577.68165308434141</v>
      </c>
      <c r="H3924" t="s">
        <v>1755</v>
      </c>
      <c r="I3924" t="s">
        <v>6943</v>
      </c>
      <c r="M3924" t="s">
        <v>1757</v>
      </c>
    </row>
    <row r="3925" spans="1:13" x14ac:dyDescent="0.45">
      <c r="A3925" t="s">
        <v>6944</v>
      </c>
      <c r="B3925">
        <v>1</v>
      </c>
      <c r="C3925" t="s">
        <v>1774</v>
      </c>
      <c r="G3925" s="3">
        <v>246.49561786682821</v>
      </c>
      <c r="H3925" t="s">
        <v>1755</v>
      </c>
      <c r="I3925" t="s">
        <v>6944</v>
      </c>
      <c r="M3925" t="s">
        <v>1757</v>
      </c>
    </row>
    <row r="3926" spans="1:13" x14ac:dyDescent="0.45">
      <c r="A3926" t="s">
        <v>6945</v>
      </c>
      <c r="B3926">
        <v>1</v>
      </c>
      <c r="C3926" t="s">
        <v>1774</v>
      </c>
      <c r="G3926" s="3">
        <v>349.16671016465961</v>
      </c>
      <c r="H3926" t="s">
        <v>1755</v>
      </c>
      <c r="I3926" t="s">
        <v>6945</v>
      </c>
      <c r="M3926" t="s">
        <v>1757</v>
      </c>
    </row>
    <row r="3927" spans="1:13" x14ac:dyDescent="0.45">
      <c r="A3927" t="s">
        <v>6946</v>
      </c>
      <c r="B3927">
        <v>1</v>
      </c>
      <c r="C3927" t="s">
        <v>1774</v>
      </c>
      <c r="G3927" s="3">
        <v>223.3280780448525</v>
      </c>
      <c r="H3927" t="s">
        <v>1755</v>
      </c>
      <c r="I3927" t="s">
        <v>6946</v>
      </c>
      <c r="M3927" t="s">
        <v>1757</v>
      </c>
    </row>
    <row r="3928" spans="1:13" x14ac:dyDescent="0.45">
      <c r="A3928" t="s">
        <v>6947</v>
      </c>
      <c r="B3928">
        <v>2</v>
      </c>
      <c r="C3928" t="s">
        <v>1774</v>
      </c>
      <c r="G3928" s="3">
        <v>374.63952326433719</v>
      </c>
      <c r="H3928" t="s">
        <v>1755</v>
      </c>
      <c r="I3928" t="s">
        <v>6947</v>
      </c>
      <c r="M3928" t="s">
        <v>1757</v>
      </c>
    </row>
    <row r="3929" spans="1:13" x14ac:dyDescent="0.45">
      <c r="A3929" t="s">
        <v>6948</v>
      </c>
      <c r="B3929">
        <v>1</v>
      </c>
      <c r="C3929" t="s">
        <v>1774</v>
      </c>
      <c r="G3929" s="3">
        <v>1396.3504689722531</v>
      </c>
      <c r="H3929" t="s">
        <v>1755</v>
      </c>
      <c r="I3929" t="s">
        <v>6948</v>
      </c>
      <c r="M3929" t="s">
        <v>1757</v>
      </c>
    </row>
    <row r="3930" spans="1:13" x14ac:dyDescent="0.45">
      <c r="A3930" t="s">
        <v>6949</v>
      </c>
      <c r="B3930">
        <v>2</v>
      </c>
      <c r="C3930" t="s">
        <v>1774</v>
      </c>
      <c r="G3930" s="3">
        <v>1084.9526673471919</v>
      </c>
      <c r="H3930" t="s">
        <v>1755</v>
      </c>
      <c r="I3930" t="s">
        <v>6949</v>
      </c>
      <c r="M3930" t="s">
        <v>1757</v>
      </c>
    </row>
    <row r="3931" spans="1:13" x14ac:dyDescent="0.45">
      <c r="A3931" t="s">
        <v>6950</v>
      </c>
      <c r="B3931">
        <v>1</v>
      </c>
      <c r="C3931" t="s">
        <v>1774</v>
      </c>
      <c r="G3931" s="3">
        <v>1266.2271205183811</v>
      </c>
      <c r="H3931" t="s">
        <v>1755</v>
      </c>
      <c r="I3931" t="s">
        <v>6950</v>
      </c>
      <c r="M3931" t="s">
        <v>1757</v>
      </c>
    </row>
    <row r="3932" spans="1:13" x14ac:dyDescent="0.45">
      <c r="A3932" t="s">
        <v>6951</v>
      </c>
      <c r="B3932">
        <v>1</v>
      </c>
      <c r="C3932" t="s">
        <v>1774</v>
      </c>
      <c r="G3932" s="3">
        <v>1054.3494144260301</v>
      </c>
      <c r="H3932" t="s">
        <v>1755</v>
      </c>
      <c r="I3932" t="s">
        <v>6951</v>
      </c>
      <c r="M3932" t="s">
        <v>1757</v>
      </c>
    </row>
    <row r="3933" spans="1:13" x14ac:dyDescent="0.45">
      <c r="A3933" t="s">
        <v>6952</v>
      </c>
      <c r="B3933">
        <v>1</v>
      </c>
      <c r="C3933" t="s">
        <v>1774</v>
      </c>
      <c r="G3933" s="3">
        <v>1040.556261212389</v>
      </c>
      <c r="H3933" t="s">
        <v>1755</v>
      </c>
      <c r="I3933" t="s">
        <v>6952</v>
      </c>
      <c r="M3933" t="s">
        <v>1757</v>
      </c>
    </row>
    <row r="3934" spans="1:13" x14ac:dyDescent="0.45">
      <c r="A3934" t="s">
        <v>6953</v>
      </c>
      <c r="B3934">
        <v>1</v>
      </c>
      <c r="C3934" t="s">
        <v>1774</v>
      </c>
      <c r="G3934" s="3">
        <v>296.37601733656061</v>
      </c>
      <c r="H3934" t="s">
        <v>1755</v>
      </c>
      <c r="I3934" t="s">
        <v>6953</v>
      </c>
      <c r="M3934" t="s">
        <v>1757</v>
      </c>
    </row>
    <row r="3935" spans="1:13" x14ac:dyDescent="0.45">
      <c r="A3935" t="s">
        <v>6954</v>
      </c>
      <c r="B3935">
        <v>1</v>
      </c>
      <c r="C3935" t="s">
        <v>1774</v>
      </c>
      <c r="G3935" s="3">
        <v>533.84623591921115</v>
      </c>
      <c r="H3935" t="s">
        <v>1755</v>
      </c>
      <c r="I3935" t="s">
        <v>6954</v>
      </c>
      <c r="M3935" t="s">
        <v>1757</v>
      </c>
    </row>
    <row r="3936" spans="1:13" x14ac:dyDescent="0.45">
      <c r="A3936" t="s">
        <v>6955</v>
      </c>
      <c r="B3936">
        <v>1</v>
      </c>
      <c r="C3936" t="s">
        <v>1774</v>
      </c>
      <c r="G3936" s="3">
        <v>653.91744481185299</v>
      </c>
      <c r="H3936" t="s">
        <v>1755</v>
      </c>
      <c r="I3936" t="s">
        <v>6955</v>
      </c>
      <c r="M3936" t="s">
        <v>1757</v>
      </c>
    </row>
    <row r="3937" spans="1:13" x14ac:dyDescent="0.45">
      <c r="A3937" t="s">
        <v>6956</v>
      </c>
      <c r="B3937">
        <v>2</v>
      </c>
      <c r="C3937" t="s">
        <v>1774</v>
      </c>
      <c r="G3937" s="3">
        <v>1301.419393674018</v>
      </c>
      <c r="H3937" t="s">
        <v>1755</v>
      </c>
      <c r="I3937" t="s">
        <v>6956</v>
      </c>
      <c r="M3937" t="s">
        <v>1757</v>
      </c>
    </row>
    <row r="3938" spans="1:13" x14ac:dyDescent="0.45">
      <c r="A3938" t="s">
        <v>6957</v>
      </c>
      <c r="B3938">
        <v>2</v>
      </c>
      <c r="C3938" t="s">
        <v>1774</v>
      </c>
      <c r="G3938" s="3">
        <v>376.54753807398021</v>
      </c>
      <c r="H3938" t="s">
        <v>1755</v>
      </c>
      <c r="I3938" t="s">
        <v>6957</v>
      </c>
      <c r="M3938" t="s">
        <v>1757</v>
      </c>
    </row>
    <row r="3939" spans="1:13" x14ac:dyDescent="0.45">
      <c r="A3939" t="s">
        <v>6958</v>
      </c>
      <c r="B3939">
        <v>2</v>
      </c>
      <c r="C3939" t="s">
        <v>1774</v>
      </c>
      <c r="G3939" s="3">
        <v>481.00237960154442</v>
      </c>
      <c r="H3939" t="s">
        <v>1755</v>
      </c>
      <c r="I3939" t="s">
        <v>6958</v>
      </c>
      <c r="M3939" t="s">
        <v>1757</v>
      </c>
    </row>
    <row r="3940" spans="1:13" x14ac:dyDescent="0.45">
      <c r="A3940" t="s">
        <v>6959</v>
      </c>
      <c r="B3940">
        <v>2</v>
      </c>
      <c r="C3940" t="s">
        <v>1774</v>
      </c>
      <c r="G3940" s="3">
        <v>478.98673318725491</v>
      </c>
      <c r="H3940" t="s">
        <v>1755</v>
      </c>
      <c r="I3940" t="s">
        <v>6959</v>
      </c>
      <c r="M3940" t="s">
        <v>1757</v>
      </c>
    </row>
    <row r="3941" spans="1:13" x14ac:dyDescent="0.45">
      <c r="A3941" t="s">
        <v>6960</v>
      </c>
      <c r="B3941">
        <v>1</v>
      </c>
      <c r="C3941" t="s">
        <v>1774</v>
      </c>
      <c r="G3941" s="3">
        <v>138.3101996909399</v>
      </c>
      <c r="H3941" t="s">
        <v>1755</v>
      </c>
      <c r="I3941" t="s">
        <v>6960</v>
      </c>
      <c r="M3941" t="s">
        <v>1757</v>
      </c>
    </row>
    <row r="3942" spans="1:13" x14ac:dyDescent="0.45">
      <c r="A3942" t="s">
        <v>6961</v>
      </c>
      <c r="B3942">
        <v>2</v>
      </c>
      <c r="C3942" t="s">
        <v>1774</v>
      </c>
      <c r="G3942" s="3">
        <v>454.93596189442229</v>
      </c>
      <c r="H3942" t="s">
        <v>1755</v>
      </c>
      <c r="I3942" t="s">
        <v>6961</v>
      </c>
      <c r="M3942" t="s">
        <v>1757</v>
      </c>
    </row>
    <row r="3943" spans="1:13" x14ac:dyDescent="0.45">
      <c r="A3943" t="s">
        <v>6962</v>
      </c>
      <c r="B3943">
        <v>2</v>
      </c>
      <c r="C3943" t="s">
        <v>1774</v>
      </c>
      <c r="G3943" s="3">
        <v>237.28267866546341</v>
      </c>
      <c r="H3943" t="s">
        <v>1755</v>
      </c>
      <c r="I3943" t="s">
        <v>6962</v>
      </c>
      <c r="M3943" t="s">
        <v>1757</v>
      </c>
    </row>
    <row r="3944" spans="1:13" x14ac:dyDescent="0.45">
      <c r="A3944" t="s">
        <v>6963</v>
      </c>
      <c r="B3944">
        <v>1</v>
      </c>
      <c r="C3944" t="s">
        <v>1774</v>
      </c>
      <c r="G3944" s="3">
        <v>105.9284160420885</v>
      </c>
      <c r="H3944" t="s">
        <v>1755</v>
      </c>
      <c r="I3944" t="s">
        <v>6963</v>
      </c>
      <c r="M3944" t="s">
        <v>1757</v>
      </c>
    </row>
    <row r="3945" spans="1:13" x14ac:dyDescent="0.45">
      <c r="A3945" t="s">
        <v>6964</v>
      </c>
      <c r="B3945">
        <v>1</v>
      </c>
      <c r="C3945" t="s">
        <v>1774</v>
      </c>
      <c r="G3945" s="3">
        <v>179.43003885520059</v>
      </c>
      <c r="H3945" t="s">
        <v>1755</v>
      </c>
      <c r="I3945" t="s">
        <v>6964</v>
      </c>
      <c r="M3945" t="s">
        <v>1757</v>
      </c>
    </row>
    <row r="3946" spans="1:13" x14ac:dyDescent="0.45">
      <c r="A3946" t="s">
        <v>6965</v>
      </c>
      <c r="B3946">
        <v>1</v>
      </c>
      <c r="C3946" t="s">
        <v>1774</v>
      </c>
      <c r="G3946" s="3">
        <v>658.56843475809376</v>
      </c>
      <c r="H3946" t="s">
        <v>1755</v>
      </c>
      <c r="I3946" t="s">
        <v>6965</v>
      </c>
      <c r="M3946" t="s">
        <v>1757</v>
      </c>
    </row>
    <row r="3947" spans="1:13" x14ac:dyDescent="0.45">
      <c r="A3947" t="s">
        <v>6966</v>
      </c>
      <c r="B3947">
        <v>2</v>
      </c>
      <c r="C3947" t="s">
        <v>1774</v>
      </c>
      <c r="G3947" s="3">
        <v>506.00226595353269</v>
      </c>
      <c r="H3947" t="s">
        <v>1755</v>
      </c>
      <c r="I3947" t="s">
        <v>6966</v>
      </c>
      <c r="M3947" t="s">
        <v>1757</v>
      </c>
    </row>
    <row r="3948" spans="1:13" x14ac:dyDescent="0.45">
      <c r="A3948" t="s">
        <v>6967</v>
      </c>
      <c r="B3948">
        <v>1</v>
      </c>
      <c r="C3948" t="s">
        <v>1774</v>
      </c>
      <c r="G3948" s="3">
        <v>485.72838551465998</v>
      </c>
      <c r="H3948" t="s">
        <v>1755</v>
      </c>
      <c r="I3948" t="s">
        <v>6967</v>
      </c>
      <c r="M3948" t="s">
        <v>1757</v>
      </c>
    </row>
    <row r="3949" spans="1:13" x14ac:dyDescent="0.45">
      <c r="A3949" t="s">
        <v>6968</v>
      </c>
      <c r="B3949">
        <v>1</v>
      </c>
      <c r="C3949" t="s">
        <v>1774</v>
      </c>
      <c r="G3949" s="3">
        <v>336.90975349006442</v>
      </c>
      <c r="H3949" t="s">
        <v>1755</v>
      </c>
      <c r="I3949" t="s">
        <v>6968</v>
      </c>
      <c r="M3949" t="s">
        <v>1757</v>
      </c>
    </row>
    <row r="3950" spans="1:13" x14ac:dyDescent="0.45">
      <c r="A3950" t="s">
        <v>6969</v>
      </c>
      <c r="B3950">
        <v>2</v>
      </c>
      <c r="C3950" t="s">
        <v>1774</v>
      </c>
      <c r="G3950" s="3">
        <v>360.44519770610458</v>
      </c>
      <c r="H3950" t="s">
        <v>1755</v>
      </c>
      <c r="I3950" t="s">
        <v>6969</v>
      </c>
      <c r="M3950" t="s">
        <v>1757</v>
      </c>
    </row>
    <row r="3951" spans="1:13" x14ac:dyDescent="0.45">
      <c r="A3951" t="s">
        <v>6970</v>
      </c>
      <c r="B3951">
        <v>1</v>
      </c>
      <c r="C3951" t="s">
        <v>1774</v>
      </c>
      <c r="G3951" s="3">
        <v>751.15770726432288</v>
      </c>
      <c r="H3951" t="s">
        <v>1755</v>
      </c>
      <c r="I3951" t="s">
        <v>6970</v>
      </c>
      <c r="M3951" t="s">
        <v>1757</v>
      </c>
    </row>
    <row r="3952" spans="1:13" x14ac:dyDescent="0.45">
      <c r="A3952" t="s">
        <v>6971</v>
      </c>
      <c r="B3952">
        <v>1</v>
      </c>
      <c r="C3952" t="s">
        <v>1774</v>
      </c>
      <c r="G3952" s="3">
        <v>134.2652082944968</v>
      </c>
      <c r="H3952" t="s">
        <v>1755</v>
      </c>
      <c r="I3952" t="s">
        <v>6971</v>
      </c>
      <c r="M3952" t="s">
        <v>1757</v>
      </c>
    </row>
    <row r="3953" spans="1:13" x14ac:dyDescent="0.45">
      <c r="A3953" t="s">
        <v>6972</v>
      </c>
      <c r="B3953">
        <v>1</v>
      </c>
      <c r="C3953" t="s">
        <v>1774</v>
      </c>
      <c r="G3953" s="3">
        <v>279.85326139780813</v>
      </c>
      <c r="H3953" t="s">
        <v>1755</v>
      </c>
      <c r="I3953" t="s">
        <v>6972</v>
      </c>
      <c r="M3953" t="s">
        <v>1757</v>
      </c>
    </row>
    <row r="3954" spans="1:13" x14ac:dyDescent="0.45">
      <c r="A3954" t="s">
        <v>6973</v>
      </c>
      <c r="B3954">
        <v>1</v>
      </c>
      <c r="C3954" t="s">
        <v>1774</v>
      </c>
      <c r="G3954" s="3">
        <v>409.20557617475771</v>
      </c>
      <c r="H3954" t="s">
        <v>1755</v>
      </c>
      <c r="I3954" t="s">
        <v>6973</v>
      </c>
      <c r="M3954" t="s">
        <v>1757</v>
      </c>
    </row>
    <row r="3955" spans="1:13" x14ac:dyDescent="0.45">
      <c r="A3955" t="s">
        <v>6974</v>
      </c>
      <c r="B3955">
        <v>1</v>
      </c>
      <c r="C3955" t="s">
        <v>1774</v>
      </c>
      <c r="G3955" s="3">
        <v>239.18514881668511</v>
      </c>
      <c r="H3955" t="s">
        <v>1755</v>
      </c>
      <c r="I3955" t="s">
        <v>6974</v>
      </c>
      <c r="M3955" t="s">
        <v>1757</v>
      </c>
    </row>
    <row r="3956" spans="1:13" x14ac:dyDescent="0.45">
      <c r="A3956" t="s">
        <v>6975</v>
      </c>
      <c r="B3956">
        <v>2</v>
      </c>
      <c r="C3956" t="s">
        <v>1774</v>
      </c>
      <c r="G3956" s="3">
        <v>73.211343636944221</v>
      </c>
      <c r="H3956" t="s">
        <v>1755</v>
      </c>
      <c r="I3956" t="s">
        <v>6975</v>
      </c>
      <c r="M3956" t="s">
        <v>1757</v>
      </c>
    </row>
    <row r="3957" spans="1:13" x14ac:dyDescent="0.45">
      <c r="A3957" t="s">
        <v>6976</v>
      </c>
      <c r="B3957">
        <v>1</v>
      </c>
      <c r="C3957" t="s">
        <v>1774</v>
      </c>
      <c r="G3957" s="3">
        <v>299.85577973042058</v>
      </c>
      <c r="H3957" t="s">
        <v>1755</v>
      </c>
      <c r="I3957" t="s">
        <v>6976</v>
      </c>
      <c r="M3957" t="s">
        <v>1757</v>
      </c>
    </row>
    <row r="3958" spans="1:13" x14ac:dyDescent="0.45">
      <c r="A3958" t="s">
        <v>6977</v>
      </c>
      <c r="B3958">
        <v>1</v>
      </c>
      <c r="C3958" t="s">
        <v>1774</v>
      </c>
      <c r="G3958" s="3">
        <v>99.546840355682662</v>
      </c>
      <c r="H3958" t="s">
        <v>1755</v>
      </c>
      <c r="I3958" t="s">
        <v>6977</v>
      </c>
      <c r="M3958" t="s">
        <v>1757</v>
      </c>
    </row>
    <row r="3959" spans="1:13" x14ac:dyDescent="0.45">
      <c r="A3959" t="s">
        <v>6978</v>
      </c>
      <c r="B3959">
        <v>2</v>
      </c>
      <c r="C3959" t="s">
        <v>1774</v>
      </c>
      <c r="G3959" s="3">
        <v>256.82042415982937</v>
      </c>
      <c r="H3959" t="s">
        <v>1755</v>
      </c>
      <c r="I3959" t="s">
        <v>6978</v>
      </c>
      <c r="M3959" t="s">
        <v>1757</v>
      </c>
    </row>
    <row r="3960" spans="1:13" x14ac:dyDescent="0.45">
      <c r="A3960" t="s">
        <v>6979</v>
      </c>
      <c r="B3960">
        <v>1</v>
      </c>
      <c r="C3960" t="s">
        <v>1774</v>
      </c>
      <c r="G3960" s="3">
        <v>282.38064716873521</v>
      </c>
      <c r="H3960" t="s">
        <v>1755</v>
      </c>
      <c r="I3960" t="s">
        <v>6979</v>
      </c>
      <c r="M3960" t="s">
        <v>1757</v>
      </c>
    </row>
    <row r="3961" spans="1:13" x14ac:dyDescent="0.45">
      <c r="A3961" t="s">
        <v>6980</v>
      </c>
      <c r="B3961">
        <v>1</v>
      </c>
      <c r="C3961" t="s">
        <v>1774</v>
      </c>
      <c r="G3961" s="3">
        <v>122.1188186319476</v>
      </c>
      <c r="H3961" t="s">
        <v>1755</v>
      </c>
      <c r="I3961" t="s">
        <v>6980</v>
      </c>
      <c r="M3961" t="s">
        <v>1757</v>
      </c>
    </row>
    <row r="3962" spans="1:13" x14ac:dyDescent="0.45">
      <c r="A3962" t="s">
        <v>6981</v>
      </c>
      <c r="B3962">
        <v>2</v>
      </c>
      <c r="C3962" t="s">
        <v>1774</v>
      </c>
      <c r="G3962" s="3">
        <v>80.69076169074458</v>
      </c>
      <c r="H3962" t="s">
        <v>1755</v>
      </c>
      <c r="I3962" t="s">
        <v>6981</v>
      </c>
      <c r="M3962" t="s">
        <v>1757</v>
      </c>
    </row>
    <row r="3963" spans="1:13" x14ac:dyDescent="0.45">
      <c r="A3963" t="s">
        <v>6982</v>
      </c>
      <c r="B3963">
        <v>2</v>
      </c>
      <c r="C3963" t="s">
        <v>1774</v>
      </c>
      <c r="G3963" s="3">
        <v>169.43921669298129</v>
      </c>
      <c r="H3963" t="s">
        <v>1755</v>
      </c>
      <c r="I3963" t="s">
        <v>6982</v>
      </c>
      <c r="M3963" t="s">
        <v>1757</v>
      </c>
    </row>
    <row r="3964" spans="1:13" x14ac:dyDescent="0.45">
      <c r="A3964" t="s">
        <v>6983</v>
      </c>
      <c r="B3964">
        <v>2</v>
      </c>
      <c r="C3964" t="s">
        <v>1774</v>
      </c>
      <c r="G3964" s="3">
        <v>397.38893061008008</v>
      </c>
      <c r="H3964" t="s">
        <v>1755</v>
      </c>
      <c r="I3964" t="s">
        <v>6983</v>
      </c>
      <c r="M3964" t="s">
        <v>1757</v>
      </c>
    </row>
    <row r="3965" spans="1:13" x14ac:dyDescent="0.45">
      <c r="A3965" t="s">
        <v>6984</v>
      </c>
      <c r="B3965">
        <v>1</v>
      </c>
      <c r="C3965" t="s">
        <v>1774</v>
      </c>
      <c r="G3965" s="3">
        <v>498.66700901868319</v>
      </c>
      <c r="H3965" t="s">
        <v>1755</v>
      </c>
      <c r="I3965" t="s">
        <v>6984</v>
      </c>
      <c r="M3965" t="s">
        <v>1757</v>
      </c>
    </row>
    <row r="3966" spans="1:13" x14ac:dyDescent="0.45">
      <c r="A3966" t="s">
        <v>6985</v>
      </c>
      <c r="B3966">
        <v>1</v>
      </c>
      <c r="C3966" t="s">
        <v>1774</v>
      </c>
      <c r="G3966" s="3">
        <v>1096.756266656761</v>
      </c>
      <c r="H3966" t="s">
        <v>1755</v>
      </c>
      <c r="I3966" t="s">
        <v>6985</v>
      </c>
      <c r="M3966" t="s">
        <v>1757</v>
      </c>
    </row>
    <row r="3967" spans="1:13" x14ac:dyDescent="0.45">
      <c r="A3967" t="s">
        <v>6986</v>
      </c>
      <c r="B3967">
        <v>1</v>
      </c>
      <c r="C3967" t="s">
        <v>1774</v>
      </c>
      <c r="G3967" s="3">
        <v>805.78237740432303</v>
      </c>
      <c r="H3967" t="s">
        <v>1755</v>
      </c>
      <c r="I3967" t="s">
        <v>6986</v>
      </c>
      <c r="M3967" t="s">
        <v>1757</v>
      </c>
    </row>
    <row r="3968" spans="1:13" x14ac:dyDescent="0.45">
      <c r="A3968" t="s">
        <v>6987</v>
      </c>
      <c r="B3968">
        <v>1</v>
      </c>
      <c r="C3968" t="s">
        <v>1774</v>
      </c>
      <c r="G3968" s="3">
        <v>736.74811849679713</v>
      </c>
      <c r="H3968" t="s">
        <v>1755</v>
      </c>
      <c r="I3968" t="s">
        <v>6987</v>
      </c>
      <c r="M3968" t="s">
        <v>1757</v>
      </c>
    </row>
    <row r="3969" spans="1:13" x14ac:dyDescent="0.45">
      <c r="A3969" t="s">
        <v>6988</v>
      </c>
      <c r="B3969">
        <v>2</v>
      </c>
      <c r="C3969" t="s">
        <v>1774</v>
      </c>
      <c r="G3969" s="3">
        <v>326.32271746937892</v>
      </c>
      <c r="H3969" t="s">
        <v>1755</v>
      </c>
      <c r="I3969" t="s">
        <v>6988</v>
      </c>
      <c r="M3969" t="s">
        <v>1757</v>
      </c>
    </row>
    <row r="3970" spans="1:13" x14ac:dyDescent="0.45">
      <c r="A3970" t="s">
        <v>6989</v>
      </c>
      <c r="B3970">
        <v>1</v>
      </c>
      <c r="C3970" t="s">
        <v>1774</v>
      </c>
      <c r="G3970" s="3">
        <v>1160.0827889542441</v>
      </c>
      <c r="H3970" t="s">
        <v>1755</v>
      </c>
      <c r="I3970" t="s">
        <v>6989</v>
      </c>
      <c r="M3970" t="s">
        <v>1757</v>
      </c>
    </row>
    <row r="3971" spans="1:13" x14ac:dyDescent="0.45">
      <c r="A3971" t="s">
        <v>6990</v>
      </c>
      <c r="B3971">
        <v>1</v>
      </c>
      <c r="C3971" t="s">
        <v>1774</v>
      </c>
      <c r="G3971" s="3">
        <v>1133.6967379969601</v>
      </c>
      <c r="H3971" t="s">
        <v>1755</v>
      </c>
      <c r="I3971" t="s">
        <v>6990</v>
      </c>
      <c r="M3971" t="s">
        <v>1757</v>
      </c>
    </row>
    <row r="3972" spans="1:13" x14ac:dyDescent="0.45">
      <c r="A3972" t="s">
        <v>6991</v>
      </c>
      <c r="B3972">
        <v>1</v>
      </c>
      <c r="C3972" t="s">
        <v>1774</v>
      </c>
      <c r="G3972" s="3">
        <v>1097.8684599047749</v>
      </c>
      <c r="H3972" t="s">
        <v>1755</v>
      </c>
      <c r="I3972" t="s">
        <v>6991</v>
      </c>
      <c r="M3972" t="s">
        <v>1757</v>
      </c>
    </row>
    <row r="3973" spans="1:13" x14ac:dyDescent="0.45">
      <c r="A3973" t="s">
        <v>6992</v>
      </c>
      <c r="B3973">
        <v>1</v>
      </c>
      <c r="C3973" t="s">
        <v>1774</v>
      </c>
      <c r="G3973" s="3">
        <v>1342.847776771599</v>
      </c>
      <c r="H3973" t="s">
        <v>1755</v>
      </c>
      <c r="I3973" t="s">
        <v>6992</v>
      </c>
      <c r="M3973" t="s">
        <v>1757</v>
      </c>
    </row>
    <row r="3974" spans="1:13" x14ac:dyDescent="0.45">
      <c r="A3974" t="s">
        <v>6993</v>
      </c>
      <c r="B3974">
        <v>1</v>
      </c>
      <c r="C3974" t="s">
        <v>1774</v>
      </c>
      <c r="G3974" s="3">
        <v>215.56620856794939</v>
      </c>
      <c r="H3974" t="s">
        <v>1755</v>
      </c>
      <c r="I3974" t="s">
        <v>6993</v>
      </c>
      <c r="M3974" t="s">
        <v>1757</v>
      </c>
    </row>
    <row r="3975" spans="1:13" x14ac:dyDescent="0.45">
      <c r="A3975" t="s">
        <v>6994</v>
      </c>
      <c r="B3975">
        <v>2</v>
      </c>
      <c r="C3975" t="s">
        <v>1774</v>
      </c>
      <c r="G3975" s="3">
        <v>115.04709605029321</v>
      </c>
      <c r="H3975" t="s">
        <v>1755</v>
      </c>
      <c r="I3975" t="s">
        <v>6994</v>
      </c>
      <c r="M3975" t="s">
        <v>1757</v>
      </c>
    </row>
    <row r="3976" spans="1:13" x14ac:dyDescent="0.45">
      <c r="A3976" t="s">
        <v>6995</v>
      </c>
      <c r="B3976">
        <v>1</v>
      </c>
      <c r="C3976" t="s">
        <v>1774</v>
      </c>
      <c r="G3976" s="3">
        <v>227.77130637848771</v>
      </c>
      <c r="H3976" t="s">
        <v>1755</v>
      </c>
      <c r="I3976" t="s">
        <v>6995</v>
      </c>
      <c r="M3976" t="s">
        <v>1757</v>
      </c>
    </row>
    <row r="3977" spans="1:13" x14ac:dyDescent="0.45">
      <c r="A3977" t="s">
        <v>6996</v>
      </c>
      <c r="B3977">
        <v>1</v>
      </c>
      <c r="C3977" t="s">
        <v>1774</v>
      </c>
      <c r="G3977" s="3">
        <v>399.52199332034758</v>
      </c>
      <c r="H3977" t="s">
        <v>1755</v>
      </c>
      <c r="I3977" t="s">
        <v>6996</v>
      </c>
      <c r="M3977" t="s">
        <v>1757</v>
      </c>
    </row>
    <row r="3978" spans="1:13" x14ac:dyDescent="0.45">
      <c r="A3978" t="s">
        <v>6997</v>
      </c>
      <c r="B3978">
        <v>2</v>
      </c>
      <c r="C3978" t="s">
        <v>1774</v>
      </c>
      <c r="G3978" s="3">
        <v>362.93377086808329</v>
      </c>
      <c r="H3978" t="s">
        <v>1755</v>
      </c>
      <c r="I3978" t="s">
        <v>6997</v>
      </c>
      <c r="M3978" t="s">
        <v>1757</v>
      </c>
    </row>
    <row r="3979" spans="1:13" x14ac:dyDescent="0.45">
      <c r="A3979" t="s">
        <v>6998</v>
      </c>
      <c r="B3979">
        <v>2</v>
      </c>
      <c r="C3979" t="s">
        <v>1774</v>
      </c>
      <c r="G3979" s="3">
        <v>548.16123933719905</v>
      </c>
      <c r="H3979" t="s">
        <v>1755</v>
      </c>
      <c r="I3979" t="s">
        <v>6998</v>
      </c>
      <c r="M3979" t="s">
        <v>1757</v>
      </c>
    </row>
    <row r="3980" spans="1:13" x14ac:dyDescent="0.45">
      <c r="A3980" t="s">
        <v>6999</v>
      </c>
      <c r="B3980">
        <v>1</v>
      </c>
      <c r="C3980" t="s">
        <v>1774</v>
      </c>
      <c r="G3980" s="3">
        <v>121.3983391935713</v>
      </c>
      <c r="H3980" t="s">
        <v>1755</v>
      </c>
      <c r="I3980" t="s">
        <v>6999</v>
      </c>
      <c r="M3980" t="s">
        <v>1757</v>
      </c>
    </row>
    <row r="3981" spans="1:13" x14ac:dyDescent="0.45">
      <c r="A3981" t="s">
        <v>7000</v>
      </c>
      <c r="B3981">
        <v>1</v>
      </c>
      <c r="C3981" t="s">
        <v>1774</v>
      </c>
      <c r="G3981" s="3">
        <v>166.95423125115741</v>
      </c>
      <c r="H3981" t="s">
        <v>1755</v>
      </c>
      <c r="I3981" t="s">
        <v>7000</v>
      </c>
      <c r="M3981" t="s">
        <v>1757</v>
      </c>
    </row>
    <row r="3982" spans="1:13" x14ac:dyDescent="0.45">
      <c r="A3982" t="s">
        <v>7001</v>
      </c>
      <c r="B3982">
        <v>1</v>
      </c>
      <c r="C3982" t="s">
        <v>1774</v>
      </c>
      <c r="G3982" s="3">
        <v>122.68469994728611</v>
      </c>
      <c r="H3982" t="s">
        <v>1755</v>
      </c>
      <c r="I3982" t="s">
        <v>7001</v>
      </c>
      <c r="M3982" t="s">
        <v>1757</v>
      </c>
    </row>
    <row r="3983" spans="1:13" x14ac:dyDescent="0.45">
      <c r="A3983" t="s">
        <v>7002</v>
      </c>
      <c r="B3983">
        <v>1</v>
      </c>
      <c r="C3983" t="s">
        <v>1774</v>
      </c>
      <c r="G3983" s="3">
        <v>1330.1961708799661</v>
      </c>
      <c r="H3983" t="s">
        <v>1755</v>
      </c>
      <c r="I3983" t="s">
        <v>7002</v>
      </c>
      <c r="M3983" t="s">
        <v>1757</v>
      </c>
    </row>
    <row r="3984" spans="1:13" x14ac:dyDescent="0.45">
      <c r="A3984" t="s">
        <v>7003</v>
      </c>
      <c r="B3984">
        <v>1</v>
      </c>
      <c r="C3984" t="s">
        <v>1774</v>
      </c>
      <c r="G3984" s="3">
        <v>363.48497514642457</v>
      </c>
      <c r="H3984" t="s">
        <v>1755</v>
      </c>
      <c r="I3984" t="s">
        <v>7003</v>
      </c>
      <c r="M3984" t="s">
        <v>1757</v>
      </c>
    </row>
    <row r="3985" spans="1:13" x14ac:dyDescent="0.45">
      <c r="A3985" t="s">
        <v>7004</v>
      </c>
      <c r="B3985">
        <v>1</v>
      </c>
      <c r="C3985" t="s">
        <v>1774</v>
      </c>
      <c r="G3985" s="3">
        <v>100.43887804873791</v>
      </c>
      <c r="H3985" t="s">
        <v>1755</v>
      </c>
      <c r="I3985" t="s">
        <v>7004</v>
      </c>
      <c r="M3985" t="s">
        <v>1757</v>
      </c>
    </row>
    <row r="3986" spans="1:13" x14ac:dyDescent="0.45">
      <c r="A3986" t="s">
        <v>7005</v>
      </c>
      <c r="B3986">
        <v>2</v>
      </c>
      <c r="C3986" t="s">
        <v>1774</v>
      </c>
      <c r="G3986" s="3">
        <v>406.65177173723561</v>
      </c>
      <c r="H3986" t="s">
        <v>1755</v>
      </c>
      <c r="I3986" t="s">
        <v>7005</v>
      </c>
      <c r="M3986" t="s">
        <v>1757</v>
      </c>
    </row>
    <row r="3987" spans="1:13" x14ac:dyDescent="0.45">
      <c r="A3987" t="s">
        <v>7006</v>
      </c>
      <c r="B3987">
        <v>1</v>
      </c>
      <c r="C3987" t="s">
        <v>1774</v>
      </c>
      <c r="G3987" s="3">
        <v>147.1973086709657</v>
      </c>
      <c r="H3987" t="s">
        <v>1755</v>
      </c>
      <c r="I3987" t="s">
        <v>7006</v>
      </c>
      <c r="M3987" t="s">
        <v>1757</v>
      </c>
    </row>
    <row r="3988" spans="1:13" x14ac:dyDescent="0.45">
      <c r="A3988" t="s">
        <v>7007</v>
      </c>
      <c r="B3988">
        <v>1</v>
      </c>
      <c r="C3988" t="s">
        <v>1774</v>
      </c>
      <c r="G3988" s="3">
        <v>211.73158803513371</v>
      </c>
      <c r="H3988" t="s">
        <v>1755</v>
      </c>
      <c r="I3988" t="s">
        <v>7007</v>
      </c>
      <c r="M3988" t="s">
        <v>1757</v>
      </c>
    </row>
    <row r="3989" spans="1:13" x14ac:dyDescent="0.45">
      <c r="A3989" t="s">
        <v>7008</v>
      </c>
      <c r="B3989">
        <v>1</v>
      </c>
      <c r="C3989" t="s">
        <v>1774</v>
      </c>
      <c r="G3989" s="3">
        <v>264.92736708435677</v>
      </c>
      <c r="H3989" t="s">
        <v>1755</v>
      </c>
      <c r="I3989" t="s">
        <v>7008</v>
      </c>
      <c r="M3989" t="s">
        <v>1757</v>
      </c>
    </row>
    <row r="3990" spans="1:13" x14ac:dyDescent="0.45">
      <c r="A3990" t="s">
        <v>7009</v>
      </c>
      <c r="B3990">
        <v>1</v>
      </c>
      <c r="C3990" t="s">
        <v>1774</v>
      </c>
      <c r="G3990" s="3">
        <v>339.71795990220551</v>
      </c>
      <c r="H3990" t="s">
        <v>1755</v>
      </c>
      <c r="I3990" t="s">
        <v>7009</v>
      </c>
      <c r="M3990" t="s">
        <v>1757</v>
      </c>
    </row>
    <row r="3991" spans="1:13" x14ac:dyDescent="0.45">
      <c r="A3991" t="s">
        <v>7010</v>
      </c>
      <c r="B3991">
        <v>1</v>
      </c>
      <c r="C3991" t="s">
        <v>1774</v>
      </c>
      <c r="G3991" s="3">
        <v>170.5941364264763</v>
      </c>
      <c r="H3991" t="s">
        <v>1755</v>
      </c>
      <c r="I3991" t="s">
        <v>7010</v>
      </c>
      <c r="M3991" t="s">
        <v>1757</v>
      </c>
    </row>
    <row r="3992" spans="1:13" x14ac:dyDescent="0.45">
      <c r="A3992" t="s">
        <v>7011</v>
      </c>
      <c r="B3992">
        <v>1</v>
      </c>
      <c r="C3992" t="s">
        <v>1774</v>
      </c>
      <c r="G3992" s="3">
        <v>1118.165171290088</v>
      </c>
      <c r="H3992" t="s">
        <v>1755</v>
      </c>
      <c r="I3992" t="s">
        <v>7011</v>
      </c>
      <c r="M3992" t="s">
        <v>1757</v>
      </c>
    </row>
    <row r="3993" spans="1:13" x14ac:dyDescent="0.45">
      <c r="A3993" t="s">
        <v>7012</v>
      </c>
      <c r="B3993">
        <v>1</v>
      </c>
      <c r="C3993" t="s">
        <v>1774</v>
      </c>
      <c r="G3993" s="3">
        <v>444.93926891740409</v>
      </c>
      <c r="H3993" t="s">
        <v>1755</v>
      </c>
      <c r="I3993" t="s">
        <v>7012</v>
      </c>
      <c r="M3993" t="s">
        <v>1757</v>
      </c>
    </row>
    <row r="3994" spans="1:13" x14ac:dyDescent="0.45">
      <c r="A3994" t="s">
        <v>7013</v>
      </c>
      <c r="B3994">
        <v>1</v>
      </c>
      <c r="C3994" t="s">
        <v>1774</v>
      </c>
      <c r="G3994" s="3">
        <v>328.52753458274412</v>
      </c>
      <c r="H3994" t="s">
        <v>1755</v>
      </c>
      <c r="I3994" t="s">
        <v>7013</v>
      </c>
      <c r="M3994" t="s">
        <v>1757</v>
      </c>
    </row>
    <row r="3995" spans="1:13" x14ac:dyDescent="0.45">
      <c r="A3995" t="s">
        <v>7014</v>
      </c>
      <c r="B3995">
        <v>1</v>
      </c>
      <c r="C3995" t="s">
        <v>1774</v>
      </c>
      <c r="G3995" s="3">
        <v>198.2965545242256</v>
      </c>
      <c r="H3995" t="s">
        <v>1755</v>
      </c>
      <c r="I3995" t="s">
        <v>7014</v>
      </c>
      <c r="M3995" t="s">
        <v>1757</v>
      </c>
    </row>
    <row r="3996" spans="1:13" x14ac:dyDescent="0.45">
      <c r="A3996" t="s">
        <v>7015</v>
      </c>
      <c r="B3996">
        <v>1</v>
      </c>
      <c r="C3996" t="s">
        <v>1774</v>
      </c>
      <c r="G3996" s="3">
        <v>243.83418182465959</v>
      </c>
      <c r="H3996" t="s">
        <v>1755</v>
      </c>
      <c r="I3996" t="s">
        <v>7015</v>
      </c>
      <c r="M3996" t="s">
        <v>1757</v>
      </c>
    </row>
    <row r="3997" spans="1:13" x14ac:dyDescent="0.45">
      <c r="A3997" t="s">
        <v>7016</v>
      </c>
      <c r="B3997">
        <v>2</v>
      </c>
      <c r="C3997" t="s">
        <v>1774</v>
      </c>
      <c r="G3997" s="3">
        <v>290.11022716424429</v>
      </c>
      <c r="H3997" t="s">
        <v>1755</v>
      </c>
      <c r="I3997" t="s">
        <v>7016</v>
      </c>
      <c r="M3997" t="s">
        <v>1757</v>
      </c>
    </row>
    <row r="3998" spans="1:13" x14ac:dyDescent="0.45">
      <c r="A3998" t="s">
        <v>7017</v>
      </c>
      <c r="B3998">
        <v>1</v>
      </c>
      <c r="C3998" t="s">
        <v>1774</v>
      </c>
      <c r="G3998" s="3">
        <v>231.51199387452101</v>
      </c>
      <c r="H3998" t="s">
        <v>1755</v>
      </c>
      <c r="I3998" t="s">
        <v>7017</v>
      </c>
      <c r="M3998" t="s">
        <v>1757</v>
      </c>
    </row>
    <row r="3999" spans="1:13" x14ac:dyDescent="0.45">
      <c r="A3999" t="s">
        <v>7018</v>
      </c>
      <c r="B3999">
        <v>1</v>
      </c>
      <c r="C3999" t="s">
        <v>1774</v>
      </c>
      <c r="G3999" s="3">
        <v>237.7259251827804</v>
      </c>
      <c r="H3999" t="s">
        <v>1755</v>
      </c>
      <c r="I3999" t="s">
        <v>7018</v>
      </c>
      <c r="M3999" t="s">
        <v>1757</v>
      </c>
    </row>
    <row r="4000" spans="1:13" x14ac:dyDescent="0.45">
      <c r="A4000" t="s">
        <v>7019</v>
      </c>
      <c r="B4000">
        <v>1</v>
      </c>
      <c r="C4000" t="s">
        <v>1774</v>
      </c>
      <c r="G4000" s="3">
        <v>134.6236541536075</v>
      </c>
      <c r="H4000" t="s">
        <v>1755</v>
      </c>
      <c r="I4000" t="s">
        <v>7019</v>
      </c>
      <c r="M4000" t="s">
        <v>1757</v>
      </c>
    </row>
    <row r="4001" spans="1:13" x14ac:dyDescent="0.45">
      <c r="A4001" t="s">
        <v>7020</v>
      </c>
      <c r="B4001">
        <v>1</v>
      </c>
      <c r="C4001" t="s">
        <v>1774</v>
      </c>
      <c r="G4001" s="3">
        <v>373.09028047018268</v>
      </c>
      <c r="H4001" t="s">
        <v>1755</v>
      </c>
      <c r="I4001" t="s">
        <v>7020</v>
      </c>
      <c r="M4001" t="s">
        <v>1757</v>
      </c>
    </row>
    <row r="4002" spans="1:13" x14ac:dyDescent="0.45">
      <c r="A4002" t="s">
        <v>7021</v>
      </c>
      <c r="B4002">
        <v>3</v>
      </c>
      <c r="C4002" t="s">
        <v>1774</v>
      </c>
      <c r="G4002" s="3">
        <v>324.70856955605871</v>
      </c>
      <c r="H4002" t="s">
        <v>1755</v>
      </c>
      <c r="I4002" t="s">
        <v>7021</v>
      </c>
      <c r="M4002" t="s">
        <v>1757</v>
      </c>
    </row>
    <row r="4003" spans="1:13" x14ac:dyDescent="0.45">
      <c r="A4003" t="s">
        <v>7022</v>
      </c>
      <c r="B4003">
        <v>1</v>
      </c>
      <c r="C4003" t="s">
        <v>1774</v>
      </c>
      <c r="G4003" s="3">
        <v>529.87365123862128</v>
      </c>
      <c r="H4003" t="s">
        <v>1755</v>
      </c>
      <c r="I4003" t="s">
        <v>7022</v>
      </c>
      <c r="M4003" t="s">
        <v>1757</v>
      </c>
    </row>
    <row r="4004" spans="1:13" x14ac:dyDescent="0.45">
      <c r="A4004" t="s">
        <v>7023</v>
      </c>
      <c r="B4004">
        <v>1</v>
      </c>
      <c r="C4004" t="s">
        <v>1774</v>
      </c>
      <c r="G4004" s="3">
        <v>369.64933068527102</v>
      </c>
      <c r="H4004" t="s">
        <v>1755</v>
      </c>
      <c r="I4004" t="s">
        <v>7023</v>
      </c>
      <c r="M4004" t="s">
        <v>1757</v>
      </c>
    </row>
    <row r="4005" spans="1:13" x14ac:dyDescent="0.45">
      <c r="A4005" t="s">
        <v>7024</v>
      </c>
      <c r="B4005">
        <v>2</v>
      </c>
      <c r="C4005" t="s">
        <v>1774</v>
      </c>
      <c r="G4005" s="3">
        <v>336.00956188756612</v>
      </c>
      <c r="H4005" t="s">
        <v>1755</v>
      </c>
      <c r="I4005" t="s">
        <v>7024</v>
      </c>
      <c r="M4005" t="s">
        <v>1757</v>
      </c>
    </row>
    <row r="4006" spans="1:13" x14ac:dyDescent="0.45">
      <c r="A4006" t="s">
        <v>7025</v>
      </c>
      <c r="B4006">
        <v>1</v>
      </c>
      <c r="C4006" t="s">
        <v>1774</v>
      </c>
      <c r="G4006" s="3">
        <v>739.30192293431924</v>
      </c>
      <c r="H4006" t="s">
        <v>1755</v>
      </c>
      <c r="I4006" t="s">
        <v>7025</v>
      </c>
      <c r="M4006" t="s">
        <v>1757</v>
      </c>
    </row>
    <row r="4007" spans="1:13" x14ac:dyDescent="0.45">
      <c r="A4007" t="s">
        <v>7026</v>
      </c>
      <c r="B4007">
        <v>1</v>
      </c>
      <c r="C4007" t="s">
        <v>1774</v>
      </c>
      <c r="G4007" s="3">
        <v>282.82943834447337</v>
      </c>
      <c r="H4007" t="s">
        <v>1755</v>
      </c>
      <c r="I4007" t="s">
        <v>7026</v>
      </c>
      <c r="M4007" t="s">
        <v>1757</v>
      </c>
    </row>
    <row r="4008" spans="1:13" x14ac:dyDescent="0.45">
      <c r="A4008" t="s">
        <v>7027</v>
      </c>
      <c r="B4008">
        <v>1</v>
      </c>
      <c r="C4008" t="s">
        <v>1774</v>
      </c>
      <c r="G4008" s="3">
        <v>315.13718449558309</v>
      </c>
      <c r="H4008" t="s">
        <v>1755</v>
      </c>
      <c r="I4008" t="s">
        <v>7027</v>
      </c>
      <c r="M4008" t="s">
        <v>1757</v>
      </c>
    </row>
    <row r="4009" spans="1:13" x14ac:dyDescent="0.45">
      <c r="A4009" t="s">
        <v>7028</v>
      </c>
      <c r="B4009">
        <v>1</v>
      </c>
      <c r="C4009" t="s">
        <v>1774</v>
      </c>
      <c r="G4009" s="3">
        <v>130.67585735772411</v>
      </c>
      <c r="H4009" t="s">
        <v>1755</v>
      </c>
      <c r="I4009" t="s">
        <v>7028</v>
      </c>
      <c r="M4009" t="s">
        <v>1757</v>
      </c>
    </row>
    <row r="4010" spans="1:13" x14ac:dyDescent="0.45">
      <c r="A4010" t="s">
        <v>7029</v>
      </c>
      <c r="B4010">
        <v>1</v>
      </c>
      <c r="C4010" t="s">
        <v>1774</v>
      </c>
      <c r="G4010" s="3">
        <v>514.012666590256</v>
      </c>
      <c r="H4010" t="s">
        <v>1755</v>
      </c>
      <c r="I4010" t="s">
        <v>7029</v>
      </c>
      <c r="M4010" t="s">
        <v>1757</v>
      </c>
    </row>
    <row r="4011" spans="1:13" x14ac:dyDescent="0.45">
      <c r="A4011" t="s">
        <v>7030</v>
      </c>
      <c r="B4011">
        <v>1</v>
      </c>
      <c r="C4011" t="s">
        <v>1774</v>
      </c>
      <c r="G4011" s="3">
        <v>318.83808091353512</v>
      </c>
      <c r="H4011" t="s">
        <v>1755</v>
      </c>
      <c r="I4011" t="s">
        <v>7030</v>
      </c>
      <c r="M4011" t="s">
        <v>1757</v>
      </c>
    </row>
    <row r="4012" spans="1:13" x14ac:dyDescent="0.45">
      <c r="A4012" t="s">
        <v>7031</v>
      </c>
      <c r="B4012">
        <v>2</v>
      </c>
      <c r="C4012" t="s">
        <v>1774</v>
      </c>
      <c r="G4012" s="3">
        <v>176.039643308835</v>
      </c>
      <c r="H4012" t="s">
        <v>1755</v>
      </c>
      <c r="I4012" t="s">
        <v>7031</v>
      </c>
      <c r="M4012" t="s">
        <v>1757</v>
      </c>
    </row>
    <row r="4013" spans="1:13" x14ac:dyDescent="0.45">
      <c r="A4013" t="s">
        <v>7032</v>
      </c>
      <c r="B4013">
        <v>1</v>
      </c>
      <c r="C4013" t="s">
        <v>1774</v>
      </c>
      <c r="G4013" s="3">
        <v>486.73620872180481</v>
      </c>
      <c r="H4013" t="s">
        <v>1755</v>
      </c>
      <c r="I4013" t="s">
        <v>7032</v>
      </c>
      <c r="M4013" t="s">
        <v>1757</v>
      </c>
    </row>
    <row r="4014" spans="1:13" x14ac:dyDescent="0.45">
      <c r="A4014" t="s">
        <v>7033</v>
      </c>
      <c r="B4014">
        <v>1</v>
      </c>
      <c r="C4014" t="s">
        <v>1774</v>
      </c>
      <c r="G4014" s="3">
        <v>145.6190379591944</v>
      </c>
      <c r="H4014" t="s">
        <v>1755</v>
      </c>
      <c r="I4014" t="s">
        <v>7033</v>
      </c>
      <c r="M4014" t="s">
        <v>1757</v>
      </c>
    </row>
    <row r="4015" spans="1:13" x14ac:dyDescent="0.45">
      <c r="A4015" t="s">
        <v>7034</v>
      </c>
      <c r="B4015">
        <v>1</v>
      </c>
      <c r="C4015" t="s">
        <v>1774</v>
      </c>
      <c r="G4015" s="3">
        <v>260.16352703142599</v>
      </c>
      <c r="H4015" t="s">
        <v>1755</v>
      </c>
      <c r="I4015" t="s">
        <v>7034</v>
      </c>
      <c r="M4015" t="s">
        <v>1757</v>
      </c>
    </row>
    <row r="4016" spans="1:13" x14ac:dyDescent="0.45">
      <c r="A4016" t="s">
        <v>7035</v>
      </c>
      <c r="B4016">
        <v>6</v>
      </c>
      <c r="C4016" t="s">
        <v>1774</v>
      </c>
      <c r="G4016" s="3">
        <v>204.49678726462091</v>
      </c>
      <c r="H4016" t="s">
        <v>1755</v>
      </c>
      <c r="I4016" t="s">
        <v>7035</v>
      </c>
      <c r="M4016" t="s">
        <v>1757</v>
      </c>
    </row>
    <row r="4017" spans="1:13" x14ac:dyDescent="0.45">
      <c r="A4017" t="s">
        <v>7036</v>
      </c>
      <c r="B4017">
        <v>2</v>
      </c>
      <c r="C4017" t="s">
        <v>1774</v>
      </c>
      <c r="G4017" s="3">
        <v>310.7125470754778</v>
      </c>
      <c r="H4017" t="s">
        <v>1755</v>
      </c>
      <c r="I4017" t="s">
        <v>7036</v>
      </c>
      <c r="M4017" t="s">
        <v>1757</v>
      </c>
    </row>
    <row r="4018" spans="1:13" x14ac:dyDescent="0.45">
      <c r="A4018" t="s">
        <v>7037</v>
      </c>
      <c r="B4018">
        <v>1</v>
      </c>
      <c r="C4018" t="s">
        <v>1774</v>
      </c>
      <c r="G4018" s="3">
        <v>747.11662974441242</v>
      </c>
      <c r="H4018" t="s">
        <v>1755</v>
      </c>
      <c r="I4018" t="s">
        <v>7037</v>
      </c>
      <c r="M4018" t="s">
        <v>1757</v>
      </c>
    </row>
    <row r="4019" spans="1:13" x14ac:dyDescent="0.45">
      <c r="A4019" t="s">
        <v>7038</v>
      </c>
      <c r="B4019">
        <v>1</v>
      </c>
      <c r="C4019" t="s">
        <v>1774</v>
      </c>
      <c r="G4019" s="3">
        <v>508.1222824086916</v>
      </c>
      <c r="H4019" t="s">
        <v>1755</v>
      </c>
      <c r="I4019" t="s">
        <v>7038</v>
      </c>
      <c r="M4019" t="s">
        <v>1757</v>
      </c>
    </row>
    <row r="4020" spans="1:13" x14ac:dyDescent="0.45">
      <c r="A4020" t="s">
        <v>7039</v>
      </c>
      <c r="B4020">
        <v>2</v>
      </c>
      <c r="C4020" t="s">
        <v>1774</v>
      </c>
      <c r="G4020" s="3">
        <v>369.14704986358731</v>
      </c>
      <c r="H4020" t="s">
        <v>1755</v>
      </c>
      <c r="I4020" t="s">
        <v>7039</v>
      </c>
      <c r="M4020" t="s">
        <v>1757</v>
      </c>
    </row>
    <row r="4021" spans="1:13" x14ac:dyDescent="0.45">
      <c r="A4021" t="s">
        <v>7040</v>
      </c>
      <c r="B4021">
        <v>1</v>
      </c>
      <c r="C4021" t="s">
        <v>1774</v>
      </c>
      <c r="G4021" s="3">
        <v>202.63247740959201</v>
      </c>
      <c r="H4021" t="s">
        <v>1755</v>
      </c>
      <c r="I4021" t="s">
        <v>7040</v>
      </c>
      <c r="M4021" t="s">
        <v>1757</v>
      </c>
    </row>
    <row r="4022" spans="1:13" x14ac:dyDescent="0.45">
      <c r="A4022" t="s">
        <v>7041</v>
      </c>
      <c r="B4022">
        <v>1</v>
      </c>
      <c r="C4022" t="s">
        <v>1774</v>
      </c>
      <c r="G4022" s="3">
        <v>100.063472057986</v>
      </c>
      <c r="H4022" t="s">
        <v>1755</v>
      </c>
      <c r="I4022" t="s">
        <v>7041</v>
      </c>
      <c r="M4022" t="s">
        <v>1757</v>
      </c>
    </row>
    <row r="4023" spans="1:13" x14ac:dyDescent="0.45">
      <c r="A4023" t="s">
        <v>7042</v>
      </c>
      <c r="B4023">
        <v>2</v>
      </c>
      <c r="C4023" t="s">
        <v>1774</v>
      </c>
      <c r="G4023" s="3">
        <v>388.90886478944469</v>
      </c>
      <c r="H4023" t="s">
        <v>1755</v>
      </c>
      <c r="I4023" t="s">
        <v>7042</v>
      </c>
      <c r="M4023" t="s">
        <v>1757</v>
      </c>
    </row>
    <row r="4024" spans="1:13" x14ac:dyDescent="0.45">
      <c r="A4024" t="s">
        <v>7043</v>
      </c>
      <c r="B4024">
        <v>1</v>
      </c>
      <c r="C4024" t="s">
        <v>1774</v>
      </c>
      <c r="G4024" s="3">
        <v>181.0856086284908</v>
      </c>
      <c r="H4024" t="s">
        <v>1755</v>
      </c>
      <c r="I4024" t="s">
        <v>7043</v>
      </c>
      <c r="M4024" t="s">
        <v>1757</v>
      </c>
    </row>
    <row r="4025" spans="1:13" x14ac:dyDescent="0.45">
      <c r="A4025" t="s">
        <v>7044</v>
      </c>
      <c r="B4025">
        <v>1</v>
      </c>
      <c r="C4025" t="s">
        <v>1774</v>
      </c>
      <c r="G4025" s="3">
        <v>138.8692317223464</v>
      </c>
      <c r="H4025" t="s">
        <v>1755</v>
      </c>
      <c r="I4025" t="s">
        <v>7044</v>
      </c>
      <c r="M4025" t="s">
        <v>1757</v>
      </c>
    </row>
    <row r="4026" spans="1:13" x14ac:dyDescent="0.45">
      <c r="A4026" t="s">
        <v>7045</v>
      </c>
      <c r="B4026">
        <v>1</v>
      </c>
      <c r="C4026" t="s">
        <v>1774</v>
      </c>
      <c r="G4026" s="3">
        <v>313.87267621917528</v>
      </c>
      <c r="H4026" t="s">
        <v>1755</v>
      </c>
      <c r="I4026" t="s">
        <v>7045</v>
      </c>
      <c r="M4026" t="s">
        <v>1757</v>
      </c>
    </row>
    <row r="4027" spans="1:13" x14ac:dyDescent="0.45">
      <c r="A4027" t="s">
        <v>7046</v>
      </c>
      <c r="B4027">
        <v>1</v>
      </c>
      <c r="C4027" t="s">
        <v>1774</v>
      </c>
      <c r="G4027" s="3">
        <v>418.23032314618001</v>
      </c>
      <c r="H4027" t="s">
        <v>1755</v>
      </c>
      <c r="I4027" t="s">
        <v>7046</v>
      </c>
      <c r="M4027" t="s">
        <v>1757</v>
      </c>
    </row>
    <row r="4028" spans="1:13" x14ac:dyDescent="0.45">
      <c r="A4028" t="s">
        <v>7047</v>
      </c>
      <c r="B4028">
        <v>1</v>
      </c>
      <c r="C4028" t="s">
        <v>1774</v>
      </c>
      <c r="G4028" s="3">
        <v>1182.388623626292</v>
      </c>
      <c r="H4028" t="s">
        <v>1755</v>
      </c>
      <c r="I4028" t="s">
        <v>7047</v>
      </c>
      <c r="M4028" t="s">
        <v>1757</v>
      </c>
    </row>
    <row r="4029" spans="1:13" x14ac:dyDescent="0.45">
      <c r="A4029" t="s">
        <v>7048</v>
      </c>
      <c r="B4029">
        <v>1</v>
      </c>
      <c r="C4029" t="s">
        <v>1774</v>
      </c>
      <c r="G4029" s="3">
        <v>810.51164488121583</v>
      </c>
      <c r="H4029" t="s">
        <v>1755</v>
      </c>
      <c r="I4029" t="s">
        <v>7048</v>
      </c>
      <c r="M4029" t="s">
        <v>1757</v>
      </c>
    </row>
    <row r="4030" spans="1:13" x14ac:dyDescent="0.45">
      <c r="A4030" t="s">
        <v>7049</v>
      </c>
      <c r="B4030">
        <v>1</v>
      </c>
      <c r="C4030" t="s">
        <v>1774</v>
      </c>
      <c r="G4030" s="3">
        <v>233.67669375342709</v>
      </c>
      <c r="H4030" t="s">
        <v>1755</v>
      </c>
      <c r="I4030" t="s">
        <v>7049</v>
      </c>
      <c r="M4030" t="s">
        <v>1757</v>
      </c>
    </row>
    <row r="4031" spans="1:13" x14ac:dyDescent="0.45">
      <c r="A4031" t="s">
        <v>7050</v>
      </c>
      <c r="B4031">
        <v>1</v>
      </c>
      <c r="C4031" t="s">
        <v>1774</v>
      </c>
      <c r="G4031" s="3">
        <v>193.83930146634859</v>
      </c>
      <c r="H4031" t="s">
        <v>1755</v>
      </c>
      <c r="I4031" t="s">
        <v>7050</v>
      </c>
      <c r="M4031" t="s">
        <v>1757</v>
      </c>
    </row>
    <row r="4032" spans="1:13" x14ac:dyDescent="0.45">
      <c r="A4032" t="s">
        <v>7051</v>
      </c>
      <c r="B4032">
        <v>2</v>
      </c>
      <c r="C4032" t="s">
        <v>1774</v>
      </c>
      <c r="G4032" s="3">
        <v>625.07543633036141</v>
      </c>
      <c r="H4032" t="s">
        <v>1755</v>
      </c>
      <c r="I4032" t="s">
        <v>7051</v>
      </c>
      <c r="M4032" t="s">
        <v>1757</v>
      </c>
    </row>
    <row r="4033" spans="1:13" x14ac:dyDescent="0.45">
      <c r="A4033" t="s">
        <v>7052</v>
      </c>
      <c r="B4033">
        <v>2</v>
      </c>
      <c r="C4033" t="s">
        <v>1774</v>
      </c>
      <c r="G4033" s="3">
        <v>378.62189263625868</v>
      </c>
      <c r="H4033" t="s">
        <v>1755</v>
      </c>
      <c r="I4033" t="s">
        <v>7052</v>
      </c>
      <c r="M4033" t="s">
        <v>1757</v>
      </c>
    </row>
    <row r="4034" spans="1:13" x14ac:dyDescent="0.45">
      <c r="A4034" t="s">
        <v>7053</v>
      </c>
      <c r="B4034">
        <v>1</v>
      </c>
      <c r="C4034" t="s">
        <v>1774</v>
      </c>
      <c r="G4034" s="3">
        <v>728.84534946472047</v>
      </c>
      <c r="H4034" t="s">
        <v>1755</v>
      </c>
      <c r="I4034" t="s">
        <v>7053</v>
      </c>
      <c r="M4034" t="s">
        <v>1757</v>
      </c>
    </row>
    <row r="4035" spans="1:13" x14ac:dyDescent="0.45">
      <c r="A4035" t="s">
        <v>7054</v>
      </c>
      <c r="B4035">
        <v>1</v>
      </c>
      <c r="C4035" t="s">
        <v>1774</v>
      </c>
      <c r="G4035" s="3">
        <v>154.1075838456504</v>
      </c>
      <c r="H4035" t="s">
        <v>1755</v>
      </c>
      <c r="I4035" t="s">
        <v>7054</v>
      </c>
      <c r="M4035" t="s">
        <v>1757</v>
      </c>
    </row>
    <row r="4036" spans="1:13" x14ac:dyDescent="0.45">
      <c r="A4036" t="s">
        <v>7055</v>
      </c>
      <c r="B4036">
        <v>1</v>
      </c>
      <c r="C4036" t="s">
        <v>1774</v>
      </c>
      <c r="G4036" s="3">
        <v>538.500487429229</v>
      </c>
      <c r="H4036" t="s">
        <v>1755</v>
      </c>
      <c r="I4036" t="s">
        <v>7055</v>
      </c>
      <c r="M4036" t="s">
        <v>1757</v>
      </c>
    </row>
    <row r="4037" spans="1:13" x14ac:dyDescent="0.45">
      <c r="A4037" t="s">
        <v>7056</v>
      </c>
      <c r="B4037">
        <v>1</v>
      </c>
      <c r="C4037" t="s">
        <v>1774</v>
      </c>
      <c r="G4037" s="3">
        <v>576.75210740784871</v>
      </c>
      <c r="H4037" t="s">
        <v>1755</v>
      </c>
      <c r="I4037" t="s">
        <v>7056</v>
      </c>
      <c r="M4037" t="s">
        <v>1757</v>
      </c>
    </row>
    <row r="4038" spans="1:13" x14ac:dyDescent="0.45">
      <c r="A4038" t="s">
        <v>7057</v>
      </c>
      <c r="B4038">
        <v>1</v>
      </c>
      <c r="C4038" t="s">
        <v>1774</v>
      </c>
      <c r="G4038" s="3">
        <v>731.84598813971445</v>
      </c>
      <c r="H4038" t="s">
        <v>1755</v>
      </c>
      <c r="I4038" t="s">
        <v>7057</v>
      </c>
      <c r="M4038" t="s">
        <v>1757</v>
      </c>
    </row>
    <row r="4039" spans="1:13" x14ac:dyDescent="0.45">
      <c r="A4039" t="s">
        <v>7058</v>
      </c>
      <c r="B4039">
        <v>1</v>
      </c>
      <c r="C4039" t="s">
        <v>1774</v>
      </c>
      <c r="G4039" s="3">
        <v>149.58836107600709</v>
      </c>
      <c r="H4039" t="s">
        <v>1755</v>
      </c>
      <c r="I4039" t="s">
        <v>7058</v>
      </c>
      <c r="M4039" t="s">
        <v>1757</v>
      </c>
    </row>
    <row r="4040" spans="1:13" x14ac:dyDescent="0.45">
      <c r="A4040" t="s">
        <v>7059</v>
      </c>
      <c r="B4040">
        <v>1</v>
      </c>
      <c r="C4040" t="s">
        <v>1774</v>
      </c>
      <c r="G4040" s="3">
        <v>593.65026933735328</v>
      </c>
      <c r="H4040" t="s">
        <v>1755</v>
      </c>
      <c r="I4040" t="s">
        <v>7059</v>
      </c>
      <c r="M4040" t="s">
        <v>1757</v>
      </c>
    </row>
    <row r="4041" spans="1:13" x14ac:dyDescent="0.45">
      <c r="A4041" t="s">
        <v>7060</v>
      </c>
      <c r="B4041">
        <v>1</v>
      </c>
      <c r="C4041" t="s">
        <v>1774</v>
      </c>
      <c r="G4041" s="3">
        <v>376.2833514080296</v>
      </c>
      <c r="H4041" t="s">
        <v>1755</v>
      </c>
      <c r="I4041" t="s">
        <v>7060</v>
      </c>
      <c r="M4041" t="s">
        <v>1757</v>
      </c>
    </row>
    <row r="4042" spans="1:13" x14ac:dyDescent="0.45">
      <c r="A4042" t="s">
        <v>7061</v>
      </c>
      <c r="B4042">
        <v>1</v>
      </c>
      <c r="C4042" t="s">
        <v>1774</v>
      </c>
      <c r="G4042" s="3">
        <v>259.84291531213051</v>
      </c>
      <c r="H4042" t="s">
        <v>1755</v>
      </c>
      <c r="I4042" t="s">
        <v>7061</v>
      </c>
      <c r="M4042" t="s">
        <v>1757</v>
      </c>
    </row>
    <row r="4043" spans="1:13" x14ac:dyDescent="0.45">
      <c r="A4043" t="s">
        <v>7062</v>
      </c>
      <c r="B4043">
        <v>1</v>
      </c>
      <c r="C4043" t="s">
        <v>1774</v>
      </c>
      <c r="G4043" s="3">
        <v>418.90872841183068</v>
      </c>
      <c r="H4043" t="s">
        <v>1755</v>
      </c>
      <c r="I4043" t="s">
        <v>7062</v>
      </c>
      <c r="M4043" t="s">
        <v>1757</v>
      </c>
    </row>
    <row r="4044" spans="1:13" x14ac:dyDescent="0.45">
      <c r="A4044" t="s">
        <v>7063</v>
      </c>
      <c r="B4044">
        <v>1</v>
      </c>
      <c r="C4044" t="s">
        <v>1774</v>
      </c>
      <c r="G4044" s="3">
        <v>1353.9892786344019</v>
      </c>
      <c r="H4044" t="s">
        <v>1755</v>
      </c>
      <c r="I4044" t="s">
        <v>7063</v>
      </c>
      <c r="M4044" t="s">
        <v>1757</v>
      </c>
    </row>
    <row r="4045" spans="1:13" x14ac:dyDescent="0.45">
      <c r="A4045" t="s">
        <v>7064</v>
      </c>
      <c r="B4045">
        <v>1</v>
      </c>
      <c r="C4045" t="s">
        <v>1774</v>
      </c>
      <c r="G4045" s="3">
        <v>77.384514489829954</v>
      </c>
      <c r="H4045" t="s">
        <v>1755</v>
      </c>
      <c r="I4045" t="s">
        <v>7064</v>
      </c>
      <c r="M4045" t="s">
        <v>1757</v>
      </c>
    </row>
    <row r="4046" spans="1:13" x14ac:dyDescent="0.45">
      <c r="A4046" t="s">
        <v>7065</v>
      </c>
      <c r="B4046">
        <v>2</v>
      </c>
      <c r="C4046" t="s">
        <v>1774</v>
      </c>
      <c r="G4046" s="3">
        <v>333.56012749091337</v>
      </c>
      <c r="H4046" t="s">
        <v>1755</v>
      </c>
      <c r="I4046" t="s">
        <v>7065</v>
      </c>
      <c r="M4046" t="s">
        <v>1757</v>
      </c>
    </row>
    <row r="4047" spans="1:13" x14ac:dyDescent="0.45">
      <c r="A4047" t="s">
        <v>7066</v>
      </c>
      <c r="B4047">
        <v>1</v>
      </c>
      <c r="C4047" t="s">
        <v>1774</v>
      </c>
      <c r="G4047" s="3">
        <v>1681.67206819886</v>
      </c>
      <c r="H4047" t="s">
        <v>1755</v>
      </c>
      <c r="I4047" t="s">
        <v>7066</v>
      </c>
      <c r="M4047" t="s">
        <v>1757</v>
      </c>
    </row>
    <row r="4048" spans="1:13" x14ac:dyDescent="0.45">
      <c r="A4048" t="s">
        <v>7067</v>
      </c>
      <c r="B4048">
        <v>2</v>
      </c>
      <c r="C4048" t="s">
        <v>1774</v>
      </c>
      <c r="G4048" s="3">
        <v>573.09915597742122</v>
      </c>
      <c r="H4048" t="s">
        <v>1755</v>
      </c>
      <c r="I4048" t="s">
        <v>7067</v>
      </c>
      <c r="M4048" t="s">
        <v>1757</v>
      </c>
    </row>
    <row r="4049" spans="1:13" x14ac:dyDescent="0.45">
      <c r="A4049" t="s">
        <v>7068</v>
      </c>
      <c r="B4049">
        <v>1</v>
      </c>
      <c r="C4049" t="s">
        <v>1774</v>
      </c>
      <c r="G4049" s="3">
        <v>1071.3421617050731</v>
      </c>
      <c r="H4049" t="s">
        <v>1755</v>
      </c>
      <c r="I4049" t="s">
        <v>7068</v>
      </c>
      <c r="M4049" t="s">
        <v>1757</v>
      </c>
    </row>
    <row r="4050" spans="1:13" x14ac:dyDescent="0.45">
      <c r="A4050" t="s">
        <v>7069</v>
      </c>
      <c r="B4050">
        <v>3</v>
      </c>
      <c r="C4050" t="s">
        <v>1774</v>
      </c>
      <c r="G4050" s="3">
        <v>371.24749693608311</v>
      </c>
      <c r="H4050" t="s">
        <v>1755</v>
      </c>
      <c r="I4050" t="s">
        <v>7069</v>
      </c>
      <c r="M4050" t="s">
        <v>1757</v>
      </c>
    </row>
    <row r="4051" spans="1:13" x14ac:dyDescent="0.45">
      <c r="A4051" t="s">
        <v>7070</v>
      </c>
      <c r="B4051">
        <v>1</v>
      </c>
      <c r="C4051" t="s">
        <v>1774</v>
      </c>
      <c r="G4051" s="3">
        <v>356.13014882891201</v>
      </c>
      <c r="H4051" t="s">
        <v>1755</v>
      </c>
      <c r="I4051" t="s">
        <v>7070</v>
      </c>
      <c r="M4051" t="s">
        <v>1757</v>
      </c>
    </row>
    <row r="4052" spans="1:13" x14ac:dyDescent="0.45">
      <c r="A4052" t="s">
        <v>7071</v>
      </c>
      <c r="B4052">
        <v>2</v>
      </c>
      <c r="C4052" t="s">
        <v>1774</v>
      </c>
      <c r="G4052" s="3">
        <v>154.4167800917258</v>
      </c>
      <c r="H4052" t="s">
        <v>1755</v>
      </c>
      <c r="I4052" t="s">
        <v>7071</v>
      </c>
      <c r="M4052" t="s">
        <v>1757</v>
      </c>
    </row>
    <row r="4053" spans="1:13" x14ac:dyDescent="0.45">
      <c r="A4053" t="s">
        <v>7072</v>
      </c>
      <c r="B4053">
        <v>1</v>
      </c>
      <c r="C4053" t="s">
        <v>1774</v>
      </c>
      <c r="G4053" s="3">
        <v>91.309434880068594</v>
      </c>
      <c r="H4053" t="s">
        <v>1755</v>
      </c>
      <c r="I4053" t="s">
        <v>7072</v>
      </c>
      <c r="M4053" t="s">
        <v>1757</v>
      </c>
    </row>
    <row r="4054" spans="1:13" x14ac:dyDescent="0.45">
      <c r="A4054" t="s">
        <v>7073</v>
      </c>
      <c r="B4054">
        <v>1</v>
      </c>
      <c r="C4054" t="s">
        <v>1774</v>
      </c>
      <c r="G4054" s="3">
        <v>645.81245882559199</v>
      </c>
      <c r="H4054" t="s">
        <v>1755</v>
      </c>
      <c r="I4054" t="s">
        <v>7073</v>
      </c>
      <c r="M4054" t="s">
        <v>1757</v>
      </c>
    </row>
    <row r="4055" spans="1:13" x14ac:dyDescent="0.45">
      <c r="A4055" t="s">
        <v>7074</v>
      </c>
      <c r="B4055">
        <v>1</v>
      </c>
      <c r="C4055" t="s">
        <v>1774</v>
      </c>
      <c r="G4055" s="3">
        <v>1095.8365056716</v>
      </c>
      <c r="H4055" t="s">
        <v>1755</v>
      </c>
      <c r="I4055" t="s">
        <v>7074</v>
      </c>
      <c r="M4055" t="s">
        <v>1757</v>
      </c>
    </row>
    <row r="4056" spans="1:13" x14ac:dyDescent="0.45">
      <c r="A4056" t="s">
        <v>7075</v>
      </c>
      <c r="B4056">
        <v>1</v>
      </c>
      <c r="C4056" t="s">
        <v>1774</v>
      </c>
      <c r="G4056" s="3">
        <v>900.53406669481421</v>
      </c>
      <c r="H4056" t="s">
        <v>1755</v>
      </c>
      <c r="I4056" t="s">
        <v>7075</v>
      </c>
      <c r="M4056" t="s">
        <v>1757</v>
      </c>
    </row>
    <row r="4057" spans="1:13" x14ac:dyDescent="0.45">
      <c r="A4057" t="s">
        <v>7076</v>
      </c>
      <c r="B4057">
        <v>1</v>
      </c>
      <c r="C4057" t="s">
        <v>1774</v>
      </c>
      <c r="G4057" s="3">
        <v>472.0037251403395</v>
      </c>
      <c r="H4057" t="s">
        <v>1755</v>
      </c>
      <c r="I4057" t="s">
        <v>7076</v>
      </c>
      <c r="M4057" t="s">
        <v>1757</v>
      </c>
    </row>
    <row r="4058" spans="1:13" x14ac:dyDescent="0.45">
      <c r="A4058" t="s">
        <v>7077</v>
      </c>
      <c r="B4058">
        <v>1</v>
      </c>
      <c r="C4058" t="s">
        <v>1774</v>
      </c>
      <c r="G4058" s="3">
        <v>944.77065620453607</v>
      </c>
      <c r="H4058" t="s">
        <v>1755</v>
      </c>
      <c r="I4058" t="s">
        <v>7077</v>
      </c>
      <c r="M4058" t="s">
        <v>1757</v>
      </c>
    </row>
    <row r="4059" spans="1:13" x14ac:dyDescent="0.45">
      <c r="A4059" t="s">
        <v>7078</v>
      </c>
      <c r="B4059">
        <v>1</v>
      </c>
      <c r="C4059" t="s">
        <v>1774</v>
      </c>
      <c r="G4059" s="3">
        <v>380.1907048130762</v>
      </c>
      <c r="H4059" t="s">
        <v>1755</v>
      </c>
      <c r="I4059" t="s">
        <v>7078</v>
      </c>
      <c r="M4059" t="s">
        <v>1757</v>
      </c>
    </row>
    <row r="4060" spans="1:13" x14ac:dyDescent="0.45">
      <c r="A4060" t="s">
        <v>7079</v>
      </c>
      <c r="B4060">
        <v>1</v>
      </c>
      <c r="C4060" t="s">
        <v>1774</v>
      </c>
      <c r="G4060" s="3">
        <v>1863.941298322085</v>
      </c>
      <c r="H4060" t="s">
        <v>1755</v>
      </c>
      <c r="I4060" t="s">
        <v>7079</v>
      </c>
      <c r="M4060" t="s">
        <v>1757</v>
      </c>
    </row>
    <row r="4061" spans="1:13" x14ac:dyDescent="0.45">
      <c r="A4061" t="s">
        <v>7080</v>
      </c>
      <c r="B4061">
        <v>1</v>
      </c>
      <c r="C4061" t="s">
        <v>1774</v>
      </c>
      <c r="G4061" s="3">
        <v>579.7723154655057</v>
      </c>
      <c r="H4061" t="s">
        <v>1755</v>
      </c>
      <c r="I4061" t="s">
        <v>7080</v>
      </c>
      <c r="M4061" t="s">
        <v>1757</v>
      </c>
    </row>
    <row r="4062" spans="1:13" x14ac:dyDescent="0.45">
      <c r="A4062" t="s">
        <v>7081</v>
      </c>
      <c r="B4062">
        <v>1</v>
      </c>
      <c r="C4062" t="s">
        <v>1774</v>
      </c>
      <c r="G4062" s="3">
        <v>155.72825488652481</v>
      </c>
      <c r="H4062" t="s">
        <v>1755</v>
      </c>
      <c r="I4062" t="s">
        <v>7081</v>
      </c>
      <c r="M4062" t="s">
        <v>1757</v>
      </c>
    </row>
    <row r="4063" spans="1:13" x14ac:dyDescent="0.45">
      <c r="A4063" t="s">
        <v>7082</v>
      </c>
      <c r="B4063">
        <v>1</v>
      </c>
      <c r="C4063" t="s">
        <v>1774</v>
      </c>
      <c r="G4063" s="3">
        <v>172.64370310404831</v>
      </c>
      <c r="H4063" t="s">
        <v>1755</v>
      </c>
      <c r="I4063" t="s">
        <v>7082</v>
      </c>
      <c r="M4063" t="s">
        <v>1757</v>
      </c>
    </row>
    <row r="4064" spans="1:13" x14ac:dyDescent="0.45">
      <c r="A4064" t="s">
        <v>7083</v>
      </c>
      <c r="B4064">
        <v>1</v>
      </c>
      <c r="C4064" t="s">
        <v>1774</v>
      </c>
      <c r="G4064" s="3">
        <v>754.43557886037615</v>
      </c>
      <c r="H4064" t="s">
        <v>1755</v>
      </c>
      <c r="I4064" t="s">
        <v>7083</v>
      </c>
      <c r="M4064" t="s">
        <v>1757</v>
      </c>
    </row>
    <row r="4065" spans="1:13" x14ac:dyDescent="0.45">
      <c r="A4065" t="s">
        <v>7084</v>
      </c>
      <c r="B4065">
        <v>4</v>
      </c>
      <c r="C4065" t="s">
        <v>1774</v>
      </c>
      <c r="G4065" s="3">
        <v>136.6892024936877</v>
      </c>
      <c r="H4065" t="s">
        <v>1755</v>
      </c>
      <c r="I4065" t="s">
        <v>7084</v>
      </c>
      <c r="M4065" t="s">
        <v>1757</v>
      </c>
    </row>
    <row r="4066" spans="1:13" x14ac:dyDescent="0.45">
      <c r="A4066" t="s">
        <v>7085</v>
      </c>
      <c r="B4066">
        <v>1</v>
      </c>
      <c r="C4066" t="s">
        <v>1774</v>
      </c>
      <c r="G4066" s="3">
        <v>203.34088906199281</v>
      </c>
      <c r="H4066" t="s">
        <v>1755</v>
      </c>
      <c r="I4066" t="s">
        <v>7085</v>
      </c>
      <c r="M4066" t="s">
        <v>1757</v>
      </c>
    </row>
    <row r="4067" spans="1:13" x14ac:dyDescent="0.45">
      <c r="A4067" t="s">
        <v>7086</v>
      </c>
      <c r="B4067">
        <v>1</v>
      </c>
      <c r="C4067" t="s">
        <v>1774</v>
      </c>
      <c r="G4067" s="3">
        <v>373.60886911075232</v>
      </c>
      <c r="H4067" t="s">
        <v>1755</v>
      </c>
      <c r="I4067" t="s">
        <v>7086</v>
      </c>
      <c r="M4067" t="s">
        <v>1757</v>
      </c>
    </row>
    <row r="4068" spans="1:13" x14ac:dyDescent="0.45">
      <c r="A4068" t="s">
        <v>7087</v>
      </c>
      <c r="B4068">
        <v>1</v>
      </c>
      <c r="C4068" t="s">
        <v>1774</v>
      </c>
      <c r="G4068" s="3">
        <v>412.4573552605936</v>
      </c>
      <c r="H4068" t="s">
        <v>1755</v>
      </c>
      <c r="I4068" t="s">
        <v>7087</v>
      </c>
      <c r="M4068" t="s">
        <v>1757</v>
      </c>
    </row>
    <row r="4069" spans="1:13" x14ac:dyDescent="0.45">
      <c r="A4069" t="s">
        <v>7088</v>
      </c>
      <c r="B4069">
        <v>1</v>
      </c>
      <c r="C4069" t="s">
        <v>1774</v>
      </c>
      <c r="G4069" s="3">
        <v>369.81893200168378</v>
      </c>
      <c r="H4069" t="s">
        <v>1755</v>
      </c>
      <c r="I4069" t="s">
        <v>7088</v>
      </c>
      <c r="M4069" t="s">
        <v>1757</v>
      </c>
    </row>
    <row r="4070" spans="1:13" x14ac:dyDescent="0.45">
      <c r="A4070" t="s">
        <v>7089</v>
      </c>
      <c r="B4070">
        <v>1</v>
      </c>
      <c r="C4070" t="s">
        <v>1774</v>
      </c>
      <c r="G4070" s="3">
        <v>576.51075168833825</v>
      </c>
      <c r="H4070" t="s">
        <v>1755</v>
      </c>
      <c r="I4070" t="s">
        <v>7089</v>
      </c>
      <c r="M4070" t="s">
        <v>1757</v>
      </c>
    </row>
    <row r="4071" spans="1:13" x14ac:dyDescent="0.45">
      <c r="A4071" t="s">
        <v>7090</v>
      </c>
      <c r="B4071">
        <v>2</v>
      </c>
      <c r="C4071" t="s">
        <v>1774</v>
      </c>
      <c r="G4071" s="3">
        <v>270.05160993466461</v>
      </c>
      <c r="H4071" t="s">
        <v>1755</v>
      </c>
      <c r="I4071" t="s">
        <v>7090</v>
      </c>
      <c r="M4071" t="s">
        <v>1757</v>
      </c>
    </row>
    <row r="4072" spans="1:13" x14ac:dyDescent="0.45">
      <c r="A4072" t="s">
        <v>7091</v>
      </c>
      <c r="B4072">
        <v>1</v>
      </c>
      <c r="C4072" t="s">
        <v>1774</v>
      </c>
      <c r="G4072" s="3">
        <v>163.15907564004539</v>
      </c>
      <c r="H4072" t="s">
        <v>1755</v>
      </c>
      <c r="I4072" t="s">
        <v>7091</v>
      </c>
      <c r="M4072" t="s">
        <v>1757</v>
      </c>
    </row>
    <row r="4073" spans="1:13" x14ac:dyDescent="0.45">
      <c r="A4073" t="s">
        <v>7092</v>
      </c>
      <c r="B4073">
        <v>2</v>
      </c>
      <c r="C4073" t="s">
        <v>1774</v>
      </c>
      <c r="G4073" s="3">
        <v>136.71692578579359</v>
      </c>
      <c r="H4073" t="s">
        <v>1755</v>
      </c>
      <c r="I4073" t="s">
        <v>7092</v>
      </c>
      <c r="M4073" t="s">
        <v>1757</v>
      </c>
    </row>
    <row r="4074" spans="1:13" x14ac:dyDescent="0.45">
      <c r="A4074" t="s">
        <v>7093</v>
      </c>
      <c r="B4074">
        <v>2</v>
      </c>
      <c r="C4074" t="s">
        <v>1774</v>
      </c>
      <c r="G4074" s="3">
        <v>158.12354732447659</v>
      </c>
      <c r="H4074" t="s">
        <v>1755</v>
      </c>
      <c r="I4074" t="s">
        <v>7093</v>
      </c>
      <c r="M4074" t="s">
        <v>1757</v>
      </c>
    </row>
    <row r="4075" spans="1:13" x14ac:dyDescent="0.45">
      <c r="A4075" t="s">
        <v>7094</v>
      </c>
      <c r="B4075">
        <v>1</v>
      </c>
      <c r="C4075" t="s">
        <v>1774</v>
      </c>
      <c r="G4075" s="3">
        <v>250.2982750746277</v>
      </c>
      <c r="H4075" t="s">
        <v>1755</v>
      </c>
      <c r="I4075" t="s">
        <v>7094</v>
      </c>
      <c r="M4075" t="s">
        <v>1757</v>
      </c>
    </row>
    <row r="4076" spans="1:13" x14ac:dyDescent="0.45">
      <c r="A4076" t="s">
        <v>7095</v>
      </c>
      <c r="B4076">
        <v>1</v>
      </c>
      <c r="C4076" t="s">
        <v>1774</v>
      </c>
      <c r="G4076" s="3">
        <v>772.02845387441732</v>
      </c>
      <c r="H4076" t="s">
        <v>1755</v>
      </c>
      <c r="I4076" t="s">
        <v>7095</v>
      </c>
      <c r="M4076" t="s">
        <v>1757</v>
      </c>
    </row>
    <row r="4077" spans="1:13" x14ac:dyDescent="0.45">
      <c r="A4077" t="s">
        <v>7096</v>
      </c>
      <c r="B4077">
        <v>1</v>
      </c>
      <c r="C4077" t="s">
        <v>1774</v>
      </c>
      <c r="G4077" s="3">
        <v>854.66343373273139</v>
      </c>
      <c r="H4077" t="s">
        <v>1755</v>
      </c>
      <c r="I4077" t="s">
        <v>7096</v>
      </c>
      <c r="M4077" t="s">
        <v>1757</v>
      </c>
    </row>
    <row r="4078" spans="1:13" x14ac:dyDescent="0.45">
      <c r="A4078" t="s">
        <v>7097</v>
      </c>
      <c r="B4078">
        <v>1</v>
      </c>
      <c r="C4078" t="s">
        <v>1774</v>
      </c>
      <c r="G4078" s="3">
        <v>1036.6717387537831</v>
      </c>
      <c r="H4078" t="s">
        <v>1755</v>
      </c>
      <c r="I4078" t="s">
        <v>7097</v>
      </c>
      <c r="M4078" t="s">
        <v>1757</v>
      </c>
    </row>
    <row r="4079" spans="1:13" x14ac:dyDescent="0.45">
      <c r="A4079" t="s">
        <v>7098</v>
      </c>
      <c r="B4079">
        <v>1</v>
      </c>
      <c r="C4079" t="s">
        <v>1774</v>
      </c>
      <c r="G4079" s="3">
        <v>104.9424453122508</v>
      </c>
      <c r="H4079" t="s">
        <v>1755</v>
      </c>
      <c r="I4079" t="s">
        <v>7098</v>
      </c>
      <c r="M4079" t="s">
        <v>1757</v>
      </c>
    </row>
    <row r="4080" spans="1:13" x14ac:dyDescent="0.45">
      <c r="A4080" t="s">
        <v>7099</v>
      </c>
      <c r="B4080">
        <v>1</v>
      </c>
      <c r="C4080" t="s">
        <v>1774</v>
      </c>
      <c r="G4080" s="3">
        <v>119.3014798412304</v>
      </c>
      <c r="H4080" t="s">
        <v>1755</v>
      </c>
      <c r="I4080" t="s">
        <v>7099</v>
      </c>
      <c r="M4080" t="s">
        <v>1757</v>
      </c>
    </row>
    <row r="4081" spans="1:13" x14ac:dyDescent="0.45">
      <c r="A4081" t="s">
        <v>7100</v>
      </c>
      <c r="B4081">
        <v>1</v>
      </c>
      <c r="C4081" t="s">
        <v>1774</v>
      </c>
      <c r="G4081" s="3">
        <v>245.26078982079261</v>
      </c>
      <c r="H4081" t="s">
        <v>1755</v>
      </c>
      <c r="I4081" t="s">
        <v>7100</v>
      </c>
      <c r="M4081" t="s">
        <v>1757</v>
      </c>
    </row>
    <row r="4082" spans="1:13" x14ac:dyDescent="0.45">
      <c r="A4082" t="s">
        <v>7101</v>
      </c>
      <c r="B4082">
        <v>2</v>
      </c>
      <c r="C4082" t="s">
        <v>1774</v>
      </c>
      <c r="G4082" s="3">
        <v>73.777224952282779</v>
      </c>
      <c r="H4082" t="s">
        <v>1755</v>
      </c>
      <c r="I4082" t="s">
        <v>7101</v>
      </c>
      <c r="M4082" t="s">
        <v>1757</v>
      </c>
    </row>
    <row r="4083" spans="1:13" x14ac:dyDescent="0.45">
      <c r="A4083" t="s">
        <v>7102</v>
      </c>
      <c r="B4083">
        <v>1</v>
      </c>
      <c r="C4083" t="s">
        <v>1774</v>
      </c>
      <c r="G4083" s="3">
        <v>108.81587845401479</v>
      </c>
      <c r="H4083" t="s">
        <v>1755</v>
      </c>
      <c r="I4083" t="s">
        <v>7102</v>
      </c>
      <c r="M4083" t="s">
        <v>1757</v>
      </c>
    </row>
    <row r="4084" spans="1:13" x14ac:dyDescent="0.45">
      <c r="A4084" t="s">
        <v>7103</v>
      </c>
      <c r="B4084">
        <v>3</v>
      </c>
      <c r="C4084" t="s">
        <v>1774</v>
      </c>
      <c r="G4084" s="3">
        <v>253.36479733792049</v>
      </c>
      <c r="H4084" t="s">
        <v>1755</v>
      </c>
      <c r="I4084" t="s">
        <v>7103</v>
      </c>
      <c r="M4084" t="s">
        <v>1757</v>
      </c>
    </row>
    <row r="4085" spans="1:13" x14ac:dyDescent="0.45">
      <c r="A4085" t="s">
        <v>7104</v>
      </c>
      <c r="B4085">
        <v>1</v>
      </c>
      <c r="C4085" t="s">
        <v>1774</v>
      </c>
      <c r="G4085" s="3">
        <v>732.97448920661441</v>
      </c>
      <c r="H4085" t="s">
        <v>1755</v>
      </c>
      <c r="I4085" t="s">
        <v>7104</v>
      </c>
      <c r="M4085" t="s">
        <v>1757</v>
      </c>
    </row>
    <row r="4086" spans="1:13" x14ac:dyDescent="0.45">
      <c r="A4086" t="s">
        <v>7105</v>
      </c>
      <c r="B4086">
        <v>1</v>
      </c>
      <c r="C4086" t="s">
        <v>1774</v>
      </c>
      <c r="G4086" s="3">
        <v>920.11323404915026</v>
      </c>
      <c r="H4086" t="s">
        <v>1755</v>
      </c>
      <c r="I4086" t="s">
        <v>7105</v>
      </c>
      <c r="M4086" t="s">
        <v>1757</v>
      </c>
    </row>
    <row r="4087" spans="1:13" x14ac:dyDescent="0.45">
      <c r="A4087" t="s">
        <v>7106</v>
      </c>
      <c r="B4087">
        <v>1</v>
      </c>
      <c r="C4087" t="s">
        <v>1774</v>
      </c>
      <c r="G4087" s="3">
        <v>988.27339386439519</v>
      </c>
      <c r="H4087" t="s">
        <v>1755</v>
      </c>
      <c r="I4087" t="s">
        <v>7106</v>
      </c>
      <c r="M4087" t="s">
        <v>1757</v>
      </c>
    </row>
    <row r="4088" spans="1:13" x14ac:dyDescent="0.45">
      <c r="A4088" t="s">
        <v>7107</v>
      </c>
      <c r="B4088">
        <v>1</v>
      </c>
      <c r="C4088" t="s">
        <v>1774</v>
      </c>
      <c r="G4088" s="3">
        <v>966.92319737905723</v>
      </c>
      <c r="H4088" t="s">
        <v>1755</v>
      </c>
      <c r="I4088" t="s">
        <v>7107</v>
      </c>
      <c r="M4088" t="s">
        <v>1757</v>
      </c>
    </row>
    <row r="4089" spans="1:13" x14ac:dyDescent="0.45">
      <c r="A4089" t="s">
        <v>7108</v>
      </c>
      <c r="B4089">
        <v>1</v>
      </c>
      <c r="C4089" t="s">
        <v>1774</v>
      </c>
      <c r="G4089" s="3">
        <v>647.33234754575199</v>
      </c>
      <c r="H4089" t="s">
        <v>1755</v>
      </c>
      <c r="I4089" t="s">
        <v>7108</v>
      </c>
      <c r="M4089" t="s">
        <v>1757</v>
      </c>
    </row>
    <row r="4090" spans="1:13" x14ac:dyDescent="0.45">
      <c r="A4090" t="s">
        <v>7109</v>
      </c>
      <c r="B4090">
        <v>2</v>
      </c>
      <c r="C4090" t="s">
        <v>1774</v>
      </c>
      <c r="G4090" s="3">
        <v>580.37896632805894</v>
      </c>
      <c r="H4090" t="s">
        <v>1755</v>
      </c>
      <c r="I4090" t="s">
        <v>7109</v>
      </c>
      <c r="M4090" t="s">
        <v>1757</v>
      </c>
    </row>
    <row r="4091" spans="1:13" x14ac:dyDescent="0.45">
      <c r="A4091" t="s">
        <v>7110</v>
      </c>
      <c r="B4091">
        <v>1</v>
      </c>
      <c r="C4091" t="s">
        <v>1774</v>
      </c>
      <c r="G4091" s="3">
        <v>1146.3972673452499</v>
      </c>
      <c r="H4091" t="s">
        <v>1755</v>
      </c>
      <c r="I4091" t="s">
        <v>7110</v>
      </c>
      <c r="M4091" t="s">
        <v>1757</v>
      </c>
    </row>
    <row r="4092" spans="1:13" x14ac:dyDescent="0.45">
      <c r="A4092" t="s">
        <v>7111</v>
      </c>
      <c r="B4092">
        <v>1</v>
      </c>
      <c r="C4092" t="s">
        <v>1774</v>
      </c>
      <c r="G4092" s="3">
        <v>380.57556933878197</v>
      </c>
      <c r="H4092" t="s">
        <v>1755</v>
      </c>
      <c r="I4092" t="s">
        <v>7111</v>
      </c>
      <c r="M4092" t="s">
        <v>1757</v>
      </c>
    </row>
    <row r="4093" spans="1:13" x14ac:dyDescent="0.45">
      <c r="A4093" t="s">
        <v>7112</v>
      </c>
      <c r="B4093">
        <v>1</v>
      </c>
      <c r="C4093" t="s">
        <v>1774</v>
      </c>
      <c r="G4093" s="3">
        <v>2571.146172125299</v>
      </c>
      <c r="H4093" t="s">
        <v>1755</v>
      </c>
      <c r="I4093" t="s">
        <v>7112</v>
      </c>
      <c r="M4093" t="s">
        <v>1757</v>
      </c>
    </row>
    <row r="4094" spans="1:13" x14ac:dyDescent="0.45">
      <c r="A4094" t="s">
        <v>7113</v>
      </c>
      <c r="B4094">
        <v>1</v>
      </c>
      <c r="C4094" t="s">
        <v>1774</v>
      </c>
      <c r="G4094" s="3">
        <v>1099.3557329871639</v>
      </c>
      <c r="H4094" t="s">
        <v>1755</v>
      </c>
      <c r="I4094" t="s">
        <v>7113</v>
      </c>
      <c r="M4094" t="s">
        <v>1757</v>
      </c>
    </row>
    <row r="4095" spans="1:13" x14ac:dyDescent="0.45">
      <c r="A4095" t="s">
        <v>7114</v>
      </c>
      <c r="B4095">
        <v>1</v>
      </c>
      <c r="C4095" t="s">
        <v>1774</v>
      </c>
      <c r="G4095" s="3">
        <v>63.832390839321548</v>
      </c>
      <c r="H4095" t="s">
        <v>1755</v>
      </c>
      <c r="I4095" t="s">
        <v>7114</v>
      </c>
      <c r="M4095" t="s">
        <v>1757</v>
      </c>
    </row>
    <row r="4096" spans="1:13" x14ac:dyDescent="0.45">
      <c r="A4096" t="s">
        <v>7115</v>
      </c>
      <c r="B4096">
        <v>1</v>
      </c>
      <c r="C4096" t="s">
        <v>1774</v>
      </c>
      <c r="G4096" s="3">
        <v>847.83371918334274</v>
      </c>
      <c r="H4096" t="s">
        <v>1755</v>
      </c>
      <c r="I4096" t="s">
        <v>7115</v>
      </c>
      <c r="M4096" t="s">
        <v>1757</v>
      </c>
    </row>
    <row r="4097" spans="1:13" x14ac:dyDescent="0.45">
      <c r="A4097" t="s">
        <v>7116</v>
      </c>
      <c r="B4097">
        <v>1</v>
      </c>
      <c r="C4097" t="s">
        <v>1774</v>
      </c>
      <c r="G4097" s="3">
        <v>295.95494945292842</v>
      </c>
      <c r="H4097" t="s">
        <v>1755</v>
      </c>
      <c r="I4097" t="s">
        <v>7116</v>
      </c>
      <c r="M4097" t="s">
        <v>1757</v>
      </c>
    </row>
    <row r="4098" spans="1:13" x14ac:dyDescent="0.45">
      <c r="A4098" t="s">
        <v>7117</v>
      </c>
      <c r="B4098">
        <v>1</v>
      </c>
      <c r="C4098" t="s">
        <v>1774</v>
      </c>
      <c r="G4098" s="3">
        <v>819.45159119443178</v>
      </c>
      <c r="H4098" t="s">
        <v>1755</v>
      </c>
      <c r="I4098" t="s">
        <v>7117</v>
      </c>
      <c r="M4098" t="s">
        <v>1757</v>
      </c>
    </row>
    <row r="4099" spans="1:13" x14ac:dyDescent="0.45">
      <c r="A4099" t="s">
        <v>7118</v>
      </c>
      <c r="B4099">
        <v>2</v>
      </c>
      <c r="C4099" t="s">
        <v>1774</v>
      </c>
      <c r="G4099" s="3">
        <v>769.51052663844405</v>
      </c>
      <c r="H4099" t="s">
        <v>1755</v>
      </c>
      <c r="I4099" t="s">
        <v>7118</v>
      </c>
      <c r="M4099" t="s">
        <v>1757</v>
      </c>
    </row>
    <row r="4100" spans="1:13" x14ac:dyDescent="0.45">
      <c r="A4100" t="s">
        <v>7119</v>
      </c>
      <c r="B4100">
        <v>1</v>
      </c>
      <c r="C4100" t="s">
        <v>1774</v>
      </c>
      <c r="G4100" s="3">
        <v>1217.6885283865749</v>
      </c>
      <c r="H4100" t="s">
        <v>1755</v>
      </c>
      <c r="I4100" t="s">
        <v>7119</v>
      </c>
      <c r="M4100" t="s">
        <v>1757</v>
      </c>
    </row>
    <row r="4101" spans="1:13" x14ac:dyDescent="0.45">
      <c r="A4101" t="s">
        <v>7120</v>
      </c>
      <c r="B4101">
        <v>1</v>
      </c>
      <c r="C4101" t="s">
        <v>1774</v>
      </c>
      <c r="G4101" s="3">
        <v>229.2657549011858</v>
      </c>
      <c r="H4101" t="s">
        <v>1755</v>
      </c>
      <c r="I4101" t="s">
        <v>7120</v>
      </c>
      <c r="M4101" t="s">
        <v>1757</v>
      </c>
    </row>
    <row r="4102" spans="1:13" x14ac:dyDescent="0.45">
      <c r="A4102" t="s">
        <v>7121</v>
      </c>
      <c r="B4102">
        <v>1</v>
      </c>
      <c r="C4102" t="s">
        <v>1774</v>
      </c>
      <c r="G4102" s="3">
        <v>539.59637285835731</v>
      </c>
      <c r="H4102" t="s">
        <v>1755</v>
      </c>
      <c r="I4102" t="s">
        <v>7121</v>
      </c>
      <c r="M4102" t="s">
        <v>1757</v>
      </c>
    </row>
    <row r="4103" spans="1:13" x14ac:dyDescent="0.45">
      <c r="A4103" t="s">
        <v>7122</v>
      </c>
      <c r="B4103">
        <v>1</v>
      </c>
      <c r="C4103" t="s">
        <v>1774</v>
      </c>
      <c r="G4103" s="3">
        <v>1159.779463522967</v>
      </c>
      <c r="H4103" t="s">
        <v>1755</v>
      </c>
      <c r="I4103" t="s">
        <v>7122</v>
      </c>
      <c r="M4103" t="s">
        <v>1757</v>
      </c>
    </row>
    <row r="4104" spans="1:13" x14ac:dyDescent="0.45">
      <c r="A4104" t="s">
        <v>7123</v>
      </c>
      <c r="B4104">
        <v>1</v>
      </c>
      <c r="C4104" t="s">
        <v>1774</v>
      </c>
      <c r="G4104" s="3">
        <v>188.48935840266091</v>
      </c>
      <c r="H4104" t="s">
        <v>1755</v>
      </c>
      <c r="I4104" t="s">
        <v>7123</v>
      </c>
      <c r="M4104" t="s">
        <v>1757</v>
      </c>
    </row>
    <row r="4105" spans="1:13" x14ac:dyDescent="0.45">
      <c r="A4105" t="s">
        <v>7124</v>
      </c>
      <c r="B4105">
        <v>1</v>
      </c>
      <c r="C4105" t="s">
        <v>1774</v>
      </c>
      <c r="G4105" s="3">
        <v>330.23659400197982</v>
      </c>
      <c r="H4105" t="s">
        <v>1755</v>
      </c>
      <c r="I4105" t="s">
        <v>7124</v>
      </c>
      <c r="M4105" t="s">
        <v>1757</v>
      </c>
    </row>
    <row r="4106" spans="1:13" x14ac:dyDescent="0.45">
      <c r="A4106" t="s">
        <v>7125</v>
      </c>
      <c r="B4106">
        <v>1</v>
      </c>
      <c r="C4106" t="s">
        <v>1774</v>
      </c>
      <c r="G4106" s="3">
        <v>168.29799552735039</v>
      </c>
      <c r="H4106" t="s">
        <v>1755</v>
      </c>
      <c r="I4106" t="s">
        <v>7125</v>
      </c>
      <c r="M4106" t="s">
        <v>1757</v>
      </c>
    </row>
    <row r="4107" spans="1:13" x14ac:dyDescent="0.45">
      <c r="A4107" t="s">
        <v>7126</v>
      </c>
      <c r="B4107">
        <v>2</v>
      </c>
      <c r="C4107" t="s">
        <v>1774</v>
      </c>
      <c r="H4107" t="s">
        <v>1755</v>
      </c>
      <c r="I4107" t="s">
        <v>7126</v>
      </c>
      <c r="M4107" t="s">
        <v>1757</v>
      </c>
    </row>
    <row r="4108" spans="1:13" x14ac:dyDescent="0.45">
      <c r="A4108" t="s">
        <v>7127</v>
      </c>
      <c r="B4108">
        <v>1</v>
      </c>
      <c r="C4108" t="s">
        <v>1774</v>
      </c>
      <c r="H4108" t="s">
        <v>1755</v>
      </c>
      <c r="I4108" t="s">
        <v>7127</v>
      </c>
      <c r="M4108" t="s">
        <v>1757</v>
      </c>
    </row>
    <row r="4109" spans="1:13" x14ac:dyDescent="0.45">
      <c r="A4109" t="s">
        <v>7128</v>
      </c>
      <c r="B4109">
        <v>1</v>
      </c>
      <c r="C4109" t="s">
        <v>1774</v>
      </c>
      <c r="G4109" s="3">
        <v>159.41219117283549</v>
      </c>
      <c r="H4109" t="s">
        <v>1755</v>
      </c>
      <c r="I4109" t="s">
        <v>7128</v>
      </c>
      <c r="M4109" t="s">
        <v>1757</v>
      </c>
    </row>
    <row r="4110" spans="1:13" x14ac:dyDescent="0.45">
      <c r="A4110" t="s">
        <v>7129</v>
      </c>
      <c r="B4110">
        <v>1</v>
      </c>
      <c r="C4110" t="s">
        <v>1774</v>
      </c>
      <c r="G4110" s="3">
        <v>138.3196582258937</v>
      </c>
      <c r="H4110" t="s">
        <v>1755</v>
      </c>
      <c r="I4110" t="s">
        <v>7129</v>
      </c>
      <c r="M4110" t="s">
        <v>1757</v>
      </c>
    </row>
    <row r="4111" spans="1:13" x14ac:dyDescent="0.45">
      <c r="A4111" t="s">
        <v>7130</v>
      </c>
      <c r="B4111">
        <v>2</v>
      </c>
      <c r="C4111" t="s">
        <v>1774</v>
      </c>
      <c r="G4111" s="3">
        <v>411.8670122169263</v>
      </c>
      <c r="H4111" t="s">
        <v>1755</v>
      </c>
      <c r="I4111" t="s">
        <v>7130</v>
      </c>
      <c r="M4111" t="s">
        <v>1757</v>
      </c>
    </row>
    <row r="4112" spans="1:13" x14ac:dyDescent="0.45">
      <c r="A4112" t="s">
        <v>7131</v>
      </c>
      <c r="B4112">
        <v>2</v>
      </c>
      <c r="C4112" t="s">
        <v>1774</v>
      </c>
      <c r="G4112" s="3">
        <v>195.2404692650197</v>
      </c>
      <c r="H4112" t="s">
        <v>1755</v>
      </c>
      <c r="I4112" t="s">
        <v>7131</v>
      </c>
      <c r="M4112" t="s">
        <v>1757</v>
      </c>
    </row>
    <row r="4113" spans="1:13" x14ac:dyDescent="0.45">
      <c r="A4113" t="s">
        <v>7132</v>
      </c>
      <c r="B4113">
        <v>1</v>
      </c>
      <c r="C4113" t="s">
        <v>1774</v>
      </c>
      <c r="G4113" s="3">
        <v>755.97177539942209</v>
      </c>
      <c r="H4113" t="s">
        <v>1755</v>
      </c>
      <c r="I4113" t="s">
        <v>7132</v>
      </c>
      <c r="M4113" t="s">
        <v>1757</v>
      </c>
    </row>
    <row r="4114" spans="1:13" x14ac:dyDescent="0.45">
      <c r="A4114" t="s">
        <v>7133</v>
      </c>
      <c r="B4114">
        <v>1</v>
      </c>
      <c r="C4114" t="s">
        <v>1774</v>
      </c>
      <c r="G4114" s="3">
        <v>1748.3482164954939</v>
      </c>
      <c r="H4114" t="s">
        <v>1755</v>
      </c>
      <c r="I4114" t="s">
        <v>7133</v>
      </c>
      <c r="M4114" t="s">
        <v>1757</v>
      </c>
    </row>
    <row r="4115" spans="1:13" x14ac:dyDescent="0.45">
      <c r="A4115" t="s">
        <v>7134</v>
      </c>
      <c r="B4115">
        <v>1</v>
      </c>
      <c r="C4115" t="s">
        <v>1774</v>
      </c>
      <c r="G4115" s="3">
        <v>1024.1179797754651</v>
      </c>
      <c r="H4115" t="s">
        <v>1755</v>
      </c>
      <c r="I4115" t="s">
        <v>7134</v>
      </c>
      <c r="M4115" t="s">
        <v>1757</v>
      </c>
    </row>
    <row r="4116" spans="1:13" x14ac:dyDescent="0.45">
      <c r="A4116" t="s">
        <v>7135</v>
      </c>
      <c r="B4116">
        <v>2</v>
      </c>
      <c r="C4116" t="s">
        <v>1774</v>
      </c>
      <c r="G4116" s="3">
        <v>266.32005481720728</v>
      </c>
      <c r="H4116" t="s">
        <v>1755</v>
      </c>
      <c r="I4116" t="s">
        <v>7135</v>
      </c>
      <c r="M4116" t="s">
        <v>1757</v>
      </c>
    </row>
    <row r="4117" spans="1:13" x14ac:dyDescent="0.45">
      <c r="A4117" t="s">
        <v>7136</v>
      </c>
      <c r="B4117">
        <v>1</v>
      </c>
      <c r="C4117" t="s">
        <v>1774</v>
      </c>
      <c r="G4117" s="3">
        <v>1426.881967490317</v>
      </c>
      <c r="H4117" t="s">
        <v>1755</v>
      </c>
      <c r="I4117" t="s">
        <v>7136</v>
      </c>
      <c r="M4117" t="s">
        <v>1757</v>
      </c>
    </row>
    <row r="4118" spans="1:13" x14ac:dyDescent="0.45">
      <c r="A4118" t="s">
        <v>7137</v>
      </c>
      <c r="B4118">
        <v>1</v>
      </c>
      <c r="C4118" t="s">
        <v>1774</v>
      </c>
      <c r="G4118" s="3">
        <v>716.28506735884866</v>
      </c>
      <c r="H4118" t="s">
        <v>1755</v>
      </c>
      <c r="I4118" t="s">
        <v>7137</v>
      </c>
      <c r="M4118" t="s">
        <v>1757</v>
      </c>
    </row>
    <row r="4119" spans="1:13" x14ac:dyDescent="0.45">
      <c r="A4119" t="s">
        <v>7138</v>
      </c>
      <c r="B4119">
        <v>1</v>
      </c>
      <c r="C4119" t="s">
        <v>1774</v>
      </c>
      <c r="G4119" s="3">
        <v>687.91272406126916</v>
      </c>
      <c r="H4119" t="s">
        <v>1755</v>
      </c>
      <c r="I4119" t="s">
        <v>7138</v>
      </c>
      <c r="M4119" t="s">
        <v>1757</v>
      </c>
    </row>
    <row r="4120" spans="1:13" x14ac:dyDescent="0.45">
      <c r="A4120" t="s">
        <v>7139</v>
      </c>
      <c r="B4120">
        <v>2</v>
      </c>
      <c r="C4120" t="s">
        <v>1774</v>
      </c>
      <c r="G4120" s="3">
        <v>124.1837146592723</v>
      </c>
      <c r="H4120" t="s">
        <v>1755</v>
      </c>
      <c r="I4120" t="s">
        <v>7139</v>
      </c>
      <c r="M4120" t="s">
        <v>1757</v>
      </c>
    </row>
    <row r="4121" spans="1:13" x14ac:dyDescent="0.45">
      <c r="A4121" t="s">
        <v>7140</v>
      </c>
      <c r="B4121">
        <v>1</v>
      </c>
      <c r="C4121" t="s">
        <v>1774</v>
      </c>
      <c r="G4121" s="3">
        <v>1659.1118315521931</v>
      </c>
      <c r="H4121" t="s">
        <v>1755</v>
      </c>
      <c r="I4121" t="s">
        <v>7140</v>
      </c>
      <c r="M4121" t="s">
        <v>1757</v>
      </c>
    </row>
    <row r="4122" spans="1:13" x14ac:dyDescent="0.45">
      <c r="A4122" t="s">
        <v>7141</v>
      </c>
      <c r="B4122">
        <v>1</v>
      </c>
      <c r="C4122" t="s">
        <v>1774</v>
      </c>
      <c r="G4122" s="3">
        <v>439.18587041448069</v>
      </c>
      <c r="H4122" t="s">
        <v>1755</v>
      </c>
      <c r="I4122" t="s">
        <v>7141</v>
      </c>
      <c r="M4122" t="s">
        <v>1757</v>
      </c>
    </row>
    <row r="4123" spans="1:13" x14ac:dyDescent="0.45">
      <c r="A4123" t="s">
        <v>7142</v>
      </c>
      <c r="B4123">
        <v>1</v>
      </c>
      <c r="C4123" t="s">
        <v>1774</v>
      </c>
      <c r="G4123" s="3">
        <v>688.99556323528884</v>
      </c>
      <c r="H4123" t="s">
        <v>1755</v>
      </c>
      <c r="I4123" t="s">
        <v>7142</v>
      </c>
      <c r="M4123" t="s">
        <v>1757</v>
      </c>
    </row>
    <row r="4124" spans="1:13" x14ac:dyDescent="0.45">
      <c r="A4124" t="s">
        <v>7143</v>
      </c>
      <c r="B4124">
        <v>2</v>
      </c>
      <c r="C4124" t="s">
        <v>1774</v>
      </c>
      <c r="G4124" s="3">
        <v>262.68862970770908</v>
      </c>
      <c r="H4124" t="s">
        <v>1755</v>
      </c>
      <c r="I4124" t="s">
        <v>7143</v>
      </c>
      <c r="M4124" t="s">
        <v>1757</v>
      </c>
    </row>
    <row r="4125" spans="1:13" x14ac:dyDescent="0.45">
      <c r="A4125" t="s">
        <v>7144</v>
      </c>
      <c r="B4125">
        <v>1</v>
      </c>
      <c r="C4125" t="s">
        <v>1774</v>
      </c>
      <c r="G4125" s="3">
        <v>1418.5193179656601</v>
      </c>
      <c r="H4125" t="s">
        <v>1755</v>
      </c>
      <c r="I4125" t="s">
        <v>7144</v>
      </c>
      <c r="M4125" t="s">
        <v>1757</v>
      </c>
    </row>
    <row r="4126" spans="1:13" x14ac:dyDescent="0.45">
      <c r="A4126" t="s">
        <v>7145</v>
      </c>
      <c r="B4126">
        <v>1</v>
      </c>
      <c r="C4126" t="s">
        <v>1774</v>
      </c>
      <c r="G4126" s="3">
        <v>624.62207896533516</v>
      </c>
      <c r="H4126" t="s">
        <v>1755</v>
      </c>
      <c r="I4126" t="s">
        <v>7145</v>
      </c>
      <c r="M4126" t="s">
        <v>1757</v>
      </c>
    </row>
    <row r="4127" spans="1:13" x14ac:dyDescent="0.45">
      <c r="A4127" t="s">
        <v>7146</v>
      </c>
      <c r="B4127">
        <v>1</v>
      </c>
      <c r="C4127" t="s">
        <v>1774</v>
      </c>
      <c r="G4127" s="3">
        <v>180.75260296684201</v>
      </c>
      <c r="H4127" t="s">
        <v>1755</v>
      </c>
      <c r="I4127" t="s">
        <v>7146</v>
      </c>
      <c r="M4127" t="s">
        <v>1757</v>
      </c>
    </row>
    <row r="4128" spans="1:13" x14ac:dyDescent="0.45">
      <c r="A4128" t="s">
        <v>7147</v>
      </c>
      <c r="B4128">
        <v>1</v>
      </c>
      <c r="C4128" t="s">
        <v>1774</v>
      </c>
      <c r="G4128" s="3">
        <v>301.48786624451509</v>
      </c>
      <c r="H4128" t="s">
        <v>1755</v>
      </c>
      <c r="I4128" t="s">
        <v>7147</v>
      </c>
      <c r="M4128" t="s">
        <v>1757</v>
      </c>
    </row>
    <row r="4129" spans="1:13" x14ac:dyDescent="0.45">
      <c r="A4129" t="s">
        <v>7148</v>
      </c>
      <c r="B4129">
        <v>1</v>
      </c>
      <c r="C4129" t="s">
        <v>1774</v>
      </c>
      <c r="G4129" s="3">
        <v>194.18111335019569</v>
      </c>
      <c r="H4129" t="s">
        <v>1755</v>
      </c>
      <c r="I4129" t="s">
        <v>7148</v>
      </c>
      <c r="M4129" t="s">
        <v>1757</v>
      </c>
    </row>
    <row r="4130" spans="1:13" x14ac:dyDescent="0.45">
      <c r="A4130" t="s">
        <v>7149</v>
      </c>
      <c r="B4130">
        <v>1</v>
      </c>
      <c r="C4130" t="s">
        <v>1774</v>
      </c>
      <c r="G4130" s="3">
        <v>1819.0817501309241</v>
      </c>
      <c r="H4130" t="s">
        <v>1755</v>
      </c>
      <c r="I4130" t="s">
        <v>7149</v>
      </c>
      <c r="M4130" t="s">
        <v>1757</v>
      </c>
    </row>
    <row r="4131" spans="1:13" x14ac:dyDescent="0.45">
      <c r="A4131" t="s">
        <v>7150</v>
      </c>
      <c r="B4131">
        <v>1</v>
      </c>
      <c r="C4131" t="s">
        <v>1774</v>
      </c>
      <c r="G4131" s="3">
        <v>1419.347755165061</v>
      </c>
      <c r="H4131" t="s">
        <v>1755</v>
      </c>
      <c r="I4131" t="s">
        <v>7150</v>
      </c>
      <c r="M4131" t="s">
        <v>1757</v>
      </c>
    </row>
    <row r="4132" spans="1:13" x14ac:dyDescent="0.45">
      <c r="A4132" t="s">
        <v>7151</v>
      </c>
      <c r="B4132">
        <v>1</v>
      </c>
      <c r="C4132" t="s">
        <v>1774</v>
      </c>
      <c r="G4132" s="3">
        <v>1069.5548247551851</v>
      </c>
      <c r="H4132" t="s">
        <v>1755</v>
      </c>
      <c r="I4132" t="s">
        <v>7151</v>
      </c>
      <c r="M4132" t="s">
        <v>1757</v>
      </c>
    </row>
    <row r="4133" spans="1:13" x14ac:dyDescent="0.45">
      <c r="A4133" t="s">
        <v>7152</v>
      </c>
      <c r="B4133">
        <v>1</v>
      </c>
      <c r="C4133" t="s">
        <v>1774</v>
      </c>
      <c r="G4133" s="3">
        <v>93.002512636796212</v>
      </c>
      <c r="H4133" t="s">
        <v>1755</v>
      </c>
      <c r="I4133" t="s">
        <v>7152</v>
      </c>
      <c r="M4133" t="s">
        <v>1757</v>
      </c>
    </row>
    <row r="4134" spans="1:13" x14ac:dyDescent="0.45">
      <c r="A4134" t="s">
        <v>7153</v>
      </c>
      <c r="B4134">
        <v>1</v>
      </c>
      <c r="C4134" t="s">
        <v>1774</v>
      </c>
      <c r="G4134" s="3">
        <v>117.5986173931713</v>
      </c>
      <c r="H4134" t="s">
        <v>1755</v>
      </c>
      <c r="I4134" t="s">
        <v>7153</v>
      </c>
      <c r="M4134" t="s">
        <v>1757</v>
      </c>
    </row>
    <row r="4135" spans="1:13" x14ac:dyDescent="0.45">
      <c r="A4135" t="s">
        <v>7154</v>
      </c>
      <c r="B4135">
        <v>1</v>
      </c>
      <c r="C4135" t="s">
        <v>1774</v>
      </c>
      <c r="G4135" s="3">
        <v>71.864317796974078</v>
      </c>
      <c r="H4135" t="s">
        <v>1755</v>
      </c>
      <c r="I4135" t="s">
        <v>7154</v>
      </c>
      <c r="M4135" t="s">
        <v>1757</v>
      </c>
    </row>
    <row r="4136" spans="1:13" x14ac:dyDescent="0.45">
      <c r="A4136" t="s">
        <v>7155</v>
      </c>
      <c r="B4136">
        <v>1</v>
      </c>
      <c r="C4136" t="s">
        <v>1774</v>
      </c>
      <c r="G4136" s="3">
        <v>78.03552261975257</v>
      </c>
      <c r="H4136" t="s">
        <v>1755</v>
      </c>
      <c r="I4136" t="s">
        <v>7155</v>
      </c>
      <c r="M4136" t="s">
        <v>1757</v>
      </c>
    </row>
    <row r="4137" spans="1:13" x14ac:dyDescent="0.45">
      <c r="A4137" t="s">
        <v>7156</v>
      </c>
      <c r="B4137">
        <v>1</v>
      </c>
      <c r="C4137" t="s">
        <v>1774</v>
      </c>
      <c r="G4137" s="3">
        <v>158.45329142234829</v>
      </c>
      <c r="H4137" t="s">
        <v>1755</v>
      </c>
      <c r="I4137" t="s">
        <v>7156</v>
      </c>
      <c r="M4137" t="s">
        <v>1757</v>
      </c>
    </row>
    <row r="4138" spans="1:13" x14ac:dyDescent="0.45">
      <c r="A4138" t="s">
        <v>7157</v>
      </c>
      <c r="B4138">
        <v>1</v>
      </c>
      <c r="C4138" t="s">
        <v>1774</v>
      </c>
      <c r="G4138" s="3">
        <v>485.93060246884443</v>
      </c>
      <c r="H4138" t="s">
        <v>1755</v>
      </c>
      <c r="I4138" t="s">
        <v>7157</v>
      </c>
      <c r="M4138" t="s">
        <v>1757</v>
      </c>
    </row>
    <row r="4139" spans="1:13" x14ac:dyDescent="0.45">
      <c r="A4139" t="s">
        <v>7158</v>
      </c>
      <c r="B4139">
        <v>1</v>
      </c>
      <c r="C4139" t="s">
        <v>1774</v>
      </c>
      <c r="G4139" s="3">
        <v>511.36753836697318</v>
      </c>
      <c r="H4139" t="s">
        <v>1755</v>
      </c>
      <c r="I4139" t="s">
        <v>7158</v>
      </c>
      <c r="M4139" t="s">
        <v>1757</v>
      </c>
    </row>
    <row r="4140" spans="1:13" x14ac:dyDescent="0.45">
      <c r="A4140" t="s">
        <v>7159</v>
      </c>
      <c r="B4140">
        <v>1</v>
      </c>
      <c r="C4140" t="s">
        <v>1774</v>
      </c>
      <c r="G4140" s="3">
        <v>267.13609807425462</v>
      </c>
      <c r="H4140" t="s">
        <v>1755</v>
      </c>
      <c r="I4140" t="s">
        <v>7159</v>
      </c>
      <c r="M4140" t="s">
        <v>1757</v>
      </c>
    </row>
    <row r="4141" spans="1:13" x14ac:dyDescent="0.45">
      <c r="A4141" t="s">
        <v>7160</v>
      </c>
      <c r="B4141">
        <v>2</v>
      </c>
      <c r="C4141" t="s">
        <v>1774</v>
      </c>
      <c r="G4141" s="3">
        <v>368.4197211412789</v>
      </c>
      <c r="H4141" t="s">
        <v>1755</v>
      </c>
      <c r="I4141" t="s">
        <v>7160</v>
      </c>
      <c r="M4141" t="s">
        <v>1757</v>
      </c>
    </row>
    <row r="4142" spans="1:13" x14ac:dyDescent="0.45">
      <c r="A4142" t="s">
        <v>7161</v>
      </c>
      <c r="B4142">
        <v>1</v>
      </c>
      <c r="C4142" t="s">
        <v>1774</v>
      </c>
      <c r="G4142" s="3">
        <v>119.41008991501</v>
      </c>
      <c r="H4142" t="s">
        <v>1755</v>
      </c>
      <c r="I4142" t="s">
        <v>7161</v>
      </c>
      <c r="M4142" t="s">
        <v>1757</v>
      </c>
    </row>
    <row r="4143" spans="1:13" x14ac:dyDescent="0.45">
      <c r="A4143" t="s">
        <v>7162</v>
      </c>
      <c r="B4143">
        <v>1</v>
      </c>
      <c r="C4143" t="s">
        <v>1774</v>
      </c>
      <c r="G4143" s="3">
        <v>1297.9490898151109</v>
      </c>
      <c r="H4143" t="s">
        <v>1755</v>
      </c>
      <c r="I4143" t="s">
        <v>7162</v>
      </c>
      <c r="M4143" t="s">
        <v>1757</v>
      </c>
    </row>
    <row r="4144" spans="1:13" x14ac:dyDescent="0.45">
      <c r="A4144" t="s">
        <v>7163</v>
      </c>
      <c r="B4144">
        <v>1</v>
      </c>
      <c r="C4144" t="s">
        <v>1774</v>
      </c>
      <c r="G4144" s="3">
        <v>930.48826842431981</v>
      </c>
      <c r="H4144" t="s">
        <v>1755</v>
      </c>
      <c r="I4144" t="s">
        <v>7163</v>
      </c>
      <c r="M4144" t="s">
        <v>1757</v>
      </c>
    </row>
    <row r="4145" spans="1:13" x14ac:dyDescent="0.45">
      <c r="A4145" t="s">
        <v>7164</v>
      </c>
      <c r="B4145">
        <v>1</v>
      </c>
      <c r="C4145" t="s">
        <v>1774</v>
      </c>
      <c r="G4145" s="3">
        <v>897.79435312199348</v>
      </c>
      <c r="H4145" t="s">
        <v>1755</v>
      </c>
      <c r="I4145" t="s">
        <v>7164</v>
      </c>
      <c r="M4145" t="s">
        <v>1757</v>
      </c>
    </row>
    <row r="4146" spans="1:13" x14ac:dyDescent="0.45">
      <c r="A4146" t="s">
        <v>7165</v>
      </c>
      <c r="B4146">
        <v>1</v>
      </c>
      <c r="C4146" t="s">
        <v>1774</v>
      </c>
      <c r="G4146" s="3">
        <v>324.60061179503452</v>
      </c>
      <c r="H4146" t="s">
        <v>1755</v>
      </c>
      <c r="I4146" t="s">
        <v>7165</v>
      </c>
      <c r="M4146" t="s">
        <v>1757</v>
      </c>
    </row>
    <row r="4147" spans="1:13" x14ac:dyDescent="0.45">
      <c r="A4147" t="s">
        <v>7166</v>
      </c>
      <c r="B4147">
        <v>1</v>
      </c>
      <c r="C4147" t="s">
        <v>1774</v>
      </c>
      <c r="G4147" s="3">
        <v>524.54099446295243</v>
      </c>
      <c r="H4147" t="s">
        <v>1755</v>
      </c>
      <c r="I4147" t="s">
        <v>7166</v>
      </c>
      <c r="M4147" t="s">
        <v>1757</v>
      </c>
    </row>
    <row r="4148" spans="1:13" x14ac:dyDescent="0.45">
      <c r="A4148" t="s">
        <v>7167</v>
      </c>
      <c r="B4148">
        <v>1</v>
      </c>
      <c r="C4148" t="s">
        <v>1774</v>
      </c>
      <c r="G4148" s="3">
        <v>1431.3111710997109</v>
      </c>
      <c r="H4148" t="s">
        <v>1755</v>
      </c>
      <c r="I4148" t="s">
        <v>7167</v>
      </c>
      <c r="M4148" t="s">
        <v>1757</v>
      </c>
    </row>
    <row r="4149" spans="1:13" x14ac:dyDescent="0.45">
      <c r="A4149" t="s">
        <v>7168</v>
      </c>
      <c r="B4149">
        <v>2</v>
      </c>
      <c r="C4149" t="s">
        <v>1774</v>
      </c>
      <c r="G4149" s="3">
        <v>1289.6157943644489</v>
      </c>
      <c r="H4149" t="s">
        <v>1755</v>
      </c>
      <c r="I4149" t="s">
        <v>7168</v>
      </c>
      <c r="M4149" t="s">
        <v>1757</v>
      </c>
    </row>
    <row r="4150" spans="1:13" x14ac:dyDescent="0.45">
      <c r="A4150" t="s">
        <v>7169</v>
      </c>
      <c r="B4150">
        <v>1</v>
      </c>
      <c r="C4150" t="s">
        <v>1774</v>
      </c>
      <c r="G4150" s="3">
        <v>966.30676182517266</v>
      </c>
      <c r="H4150" t="s">
        <v>1755</v>
      </c>
      <c r="I4150" t="s">
        <v>7169</v>
      </c>
      <c r="M4150" t="s">
        <v>1757</v>
      </c>
    </row>
    <row r="4151" spans="1:13" x14ac:dyDescent="0.45">
      <c r="A4151" t="s">
        <v>7170</v>
      </c>
      <c r="B4151">
        <v>2</v>
      </c>
      <c r="C4151" t="s">
        <v>1774</v>
      </c>
      <c r="G4151" s="3">
        <v>603.34363688309475</v>
      </c>
      <c r="H4151" t="s">
        <v>1755</v>
      </c>
      <c r="I4151" t="s">
        <v>7170</v>
      </c>
      <c r="M4151" t="s">
        <v>1757</v>
      </c>
    </row>
    <row r="4152" spans="1:13" x14ac:dyDescent="0.45">
      <c r="A4152" t="s">
        <v>7171</v>
      </c>
      <c r="B4152">
        <v>1</v>
      </c>
      <c r="C4152" t="s">
        <v>1774</v>
      </c>
      <c r="G4152" s="3">
        <v>349.37218868262107</v>
      </c>
      <c r="H4152" t="s">
        <v>1755</v>
      </c>
      <c r="I4152" t="s">
        <v>7171</v>
      </c>
      <c r="M4152" t="s">
        <v>1757</v>
      </c>
    </row>
    <row r="4153" spans="1:13" x14ac:dyDescent="0.45">
      <c r="A4153" t="s">
        <v>7172</v>
      </c>
      <c r="B4153">
        <v>1</v>
      </c>
      <c r="C4153" t="s">
        <v>1774</v>
      </c>
      <c r="G4153" s="3">
        <v>1646.3558556196911</v>
      </c>
      <c r="H4153" t="s">
        <v>1755</v>
      </c>
      <c r="I4153" t="s">
        <v>7172</v>
      </c>
      <c r="M4153" t="s">
        <v>1757</v>
      </c>
    </row>
    <row r="4154" spans="1:13" x14ac:dyDescent="0.45">
      <c r="A4154" t="s">
        <v>7173</v>
      </c>
      <c r="B4154">
        <v>1</v>
      </c>
      <c r="C4154" t="s">
        <v>1774</v>
      </c>
      <c r="G4154" s="3">
        <v>250.82338684275169</v>
      </c>
      <c r="H4154" t="s">
        <v>1755</v>
      </c>
      <c r="I4154" t="s">
        <v>7173</v>
      </c>
      <c r="M4154" t="s">
        <v>1757</v>
      </c>
    </row>
    <row r="4155" spans="1:13" x14ac:dyDescent="0.45">
      <c r="A4155" t="s">
        <v>7174</v>
      </c>
      <c r="B4155">
        <v>1</v>
      </c>
      <c r="C4155" t="s">
        <v>1774</v>
      </c>
      <c r="G4155" s="3">
        <v>1180.2196837144761</v>
      </c>
      <c r="H4155" t="s">
        <v>1755</v>
      </c>
      <c r="I4155" t="s">
        <v>7174</v>
      </c>
      <c r="M4155" t="s">
        <v>1757</v>
      </c>
    </row>
    <row r="4156" spans="1:13" x14ac:dyDescent="0.45">
      <c r="A4156" t="s">
        <v>7175</v>
      </c>
      <c r="B4156">
        <v>1</v>
      </c>
      <c r="C4156" t="s">
        <v>1774</v>
      </c>
      <c r="G4156" s="3">
        <v>931.27430529461719</v>
      </c>
      <c r="H4156" t="s">
        <v>1755</v>
      </c>
      <c r="I4156" t="s">
        <v>7175</v>
      </c>
      <c r="M4156" t="s">
        <v>1757</v>
      </c>
    </row>
    <row r="4157" spans="1:13" x14ac:dyDescent="0.45">
      <c r="A4157" t="s">
        <v>7176</v>
      </c>
      <c r="B4157">
        <v>1</v>
      </c>
      <c r="C4157" t="s">
        <v>1774</v>
      </c>
      <c r="G4157" s="3">
        <v>1236.957847182081</v>
      </c>
      <c r="H4157" t="s">
        <v>1755</v>
      </c>
      <c r="I4157" t="s">
        <v>7176</v>
      </c>
      <c r="M4157" t="s">
        <v>1757</v>
      </c>
    </row>
    <row r="4158" spans="1:13" x14ac:dyDescent="0.45">
      <c r="A4158" t="s">
        <v>7177</v>
      </c>
      <c r="B4158">
        <v>1</v>
      </c>
      <c r="C4158" t="s">
        <v>1774</v>
      </c>
      <c r="G4158" s="3">
        <v>1846.6615334306521</v>
      </c>
      <c r="H4158" t="s">
        <v>1755</v>
      </c>
      <c r="I4158" t="s">
        <v>7177</v>
      </c>
      <c r="M4158" t="s">
        <v>1757</v>
      </c>
    </row>
    <row r="4159" spans="1:13" x14ac:dyDescent="0.45">
      <c r="A4159" t="s">
        <v>7178</v>
      </c>
      <c r="B4159">
        <v>1</v>
      </c>
      <c r="C4159" t="s">
        <v>1774</v>
      </c>
      <c r="G4159" s="3">
        <v>1218.7648444330409</v>
      </c>
      <c r="H4159" t="s">
        <v>1755</v>
      </c>
      <c r="I4159" t="s">
        <v>7178</v>
      </c>
      <c r="M4159" t="s">
        <v>1757</v>
      </c>
    </row>
    <row r="4160" spans="1:13" x14ac:dyDescent="0.45">
      <c r="A4160" t="s">
        <v>7179</v>
      </c>
      <c r="B4160">
        <v>1</v>
      </c>
      <c r="C4160" t="s">
        <v>1774</v>
      </c>
      <c r="G4160" s="3">
        <v>653.20316234465338</v>
      </c>
      <c r="H4160" t="s">
        <v>1755</v>
      </c>
      <c r="I4160" t="s">
        <v>7179</v>
      </c>
      <c r="M4160" t="s">
        <v>1757</v>
      </c>
    </row>
    <row r="4161" spans="1:13" x14ac:dyDescent="0.45">
      <c r="A4161" t="s">
        <v>7180</v>
      </c>
      <c r="B4161">
        <v>1</v>
      </c>
      <c r="C4161" t="s">
        <v>1774</v>
      </c>
      <c r="G4161" s="3">
        <v>65.835317154880073</v>
      </c>
      <c r="H4161" t="s">
        <v>1755</v>
      </c>
      <c r="I4161" t="s">
        <v>7180</v>
      </c>
      <c r="M4161" t="s">
        <v>1757</v>
      </c>
    </row>
    <row r="4162" spans="1:13" x14ac:dyDescent="0.45">
      <c r="A4162" t="s">
        <v>7181</v>
      </c>
      <c r="B4162">
        <v>2</v>
      </c>
      <c r="C4162" t="s">
        <v>1774</v>
      </c>
      <c r="G4162" s="3">
        <v>373.43274466678531</v>
      </c>
      <c r="H4162" t="s">
        <v>1755</v>
      </c>
      <c r="I4162" t="s">
        <v>7181</v>
      </c>
      <c r="M4162" t="s">
        <v>1757</v>
      </c>
    </row>
    <row r="4163" spans="1:13" x14ac:dyDescent="0.45">
      <c r="A4163" t="s">
        <v>7182</v>
      </c>
      <c r="B4163">
        <v>1</v>
      </c>
      <c r="C4163" t="s">
        <v>1774</v>
      </c>
      <c r="G4163" s="3">
        <v>143.2870198585197</v>
      </c>
      <c r="H4163" t="s">
        <v>1755</v>
      </c>
      <c r="I4163" t="s">
        <v>7182</v>
      </c>
      <c r="M4163" t="s">
        <v>1757</v>
      </c>
    </row>
    <row r="4164" spans="1:13" x14ac:dyDescent="0.45">
      <c r="A4164" t="s">
        <v>7183</v>
      </c>
      <c r="B4164">
        <v>1</v>
      </c>
      <c r="C4164" t="s">
        <v>1774</v>
      </c>
      <c r="G4164" s="3">
        <v>1122.1247097155699</v>
      </c>
      <c r="H4164" t="s">
        <v>1755</v>
      </c>
      <c r="I4164" t="s">
        <v>7183</v>
      </c>
      <c r="M4164" t="s">
        <v>1757</v>
      </c>
    </row>
    <row r="4165" spans="1:13" x14ac:dyDescent="0.45">
      <c r="A4165" t="s">
        <v>7184</v>
      </c>
      <c r="B4165">
        <v>1</v>
      </c>
      <c r="C4165" t="s">
        <v>1774</v>
      </c>
      <c r="G4165" s="3">
        <v>812.01196421871282</v>
      </c>
      <c r="H4165" t="s">
        <v>1755</v>
      </c>
      <c r="I4165" t="s">
        <v>7184</v>
      </c>
      <c r="M4165" t="s">
        <v>1757</v>
      </c>
    </row>
    <row r="4166" spans="1:13" x14ac:dyDescent="0.45">
      <c r="A4166" t="s">
        <v>7185</v>
      </c>
      <c r="B4166">
        <v>1</v>
      </c>
      <c r="C4166" t="s">
        <v>1774</v>
      </c>
      <c r="G4166" s="3">
        <v>1283.239437180086</v>
      </c>
      <c r="H4166" t="s">
        <v>1755</v>
      </c>
      <c r="I4166" t="s">
        <v>7185</v>
      </c>
      <c r="M4166" t="s">
        <v>1757</v>
      </c>
    </row>
    <row r="4167" spans="1:13" x14ac:dyDescent="0.45">
      <c r="A4167" t="s">
        <v>7186</v>
      </c>
      <c r="B4167">
        <v>1</v>
      </c>
      <c r="C4167" t="s">
        <v>1774</v>
      </c>
      <c r="G4167" s="3">
        <v>185.98252048353001</v>
      </c>
      <c r="H4167" t="s">
        <v>1755</v>
      </c>
      <c r="I4167" t="s">
        <v>7186</v>
      </c>
      <c r="M4167" t="s">
        <v>1757</v>
      </c>
    </row>
    <row r="4168" spans="1:13" x14ac:dyDescent="0.45">
      <c r="A4168" t="s">
        <v>7187</v>
      </c>
      <c r="B4168">
        <v>3</v>
      </c>
      <c r="C4168" t="s">
        <v>1774</v>
      </c>
      <c r="G4168" s="3">
        <v>73.31767061607988</v>
      </c>
      <c r="H4168" t="s">
        <v>1755</v>
      </c>
      <c r="I4168" t="s">
        <v>7187</v>
      </c>
      <c r="M4168" t="s">
        <v>1757</v>
      </c>
    </row>
    <row r="4169" spans="1:13" x14ac:dyDescent="0.45">
      <c r="A4169" t="s">
        <v>7188</v>
      </c>
      <c r="B4169">
        <v>1</v>
      </c>
      <c r="C4169" t="s">
        <v>1774</v>
      </c>
      <c r="G4169" s="3">
        <v>1950.000920146425</v>
      </c>
      <c r="H4169" t="s">
        <v>1755</v>
      </c>
      <c r="I4169" t="s">
        <v>7188</v>
      </c>
      <c r="M4169" t="s">
        <v>1757</v>
      </c>
    </row>
    <row r="4170" spans="1:13" x14ac:dyDescent="0.45">
      <c r="A4170" t="s">
        <v>7189</v>
      </c>
      <c r="B4170">
        <v>1</v>
      </c>
      <c r="C4170" t="s">
        <v>1774</v>
      </c>
      <c r="G4170" s="3">
        <v>1918.9997564444491</v>
      </c>
      <c r="H4170" t="s">
        <v>1755</v>
      </c>
      <c r="I4170" t="s">
        <v>7189</v>
      </c>
      <c r="M4170" t="s">
        <v>1757</v>
      </c>
    </row>
    <row r="4171" spans="1:13" x14ac:dyDescent="0.45">
      <c r="A4171" t="s">
        <v>7190</v>
      </c>
      <c r="B4171">
        <v>1</v>
      </c>
      <c r="C4171" t="s">
        <v>1774</v>
      </c>
      <c r="G4171" s="3">
        <v>255.8778322282281</v>
      </c>
      <c r="H4171" t="s">
        <v>1755</v>
      </c>
      <c r="I4171" t="s">
        <v>7190</v>
      </c>
      <c r="M4171" t="s">
        <v>1757</v>
      </c>
    </row>
    <row r="4172" spans="1:13" x14ac:dyDescent="0.45">
      <c r="A4172" t="s">
        <v>7191</v>
      </c>
      <c r="B4172">
        <v>1</v>
      </c>
      <c r="C4172" t="s">
        <v>1774</v>
      </c>
      <c r="G4172" s="3">
        <v>210.92272021839619</v>
      </c>
      <c r="H4172" t="s">
        <v>1755</v>
      </c>
      <c r="I4172" t="s">
        <v>7191</v>
      </c>
      <c r="M4172" t="s">
        <v>1757</v>
      </c>
    </row>
    <row r="4173" spans="1:13" x14ac:dyDescent="0.45">
      <c r="A4173" t="s">
        <v>7192</v>
      </c>
      <c r="B4173">
        <v>1</v>
      </c>
      <c r="C4173" t="s">
        <v>1774</v>
      </c>
      <c r="G4173" s="3">
        <v>1142.66603838417</v>
      </c>
      <c r="H4173" t="s">
        <v>1755</v>
      </c>
      <c r="I4173" t="s">
        <v>7192</v>
      </c>
      <c r="M4173" t="s">
        <v>1757</v>
      </c>
    </row>
    <row r="4174" spans="1:13" x14ac:dyDescent="0.45">
      <c r="A4174" t="s">
        <v>7193</v>
      </c>
      <c r="B4174">
        <v>1</v>
      </c>
      <c r="C4174" t="s">
        <v>1774</v>
      </c>
      <c r="G4174" s="3">
        <v>1613.8804650904351</v>
      </c>
      <c r="H4174" t="s">
        <v>1755</v>
      </c>
      <c r="I4174" t="s">
        <v>7193</v>
      </c>
      <c r="M4174" t="s">
        <v>1757</v>
      </c>
    </row>
    <row r="4175" spans="1:13" x14ac:dyDescent="0.45">
      <c r="A4175" t="s">
        <v>7194</v>
      </c>
      <c r="B4175">
        <v>1</v>
      </c>
      <c r="C4175" t="s">
        <v>1774</v>
      </c>
      <c r="G4175" s="3">
        <v>1019.80619246205</v>
      </c>
      <c r="H4175" t="s">
        <v>1755</v>
      </c>
      <c r="I4175" t="s">
        <v>7194</v>
      </c>
      <c r="M4175" t="s">
        <v>1757</v>
      </c>
    </row>
    <row r="4176" spans="1:13" x14ac:dyDescent="0.45">
      <c r="A4176" t="s">
        <v>7195</v>
      </c>
      <c r="B4176">
        <v>1</v>
      </c>
      <c r="C4176" t="s">
        <v>1774</v>
      </c>
      <c r="G4176" s="3">
        <v>269.73556440465711</v>
      </c>
      <c r="H4176" t="s">
        <v>1755</v>
      </c>
      <c r="I4176" t="s">
        <v>7195</v>
      </c>
      <c r="M4176" t="s">
        <v>1757</v>
      </c>
    </row>
    <row r="4177" spans="1:13" x14ac:dyDescent="0.45">
      <c r="A4177" t="s">
        <v>7196</v>
      </c>
      <c r="B4177">
        <v>1</v>
      </c>
      <c r="C4177" t="s">
        <v>1774</v>
      </c>
      <c r="G4177" s="3">
        <v>1503.5645934553011</v>
      </c>
      <c r="H4177" t="s">
        <v>1755</v>
      </c>
      <c r="I4177" t="s">
        <v>7196</v>
      </c>
      <c r="M4177" t="s">
        <v>1757</v>
      </c>
    </row>
    <row r="4178" spans="1:13" x14ac:dyDescent="0.45">
      <c r="A4178" t="s">
        <v>7197</v>
      </c>
      <c r="B4178">
        <v>2</v>
      </c>
      <c r="C4178" t="s">
        <v>1774</v>
      </c>
      <c r="G4178" s="3">
        <v>193.18013942698309</v>
      </c>
      <c r="H4178" t="s">
        <v>1755</v>
      </c>
      <c r="I4178" t="s">
        <v>7197</v>
      </c>
      <c r="M4178" t="s">
        <v>1757</v>
      </c>
    </row>
    <row r="4179" spans="1:13" x14ac:dyDescent="0.45">
      <c r="A4179" t="s">
        <v>7198</v>
      </c>
      <c r="B4179">
        <v>1</v>
      </c>
      <c r="C4179" t="s">
        <v>1774</v>
      </c>
      <c r="G4179" s="3">
        <v>736.27845331288506</v>
      </c>
      <c r="H4179" t="s">
        <v>1755</v>
      </c>
      <c r="I4179" t="s">
        <v>7198</v>
      </c>
      <c r="M4179" t="s">
        <v>1757</v>
      </c>
    </row>
    <row r="4180" spans="1:13" x14ac:dyDescent="0.45">
      <c r="A4180" t="s">
        <v>7199</v>
      </c>
      <c r="B4180">
        <v>1</v>
      </c>
      <c r="C4180" t="s">
        <v>1774</v>
      </c>
      <c r="G4180" s="3">
        <v>1349.220872392184</v>
      </c>
      <c r="H4180" t="s">
        <v>1755</v>
      </c>
      <c r="I4180" t="s">
        <v>7199</v>
      </c>
      <c r="M4180" t="s">
        <v>1757</v>
      </c>
    </row>
    <row r="4181" spans="1:13" x14ac:dyDescent="0.45">
      <c r="A4181" t="s">
        <v>7200</v>
      </c>
      <c r="B4181">
        <v>1</v>
      </c>
      <c r="C4181" t="s">
        <v>1774</v>
      </c>
      <c r="G4181" s="3">
        <v>534.88341320035045</v>
      </c>
      <c r="H4181" t="s">
        <v>1755</v>
      </c>
      <c r="I4181" t="s">
        <v>7200</v>
      </c>
      <c r="M4181" t="s">
        <v>1757</v>
      </c>
    </row>
    <row r="4182" spans="1:13" x14ac:dyDescent="0.45">
      <c r="A4182" t="s">
        <v>7201</v>
      </c>
      <c r="B4182">
        <v>1</v>
      </c>
      <c r="C4182" t="s">
        <v>1774</v>
      </c>
      <c r="H4182" t="s">
        <v>1755</v>
      </c>
      <c r="I4182" t="s">
        <v>7201</v>
      </c>
      <c r="M4182" t="s">
        <v>1757</v>
      </c>
    </row>
    <row r="4183" spans="1:13" x14ac:dyDescent="0.45">
      <c r="A4183" t="s">
        <v>7202</v>
      </c>
      <c r="B4183">
        <v>1</v>
      </c>
      <c r="C4183" t="s">
        <v>1774</v>
      </c>
      <c r="G4183" s="3">
        <v>1721.417484387423</v>
      </c>
      <c r="H4183" t="s">
        <v>1755</v>
      </c>
      <c r="I4183" t="s">
        <v>7202</v>
      </c>
      <c r="M4183" t="s">
        <v>1757</v>
      </c>
    </row>
    <row r="4184" spans="1:13" x14ac:dyDescent="0.45">
      <c r="A4184" t="s">
        <v>7203</v>
      </c>
      <c r="B4184">
        <v>1</v>
      </c>
      <c r="C4184" t="s">
        <v>1774</v>
      </c>
      <c r="G4184" s="3">
        <v>1836.746379548063</v>
      </c>
      <c r="H4184" t="s">
        <v>1755</v>
      </c>
      <c r="I4184" t="s">
        <v>7203</v>
      </c>
      <c r="M4184" t="s">
        <v>1757</v>
      </c>
    </row>
    <row r="4185" spans="1:13" x14ac:dyDescent="0.45">
      <c r="A4185" t="s">
        <v>7204</v>
      </c>
      <c r="B4185">
        <v>1</v>
      </c>
      <c r="C4185" t="s">
        <v>1774</v>
      </c>
      <c r="G4185" s="3">
        <v>638.59787975049755</v>
      </c>
      <c r="H4185" t="s">
        <v>1755</v>
      </c>
      <c r="I4185" t="s">
        <v>7204</v>
      </c>
      <c r="M4185" t="s">
        <v>1757</v>
      </c>
    </row>
    <row r="4186" spans="1:13" x14ac:dyDescent="0.45">
      <c r="A4186" t="s">
        <v>7205</v>
      </c>
      <c r="B4186">
        <v>1</v>
      </c>
      <c r="C4186" t="s">
        <v>1774</v>
      </c>
      <c r="G4186" s="3">
        <v>1767.8523678829549</v>
      </c>
      <c r="H4186" t="s">
        <v>1755</v>
      </c>
      <c r="I4186" t="s">
        <v>7205</v>
      </c>
      <c r="M4186" t="s">
        <v>1757</v>
      </c>
    </row>
    <row r="4187" spans="1:13" x14ac:dyDescent="0.45">
      <c r="A4187" t="s">
        <v>7206</v>
      </c>
      <c r="B4187">
        <v>1</v>
      </c>
      <c r="C4187" t="s">
        <v>1774</v>
      </c>
      <c r="G4187" s="3">
        <v>1271.735901738017</v>
      </c>
      <c r="H4187" t="s">
        <v>1755</v>
      </c>
      <c r="I4187" t="s">
        <v>7206</v>
      </c>
      <c r="M4187" t="s">
        <v>1757</v>
      </c>
    </row>
    <row r="4188" spans="1:13" x14ac:dyDescent="0.45">
      <c r="A4188" t="s">
        <v>7207</v>
      </c>
      <c r="B4188">
        <v>1</v>
      </c>
      <c r="C4188" t="s">
        <v>1774</v>
      </c>
      <c r="G4188" s="3">
        <v>1101.191993393709</v>
      </c>
      <c r="H4188" t="s">
        <v>1755</v>
      </c>
      <c r="I4188" t="s">
        <v>7207</v>
      </c>
      <c r="M4188" t="s">
        <v>1757</v>
      </c>
    </row>
    <row r="4189" spans="1:13" x14ac:dyDescent="0.45">
      <c r="A4189" t="s">
        <v>7208</v>
      </c>
      <c r="B4189">
        <v>1</v>
      </c>
      <c r="C4189" t="s">
        <v>1774</v>
      </c>
      <c r="G4189" s="3">
        <v>1582.572714393405</v>
      </c>
      <c r="H4189" t="s">
        <v>1755</v>
      </c>
      <c r="I4189" t="s">
        <v>7208</v>
      </c>
      <c r="M4189" t="s">
        <v>1757</v>
      </c>
    </row>
    <row r="4190" spans="1:13" x14ac:dyDescent="0.45">
      <c r="A4190" t="s">
        <v>7209</v>
      </c>
      <c r="B4190">
        <v>1</v>
      </c>
      <c r="C4190" t="s">
        <v>1774</v>
      </c>
      <c r="G4190" s="3">
        <v>368.71326188122401</v>
      </c>
      <c r="H4190" t="s">
        <v>1755</v>
      </c>
      <c r="I4190" t="s">
        <v>7209</v>
      </c>
      <c r="M4190" t="s">
        <v>1757</v>
      </c>
    </row>
    <row r="4191" spans="1:13" x14ac:dyDescent="0.45">
      <c r="A4191" t="s">
        <v>7210</v>
      </c>
      <c r="B4191">
        <v>1</v>
      </c>
      <c r="C4191" t="s">
        <v>1774</v>
      </c>
      <c r="G4191" s="3">
        <v>723.00062717603646</v>
      </c>
      <c r="H4191" t="s">
        <v>1755</v>
      </c>
      <c r="I4191" t="s">
        <v>7210</v>
      </c>
      <c r="M4191" t="s">
        <v>1757</v>
      </c>
    </row>
    <row r="4192" spans="1:13" x14ac:dyDescent="0.45">
      <c r="A4192" t="s">
        <v>7211</v>
      </c>
      <c r="B4192">
        <v>1</v>
      </c>
      <c r="C4192" t="s">
        <v>1774</v>
      </c>
      <c r="G4192" s="3">
        <v>1851.518001894854</v>
      </c>
      <c r="H4192" t="s">
        <v>1755</v>
      </c>
      <c r="I4192" t="s">
        <v>7211</v>
      </c>
      <c r="M4192" t="s">
        <v>1757</v>
      </c>
    </row>
    <row r="4193" spans="1:13" x14ac:dyDescent="0.45">
      <c r="A4193" t="s">
        <v>7212</v>
      </c>
      <c r="B4193">
        <v>1</v>
      </c>
      <c r="C4193" t="s">
        <v>1774</v>
      </c>
      <c r="G4193" s="3">
        <v>237.47772017933801</v>
      </c>
      <c r="H4193" t="s">
        <v>1755</v>
      </c>
      <c r="I4193" t="s">
        <v>7212</v>
      </c>
      <c r="M4193" t="s">
        <v>1757</v>
      </c>
    </row>
    <row r="4194" spans="1:13" x14ac:dyDescent="0.45">
      <c r="A4194" t="s">
        <v>7213</v>
      </c>
      <c r="B4194">
        <v>1</v>
      </c>
      <c r="C4194" t="s">
        <v>1774</v>
      </c>
      <c r="G4194" s="3">
        <v>978.92901364281067</v>
      </c>
      <c r="H4194" t="s">
        <v>1755</v>
      </c>
      <c r="I4194" t="s">
        <v>7213</v>
      </c>
      <c r="M4194" t="s">
        <v>1757</v>
      </c>
    </row>
    <row r="4195" spans="1:13" x14ac:dyDescent="0.45">
      <c r="A4195" t="s">
        <v>7214</v>
      </c>
      <c r="B4195">
        <v>1</v>
      </c>
      <c r="C4195" t="s">
        <v>1774</v>
      </c>
      <c r="G4195" s="3">
        <v>2950.9063505197901</v>
      </c>
      <c r="H4195" t="s">
        <v>1755</v>
      </c>
      <c r="I4195" t="s">
        <v>7214</v>
      </c>
      <c r="M4195" t="s">
        <v>1757</v>
      </c>
    </row>
    <row r="4196" spans="1:13" x14ac:dyDescent="0.45">
      <c r="A4196" t="s">
        <v>7215</v>
      </c>
      <c r="B4196">
        <v>1</v>
      </c>
      <c r="C4196" t="s">
        <v>1774</v>
      </c>
      <c r="G4196" s="3">
        <v>653.94353732207037</v>
      </c>
      <c r="H4196" t="s">
        <v>1755</v>
      </c>
      <c r="I4196" t="s">
        <v>7215</v>
      </c>
      <c r="M4196" t="s">
        <v>1757</v>
      </c>
    </row>
    <row r="4197" spans="1:13" x14ac:dyDescent="0.45">
      <c r="A4197" t="s">
        <v>7216</v>
      </c>
      <c r="B4197">
        <v>1</v>
      </c>
      <c r="C4197" t="s">
        <v>1774</v>
      </c>
      <c r="G4197" s="3">
        <v>927.54959946109193</v>
      </c>
      <c r="H4197" t="s">
        <v>1755</v>
      </c>
      <c r="I4197" t="s">
        <v>7216</v>
      </c>
      <c r="M4197" t="s">
        <v>1757</v>
      </c>
    </row>
    <row r="4198" spans="1:13" x14ac:dyDescent="0.45">
      <c r="A4198" t="s">
        <v>7217</v>
      </c>
      <c r="B4198">
        <v>1</v>
      </c>
      <c r="C4198" t="s">
        <v>1774</v>
      </c>
      <c r="G4198" s="3">
        <v>726.84601086931684</v>
      </c>
      <c r="H4198" t="s">
        <v>1755</v>
      </c>
      <c r="I4198" t="s">
        <v>7217</v>
      </c>
      <c r="M4198" t="s">
        <v>1757</v>
      </c>
    </row>
    <row r="4199" spans="1:13" x14ac:dyDescent="0.45">
      <c r="A4199" t="s">
        <v>7218</v>
      </c>
      <c r="B4199">
        <v>1</v>
      </c>
      <c r="C4199" t="s">
        <v>1774</v>
      </c>
      <c r="G4199" s="3">
        <v>932.46477607328325</v>
      </c>
      <c r="H4199" t="s">
        <v>1755</v>
      </c>
      <c r="I4199" t="s">
        <v>7218</v>
      </c>
      <c r="M4199" t="s">
        <v>1757</v>
      </c>
    </row>
    <row r="4200" spans="1:13" x14ac:dyDescent="0.45">
      <c r="A4200" t="s">
        <v>7219</v>
      </c>
      <c r="B4200">
        <v>1</v>
      </c>
      <c r="C4200" t="s">
        <v>1774</v>
      </c>
      <c r="G4200" s="3">
        <v>1148.9478102189951</v>
      </c>
      <c r="H4200" t="s">
        <v>1755</v>
      </c>
      <c r="I4200" t="s">
        <v>7219</v>
      </c>
      <c r="M4200" t="s">
        <v>1757</v>
      </c>
    </row>
    <row r="4201" spans="1:13" x14ac:dyDescent="0.45">
      <c r="A4201" t="s">
        <v>7220</v>
      </c>
      <c r="B4201">
        <v>1</v>
      </c>
      <c r="C4201" t="s">
        <v>1774</v>
      </c>
      <c r="G4201" s="3">
        <v>708.38882145432638</v>
      </c>
      <c r="H4201" t="s">
        <v>1755</v>
      </c>
      <c r="I4201" t="s">
        <v>7220</v>
      </c>
      <c r="M4201" t="s">
        <v>1757</v>
      </c>
    </row>
    <row r="4202" spans="1:13" x14ac:dyDescent="0.45">
      <c r="A4202" t="s">
        <v>7221</v>
      </c>
      <c r="B4202">
        <v>1</v>
      </c>
      <c r="C4202" t="s">
        <v>1774</v>
      </c>
      <c r="G4202" s="3">
        <v>256.87326149301958</v>
      </c>
      <c r="H4202" t="s">
        <v>1755</v>
      </c>
      <c r="I4202" t="s">
        <v>7221</v>
      </c>
      <c r="M4202" t="s">
        <v>1757</v>
      </c>
    </row>
    <row r="4203" spans="1:13" x14ac:dyDescent="0.45">
      <c r="A4203" t="s">
        <v>7222</v>
      </c>
      <c r="B4203">
        <v>1</v>
      </c>
      <c r="C4203" t="s">
        <v>1774</v>
      </c>
      <c r="G4203" s="3">
        <v>1196.9515058913451</v>
      </c>
      <c r="H4203" t="s">
        <v>1755</v>
      </c>
      <c r="I4203" t="s">
        <v>7222</v>
      </c>
      <c r="M4203" t="s">
        <v>1757</v>
      </c>
    </row>
    <row r="4204" spans="1:13" x14ac:dyDescent="0.45">
      <c r="A4204" t="s">
        <v>7223</v>
      </c>
      <c r="B4204">
        <v>1</v>
      </c>
      <c r="C4204" t="s">
        <v>1774</v>
      </c>
      <c r="G4204" s="3">
        <v>906.3853121110526</v>
      </c>
      <c r="H4204" t="s">
        <v>1755</v>
      </c>
      <c r="I4204" t="s">
        <v>7223</v>
      </c>
      <c r="M4204" t="s">
        <v>1757</v>
      </c>
    </row>
    <row r="4205" spans="1:13" x14ac:dyDescent="0.45">
      <c r="A4205" t="s">
        <v>7224</v>
      </c>
      <c r="B4205">
        <v>1</v>
      </c>
      <c r="C4205" t="s">
        <v>1774</v>
      </c>
      <c r="G4205" s="3">
        <v>1208.950799027544</v>
      </c>
      <c r="H4205" t="s">
        <v>1755</v>
      </c>
      <c r="I4205" t="s">
        <v>7224</v>
      </c>
      <c r="M4205" t="s">
        <v>1757</v>
      </c>
    </row>
    <row r="4206" spans="1:13" x14ac:dyDescent="0.45">
      <c r="A4206" t="s">
        <v>7225</v>
      </c>
      <c r="B4206">
        <v>1</v>
      </c>
      <c r="C4206" t="s">
        <v>1774</v>
      </c>
      <c r="G4206" s="3">
        <v>1949.678025332485</v>
      </c>
      <c r="H4206" t="s">
        <v>1755</v>
      </c>
      <c r="I4206" t="s">
        <v>7225</v>
      </c>
      <c r="M4206" t="s">
        <v>1757</v>
      </c>
    </row>
    <row r="4207" spans="1:13" x14ac:dyDescent="0.45">
      <c r="A4207" t="s">
        <v>7226</v>
      </c>
      <c r="B4207">
        <v>1</v>
      </c>
      <c r="C4207" t="s">
        <v>1774</v>
      </c>
      <c r="G4207" s="3">
        <v>1370.257958754913</v>
      </c>
      <c r="H4207" t="s">
        <v>1755</v>
      </c>
      <c r="I4207" t="s">
        <v>7226</v>
      </c>
      <c r="M4207" t="s">
        <v>1757</v>
      </c>
    </row>
    <row r="4208" spans="1:13" x14ac:dyDescent="0.45">
      <c r="A4208" t="s">
        <v>7227</v>
      </c>
      <c r="B4208">
        <v>1</v>
      </c>
      <c r="C4208" t="s">
        <v>1774</v>
      </c>
      <c r="G4208" s="3">
        <v>504.61283978445942</v>
      </c>
      <c r="H4208" t="s">
        <v>1755</v>
      </c>
      <c r="I4208" t="s">
        <v>7227</v>
      </c>
      <c r="M4208" t="s">
        <v>1757</v>
      </c>
    </row>
    <row r="4209" spans="1:13" x14ac:dyDescent="0.45">
      <c r="A4209" t="s">
        <v>7228</v>
      </c>
      <c r="B4209">
        <v>1</v>
      </c>
      <c r="C4209" t="s">
        <v>1774</v>
      </c>
      <c r="G4209" s="3">
        <v>315.46627628069928</v>
      </c>
      <c r="H4209" t="s">
        <v>1755</v>
      </c>
      <c r="I4209" t="s">
        <v>7228</v>
      </c>
      <c r="M4209" t="s">
        <v>1757</v>
      </c>
    </row>
    <row r="4210" spans="1:13" x14ac:dyDescent="0.45">
      <c r="A4210" t="s">
        <v>7229</v>
      </c>
      <c r="B4210">
        <v>1</v>
      </c>
      <c r="C4210" t="s">
        <v>1774</v>
      </c>
      <c r="G4210" s="3">
        <v>2104.6675360234822</v>
      </c>
      <c r="H4210" t="s">
        <v>1755</v>
      </c>
      <c r="I4210" t="s">
        <v>7229</v>
      </c>
      <c r="M4210" t="s">
        <v>1757</v>
      </c>
    </row>
    <row r="4211" spans="1:13" x14ac:dyDescent="0.45">
      <c r="A4211" t="s">
        <v>7230</v>
      </c>
      <c r="B4211">
        <v>1</v>
      </c>
      <c r="C4211" t="s">
        <v>1774</v>
      </c>
      <c r="H4211" t="s">
        <v>1755</v>
      </c>
      <c r="I4211" t="s">
        <v>7230</v>
      </c>
      <c r="M4211" t="s">
        <v>1757</v>
      </c>
    </row>
    <row r="4212" spans="1:13" x14ac:dyDescent="0.45">
      <c r="A4212" t="s">
        <v>7231</v>
      </c>
      <c r="B4212">
        <v>1</v>
      </c>
      <c r="C4212" t="s">
        <v>1774</v>
      </c>
      <c r="G4212" s="3">
        <v>645.48304088409805</v>
      </c>
      <c r="H4212" t="s">
        <v>1755</v>
      </c>
      <c r="I4212" t="s">
        <v>7231</v>
      </c>
      <c r="M4212" t="s">
        <v>1757</v>
      </c>
    </row>
    <row r="4213" spans="1:13" x14ac:dyDescent="0.45">
      <c r="A4213" t="s">
        <v>7232</v>
      </c>
      <c r="B4213">
        <v>1</v>
      </c>
      <c r="C4213" t="s">
        <v>1774</v>
      </c>
      <c r="G4213" s="3">
        <v>739.16819881945537</v>
      </c>
      <c r="H4213" t="s">
        <v>1755</v>
      </c>
      <c r="I4213" t="s">
        <v>7232</v>
      </c>
      <c r="M4213" t="s">
        <v>1757</v>
      </c>
    </row>
    <row r="4214" spans="1:13" x14ac:dyDescent="0.45">
      <c r="A4214" t="s">
        <v>7233</v>
      </c>
      <c r="B4214">
        <v>1</v>
      </c>
      <c r="C4214" t="s">
        <v>1774</v>
      </c>
      <c r="G4214" s="3">
        <v>424.30009333548861</v>
      </c>
      <c r="H4214" t="s">
        <v>1755</v>
      </c>
      <c r="I4214" t="s">
        <v>7233</v>
      </c>
      <c r="M4214" t="s">
        <v>1757</v>
      </c>
    </row>
    <row r="4215" spans="1:13" x14ac:dyDescent="0.45">
      <c r="A4215" t="s">
        <v>7234</v>
      </c>
      <c r="B4215">
        <v>1</v>
      </c>
      <c r="C4215" t="s">
        <v>1774</v>
      </c>
      <c r="G4215" s="3">
        <v>1515.80524231101</v>
      </c>
      <c r="H4215" t="s">
        <v>1755</v>
      </c>
      <c r="I4215" t="s">
        <v>7234</v>
      </c>
      <c r="M4215" t="s">
        <v>1757</v>
      </c>
    </row>
    <row r="4216" spans="1:13" x14ac:dyDescent="0.45">
      <c r="A4216" t="s">
        <v>7235</v>
      </c>
      <c r="B4216">
        <v>1</v>
      </c>
      <c r="C4216" t="s">
        <v>1774</v>
      </c>
      <c r="G4216" s="3">
        <v>1318.3599559326251</v>
      </c>
      <c r="H4216" t="s">
        <v>1755</v>
      </c>
      <c r="I4216" t="s">
        <v>7235</v>
      </c>
      <c r="M4216" t="s">
        <v>1757</v>
      </c>
    </row>
    <row r="4217" spans="1:13" x14ac:dyDescent="0.45">
      <c r="A4217" t="s">
        <v>7236</v>
      </c>
      <c r="B4217">
        <v>1</v>
      </c>
      <c r="C4217" t="s">
        <v>1774</v>
      </c>
      <c r="G4217" s="3">
        <v>1292.812126866073</v>
      </c>
      <c r="H4217" t="s">
        <v>1755</v>
      </c>
      <c r="I4217" t="s">
        <v>7236</v>
      </c>
      <c r="M4217" t="s">
        <v>1757</v>
      </c>
    </row>
    <row r="4218" spans="1:13" x14ac:dyDescent="0.45">
      <c r="A4218" t="s">
        <v>7237</v>
      </c>
      <c r="B4218">
        <v>1</v>
      </c>
      <c r="C4218" t="s">
        <v>1774</v>
      </c>
      <c r="G4218" s="3">
        <v>575.45726658831325</v>
      </c>
      <c r="H4218" t="s">
        <v>1755</v>
      </c>
      <c r="I4218" t="s">
        <v>7237</v>
      </c>
      <c r="M4218" t="s">
        <v>1757</v>
      </c>
    </row>
    <row r="4219" spans="1:13" x14ac:dyDescent="0.45">
      <c r="A4219" t="s">
        <v>7238</v>
      </c>
      <c r="B4219">
        <v>1</v>
      </c>
      <c r="C4219" t="s">
        <v>1774</v>
      </c>
      <c r="G4219" s="3">
        <v>367.61085332454138</v>
      </c>
      <c r="H4219" t="s">
        <v>1755</v>
      </c>
      <c r="I4219" t="s">
        <v>7238</v>
      </c>
      <c r="M4219" t="s">
        <v>1757</v>
      </c>
    </row>
    <row r="4220" spans="1:13" x14ac:dyDescent="0.45">
      <c r="A4220" t="s">
        <v>7239</v>
      </c>
      <c r="B4220">
        <v>3</v>
      </c>
      <c r="C4220" t="s">
        <v>1774</v>
      </c>
      <c r="G4220" s="3">
        <v>1292.2739688428401</v>
      </c>
      <c r="H4220" t="s">
        <v>1755</v>
      </c>
      <c r="I4220" t="s">
        <v>7239</v>
      </c>
      <c r="M4220" t="s">
        <v>1757</v>
      </c>
    </row>
    <row r="4221" spans="1:13" x14ac:dyDescent="0.45">
      <c r="A4221" t="s">
        <v>7240</v>
      </c>
      <c r="B4221">
        <v>1</v>
      </c>
      <c r="C4221" t="s">
        <v>1774</v>
      </c>
      <c r="G4221" s="3">
        <v>590.79640103233169</v>
      </c>
      <c r="H4221" t="s">
        <v>1755</v>
      </c>
      <c r="I4221" t="s">
        <v>7240</v>
      </c>
      <c r="M4221" t="s">
        <v>1757</v>
      </c>
    </row>
    <row r="4222" spans="1:13" x14ac:dyDescent="0.45">
      <c r="A4222" t="s">
        <v>7241</v>
      </c>
      <c r="B4222">
        <v>1</v>
      </c>
      <c r="C4222" t="s">
        <v>1774</v>
      </c>
      <c r="G4222" s="3">
        <v>260.15341618371679</v>
      </c>
      <c r="H4222" t="s">
        <v>1755</v>
      </c>
      <c r="I4222" t="s">
        <v>7241</v>
      </c>
      <c r="M4222" t="s">
        <v>1757</v>
      </c>
    </row>
    <row r="4223" spans="1:13" x14ac:dyDescent="0.45">
      <c r="A4223" t="s">
        <v>7242</v>
      </c>
      <c r="B4223">
        <v>1</v>
      </c>
      <c r="C4223" t="s">
        <v>1774</v>
      </c>
      <c r="G4223" s="3">
        <v>1375.548215201479</v>
      </c>
      <c r="H4223" t="s">
        <v>1755</v>
      </c>
      <c r="I4223" t="s">
        <v>7242</v>
      </c>
      <c r="M4223" t="s">
        <v>1757</v>
      </c>
    </row>
    <row r="4224" spans="1:13" x14ac:dyDescent="0.45">
      <c r="A4224" t="s">
        <v>7243</v>
      </c>
      <c r="B4224">
        <v>1</v>
      </c>
      <c r="C4224" t="s">
        <v>1774</v>
      </c>
      <c r="G4224" s="3">
        <v>1820.4124681520079</v>
      </c>
      <c r="H4224" t="s">
        <v>1755</v>
      </c>
      <c r="I4224" t="s">
        <v>7243</v>
      </c>
      <c r="M4224" t="s">
        <v>1757</v>
      </c>
    </row>
    <row r="4225" spans="1:13" x14ac:dyDescent="0.45">
      <c r="A4225" t="s">
        <v>7244</v>
      </c>
      <c r="B4225">
        <v>1</v>
      </c>
      <c r="C4225" t="s">
        <v>1774</v>
      </c>
      <c r="G4225" s="3">
        <v>1016.645737161975</v>
      </c>
      <c r="H4225" t="s">
        <v>1755</v>
      </c>
      <c r="I4225" t="s">
        <v>7244</v>
      </c>
      <c r="M4225" t="s">
        <v>1757</v>
      </c>
    </row>
    <row r="4226" spans="1:13" x14ac:dyDescent="0.45">
      <c r="A4226" t="s">
        <v>7245</v>
      </c>
      <c r="B4226">
        <v>1</v>
      </c>
      <c r="C4226" t="s">
        <v>1774</v>
      </c>
      <c r="G4226" s="3">
        <v>1025.575898783859</v>
      </c>
      <c r="H4226" t="s">
        <v>1755</v>
      </c>
      <c r="I4226" t="s">
        <v>7245</v>
      </c>
      <c r="M4226" t="s">
        <v>1757</v>
      </c>
    </row>
    <row r="4227" spans="1:13" x14ac:dyDescent="0.45">
      <c r="A4227" t="s">
        <v>7246</v>
      </c>
      <c r="B4227">
        <v>1</v>
      </c>
      <c r="C4227" t="s">
        <v>1774</v>
      </c>
      <c r="G4227" s="3">
        <v>812.19461179023426</v>
      </c>
      <c r="H4227" t="s">
        <v>1755</v>
      </c>
      <c r="I4227" t="s">
        <v>7246</v>
      </c>
      <c r="M4227" t="s">
        <v>1757</v>
      </c>
    </row>
    <row r="4228" spans="1:13" x14ac:dyDescent="0.45">
      <c r="A4228" t="s">
        <v>7247</v>
      </c>
      <c r="B4228">
        <v>1</v>
      </c>
      <c r="C4228" t="s">
        <v>1774</v>
      </c>
      <c r="G4228" s="3">
        <v>1610.462346251963</v>
      </c>
      <c r="H4228" t="s">
        <v>1755</v>
      </c>
      <c r="I4228" t="s">
        <v>7247</v>
      </c>
      <c r="M4228" t="s">
        <v>1757</v>
      </c>
    </row>
    <row r="4229" spans="1:13" x14ac:dyDescent="0.45">
      <c r="A4229" t="s">
        <v>7248</v>
      </c>
      <c r="B4229">
        <v>1</v>
      </c>
      <c r="C4229" t="s">
        <v>1774</v>
      </c>
      <c r="G4229" s="3">
        <v>140.71951685313351</v>
      </c>
      <c r="H4229" t="s">
        <v>1755</v>
      </c>
      <c r="I4229" t="s">
        <v>7248</v>
      </c>
      <c r="M4229" t="s">
        <v>1757</v>
      </c>
    </row>
    <row r="4230" spans="1:13" x14ac:dyDescent="0.45">
      <c r="A4230" t="s">
        <v>7249</v>
      </c>
      <c r="B4230">
        <v>1</v>
      </c>
      <c r="C4230" t="s">
        <v>1774</v>
      </c>
      <c r="G4230" s="3">
        <v>1361.2625658574859</v>
      </c>
      <c r="H4230" t="s">
        <v>1755</v>
      </c>
      <c r="I4230" t="s">
        <v>7249</v>
      </c>
      <c r="M4230" t="s">
        <v>1757</v>
      </c>
    </row>
    <row r="4231" spans="1:13" x14ac:dyDescent="0.45">
      <c r="A4231" t="s">
        <v>7250</v>
      </c>
      <c r="B4231">
        <v>1</v>
      </c>
      <c r="C4231" t="s">
        <v>1774</v>
      </c>
      <c r="G4231" s="3">
        <v>592.47284481379575</v>
      </c>
      <c r="H4231" t="s">
        <v>1755</v>
      </c>
      <c r="I4231" t="s">
        <v>7250</v>
      </c>
      <c r="M4231" t="s">
        <v>1757</v>
      </c>
    </row>
    <row r="4232" spans="1:13" x14ac:dyDescent="0.45">
      <c r="A4232" t="s">
        <v>7251</v>
      </c>
      <c r="B4232">
        <v>1</v>
      </c>
      <c r="C4232" t="s">
        <v>1774</v>
      </c>
      <c r="G4232" s="3">
        <v>1519.8626276498071</v>
      </c>
      <c r="H4232" t="s">
        <v>1755</v>
      </c>
      <c r="I4232" t="s">
        <v>7251</v>
      </c>
      <c r="M4232" t="s">
        <v>1757</v>
      </c>
    </row>
    <row r="4233" spans="1:13" x14ac:dyDescent="0.45">
      <c r="A4233" t="s">
        <v>7252</v>
      </c>
      <c r="B4233">
        <v>1</v>
      </c>
      <c r="C4233" t="s">
        <v>1774</v>
      </c>
      <c r="G4233" s="3">
        <v>1971.912105601436</v>
      </c>
      <c r="H4233" t="s">
        <v>1755</v>
      </c>
      <c r="I4233" t="s">
        <v>7252</v>
      </c>
      <c r="M4233" t="s">
        <v>1757</v>
      </c>
    </row>
    <row r="4234" spans="1:13" x14ac:dyDescent="0.45">
      <c r="A4234" t="s">
        <v>7253</v>
      </c>
      <c r="B4234">
        <v>1</v>
      </c>
      <c r="C4234" t="s">
        <v>1774</v>
      </c>
      <c r="G4234" s="3">
        <v>1683.2506650670091</v>
      </c>
      <c r="H4234" t="s">
        <v>1755</v>
      </c>
      <c r="I4234" t="s">
        <v>7253</v>
      </c>
      <c r="M4234" t="s">
        <v>1757</v>
      </c>
    </row>
    <row r="4235" spans="1:13" x14ac:dyDescent="0.45">
      <c r="A4235" t="s">
        <v>7254</v>
      </c>
      <c r="B4235">
        <v>1</v>
      </c>
      <c r="C4235" t="s">
        <v>1774</v>
      </c>
      <c r="G4235" s="3">
        <v>1587.4715831867099</v>
      </c>
      <c r="H4235" t="s">
        <v>1755</v>
      </c>
      <c r="I4235" t="s">
        <v>7254</v>
      </c>
      <c r="M4235" t="s">
        <v>1757</v>
      </c>
    </row>
    <row r="4236" spans="1:13" x14ac:dyDescent="0.45">
      <c r="A4236" t="s">
        <v>7255</v>
      </c>
      <c r="B4236">
        <v>1</v>
      </c>
      <c r="C4236" t="s">
        <v>1774</v>
      </c>
      <c r="G4236" s="3">
        <v>355.12884874932161</v>
      </c>
      <c r="H4236" t="s">
        <v>1755</v>
      </c>
      <c r="I4236" t="s">
        <v>7255</v>
      </c>
      <c r="M4236" t="s">
        <v>1757</v>
      </c>
    </row>
    <row r="4237" spans="1:13" x14ac:dyDescent="0.45">
      <c r="A4237" t="s">
        <v>7256</v>
      </c>
      <c r="B4237">
        <v>4</v>
      </c>
      <c r="C4237" t="s">
        <v>1774</v>
      </c>
      <c r="G4237" s="3">
        <v>578.94061670232804</v>
      </c>
      <c r="H4237" t="s">
        <v>1755</v>
      </c>
      <c r="I4237" t="s">
        <v>7256</v>
      </c>
      <c r="M4237" t="s">
        <v>1757</v>
      </c>
    </row>
    <row r="4238" spans="1:13" x14ac:dyDescent="0.45">
      <c r="A4238" t="s">
        <v>7257</v>
      </c>
      <c r="B4238">
        <v>1</v>
      </c>
      <c r="C4238" t="s">
        <v>1774</v>
      </c>
      <c r="G4238" s="3">
        <v>895.09051675072169</v>
      </c>
      <c r="H4238" t="s">
        <v>1755</v>
      </c>
      <c r="I4238" t="s">
        <v>7257</v>
      </c>
      <c r="M4238" t="s">
        <v>1757</v>
      </c>
    </row>
    <row r="4239" spans="1:13" x14ac:dyDescent="0.45">
      <c r="A4239" t="s">
        <v>7258</v>
      </c>
      <c r="B4239">
        <v>1</v>
      </c>
      <c r="C4239" t="s">
        <v>1774</v>
      </c>
      <c r="G4239" s="3">
        <v>1864.358778485562</v>
      </c>
      <c r="H4239" t="s">
        <v>1755</v>
      </c>
      <c r="I4239" t="s">
        <v>7258</v>
      </c>
      <c r="M4239" t="s">
        <v>1757</v>
      </c>
    </row>
    <row r="4240" spans="1:13" x14ac:dyDescent="0.45">
      <c r="A4240" t="s">
        <v>7259</v>
      </c>
      <c r="B4240">
        <v>1</v>
      </c>
      <c r="C4240" t="s">
        <v>1774</v>
      </c>
      <c r="G4240" s="3">
        <v>2430.3379407374268</v>
      </c>
      <c r="H4240" t="s">
        <v>1755</v>
      </c>
      <c r="I4240" t="s">
        <v>7259</v>
      </c>
      <c r="M4240" t="s">
        <v>1757</v>
      </c>
    </row>
    <row r="4241" spans="1:13" x14ac:dyDescent="0.45">
      <c r="A4241" t="s">
        <v>7260</v>
      </c>
      <c r="B4241">
        <v>2</v>
      </c>
      <c r="C4241" t="s">
        <v>1774</v>
      </c>
      <c r="G4241" s="3">
        <v>101.3031924496873</v>
      </c>
      <c r="H4241" t="s">
        <v>1755</v>
      </c>
      <c r="I4241" t="s">
        <v>7260</v>
      </c>
      <c r="M4241" t="s">
        <v>1757</v>
      </c>
    </row>
    <row r="4242" spans="1:13" x14ac:dyDescent="0.45">
      <c r="A4242" t="s">
        <v>7261</v>
      </c>
      <c r="B4242">
        <v>1</v>
      </c>
      <c r="C4242" t="s">
        <v>1774</v>
      </c>
      <c r="G4242" s="3">
        <v>983.93551404076254</v>
      </c>
      <c r="H4242" t="s">
        <v>1755</v>
      </c>
      <c r="I4242" t="s">
        <v>7261</v>
      </c>
      <c r="M4242" t="s">
        <v>1757</v>
      </c>
    </row>
    <row r="4243" spans="1:13" x14ac:dyDescent="0.45">
      <c r="A4243" t="s">
        <v>7262</v>
      </c>
      <c r="B4243">
        <v>1</v>
      </c>
      <c r="C4243" t="s">
        <v>1774</v>
      </c>
      <c r="G4243" s="3">
        <v>1042.500153223581</v>
      </c>
      <c r="H4243" t="s">
        <v>1755</v>
      </c>
      <c r="I4243" t="s">
        <v>7262</v>
      </c>
      <c r="M4243" t="s">
        <v>1757</v>
      </c>
    </row>
    <row r="4244" spans="1:13" x14ac:dyDescent="0.45">
      <c r="A4244" t="s">
        <v>7263</v>
      </c>
      <c r="B4244">
        <v>1</v>
      </c>
      <c r="C4244" t="s">
        <v>1774</v>
      </c>
      <c r="G4244" s="3">
        <v>1092.6010344046499</v>
      </c>
      <c r="H4244" t="s">
        <v>1755</v>
      </c>
      <c r="I4244" t="s">
        <v>7263</v>
      </c>
      <c r="M4244" t="s">
        <v>1757</v>
      </c>
    </row>
    <row r="4245" spans="1:13" x14ac:dyDescent="0.45">
      <c r="A4245" t="s">
        <v>7264</v>
      </c>
      <c r="B4245">
        <v>1</v>
      </c>
      <c r="C4245" t="s">
        <v>1774</v>
      </c>
      <c r="G4245" s="3">
        <v>669.88279950108767</v>
      </c>
      <c r="H4245" t="s">
        <v>1755</v>
      </c>
      <c r="I4245" t="s">
        <v>7264</v>
      </c>
      <c r="M4245" t="s">
        <v>1757</v>
      </c>
    </row>
    <row r="4246" spans="1:13" x14ac:dyDescent="0.45">
      <c r="A4246" t="s">
        <v>7265</v>
      </c>
      <c r="B4246">
        <v>1</v>
      </c>
      <c r="C4246" t="s">
        <v>1774</v>
      </c>
      <c r="G4246" s="3">
        <v>1382.3811913146451</v>
      </c>
      <c r="H4246" t="s">
        <v>1755</v>
      </c>
      <c r="I4246" t="s">
        <v>7265</v>
      </c>
      <c r="M4246" t="s">
        <v>1757</v>
      </c>
    </row>
    <row r="4247" spans="1:13" x14ac:dyDescent="0.45">
      <c r="A4247" t="s">
        <v>7266</v>
      </c>
      <c r="B4247">
        <v>1</v>
      </c>
      <c r="C4247" t="s">
        <v>1774</v>
      </c>
      <c r="G4247" s="3">
        <v>785.17907902395632</v>
      </c>
      <c r="H4247" t="s">
        <v>1755</v>
      </c>
      <c r="I4247" t="s">
        <v>7266</v>
      </c>
      <c r="M4247" t="s">
        <v>1757</v>
      </c>
    </row>
    <row r="4248" spans="1:13" x14ac:dyDescent="0.45">
      <c r="A4248" t="s">
        <v>7267</v>
      </c>
      <c r="B4248">
        <v>2</v>
      </c>
      <c r="C4248" t="s">
        <v>1774</v>
      </c>
      <c r="G4248" s="3">
        <v>697.05814889244664</v>
      </c>
      <c r="H4248" t="s">
        <v>1755</v>
      </c>
      <c r="I4248" t="s">
        <v>7267</v>
      </c>
      <c r="M4248" t="s">
        <v>1757</v>
      </c>
    </row>
    <row r="4249" spans="1:13" x14ac:dyDescent="0.45">
      <c r="A4249" t="s">
        <v>7268</v>
      </c>
      <c r="B4249">
        <v>1</v>
      </c>
      <c r="C4249" t="s">
        <v>1774</v>
      </c>
      <c r="G4249" s="3">
        <v>226.2380452468413</v>
      </c>
      <c r="H4249" t="s">
        <v>1755</v>
      </c>
      <c r="I4249" t="s">
        <v>7268</v>
      </c>
      <c r="M4249" t="s">
        <v>1757</v>
      </c>
    </row>
    <row r="4250" spans="1:13" x14ac:dyDescent="0.45">
      <c r="A4250" t="s">
        <v>7269</v>
      </c>
      <c r="B4250">
        <v>1</v>
      </c>
      <c r="C4250" t="s">
        <v>1774</v>
      </c>
      <c r="G4250" s="3">
        <v>616.47143108619377</v>
      </c>
      <c r="H4250" t="s">
        <v>1755</v>
      </c>
      <c r="I4250" t="s">
        <v>7269</v>
      </c>
      <c r="M4250" t="s">
        <v>1757</v>
      </c>
    </row>
    <row r="4251" spans="1:13" x14ac:dyDescent="0.45">
      <c r="A4251" t="s">
        <v>7270</v>
      </c>
      <c r="B4251">
        <v>2</v>
      </c>
      <c r="C4251" t="s">
        <v>1774</v>
      </c>
      <c r="G4251" s="3">
        <v>243.9548596844148</v>
      </c>
      <c r="H4251" t="s">
        <v>1755</v>
      </c>
      <c r="I4251" t="s">
        <v>7270</v>
      </c>
      <c r="M4251" t="s">
        <v>1757</v>
      </c>
    </row>
    <row r="4252" spans="1:13" x14ac:dyDescent="0.45">
      <c r="A4252" t="s">
        <v>7271</v>
      </c>
      <c r="B4252">
        <v>1</v>
      </c>
      <c r="C4252" t="s">
        <v>1774</v>
      </c>
      <c r="G4252" s="3">
        <v>1131.374504587616</v>
      </c>
      <c r="H4252" t="s">
        <v>1755</v>
      </c>
      <c r="I4252" t="s">
        <v>7271</v>
      </c>
      <c r="M4252" t="s">
        <v>1757</v>
      </c>
    </row>
    <row r="4253" spans="1:13" x14ac:dyDescent="0.45">
      <c r="A4253" t="s">
        <v>7272</v>
      </c>
      <c r="B4253">
        <v>1</v>
      </c>
      <c r="C4253" t="s">
        <v>1774</v>
      </c>
      <c r="G4253" s="3">
        <v>355.28866537440291</v>
      </c>
      <c r="H4253" t="s">
        <v>1755</v>
      </c>
      <c r="I4253" t="s">
        <v>7272</v>
      </c>
      <c r="M4253" t="s">
        <v>1757</v>
      </c>
    </row>
    <row r="4254" spans="1:13" x14ac:dyDescent="0.45">
      <c r="A4254" t="s">
        <v>7273</v>
      </c>
      <c r="B4254">
        <v>3</v>
      </c>
      <c r="C4254" t="s">
        <v>1774</v>
      </c>
      <c r="G4254" s="3">
        <v>106.2245660330553</v>
      </c>
      <c r="H4254" t="s">
        <v>1755</v>
      </c>
      <c r="I4254" t="s">
        <v>7273</v>
      </c>
      <c r="M4254" t="s">
        <v>1757</v>
      </c>
    </row>
    <row r="4255" spans="1:13" x14ac:dyDescent="0.45">
      <c r="A4255" t="s">
        <v>7274</v>
      </c>
      <c r="B4255">
        <v>2</v>
      </c>
      <c r="C4255" t="s">
        <v>1774</v>
      </c>
      <c r="G4255" s="3">
        <v>440.2719711522775</v>
      </c>
      <c r="H4255" t="s">
        <v>1755</v>
      </c>
      <c r="I4255" t="s">
        <v>7274</v>
      </c>
      <c r="M4255" t="s">
        <v>1757</v>
      </c>
    </row>
    <row r="4256" spans="1:13" x14ac:dyDescent="0.45">
      <c r="A4256" t="s">
        <v>7275</v>
      </c>
      <c r="B4256">
        <v>1</v>
      </c>
      <c r="C4256" t="s">
        <v>1774</v>
      </c>
      <c r="G4256" s="3">
        <v>2338.9587083925271</v>
      </c>
      <c r="H4256" t="s">
        <v>1755</v>
      </c>
      <c r="I4256" t="s">
        <v>7275</v>
      </c>
      <c r="M4256" t="s">
        <v>1757</v>
      </c>
    </row>
    <row r="4257" spans="1:13" x14ac:dyDescent="0.45">
      <c r="A4257" t="s">
        <v>7276</v>
      </c>
      <c r="B4257">
        <v>2</v>
      </c>
      <c r="C4257" t="s">
        <v>1774</v>
      </c>
      <c r="G4257" s="3">
        <v>73.533586138128371</v>
      </c>
      <c r="H4257" t="s">
        <v>1755</v>
      </c>
      <c r="I4257" t="s">
        <v>7276</v>
      </c>
      <c r="M4257" t="s">
        <v>1757</v>
      </c>
    </row>
    <row r="4258" spans="1:13" x14ac:dyDescent="0.45">
      <c r="A4258" t="s">
        <v>7277</v>
      </c>
      <c r="B4258">
        <v>2</v>
      </c>
      <c r="C4258" t="s">
        <v>1774</v>
      </c>
      <c r="G4258" s="3">
        <v>200.65270819685139</v>
      </c>
      <c r="H4258" t="s">
        <v>1755</v>
      </c>
      <c r="I4258" t="s">
        <v>7277</v>
      </c>
      <c r="M4258" t="s">
        <v>1757</v>
      </c>
    </row>
    <row r="4259" spans="1:13" x14ac:dyDescent="0.45">
      <c r="A4259" t="s">
        <v>7278</v>
      </c>
      <c r="B4259">
        <v>1</v>
      </c>
      <c r="C4259" t="s">
        <v>1774</v>
      </c>
      <c r="G4259" s="3">
        <v>253.66844892557481</v>
      </c>
      <c r="H4259" t="s">
        <v>1755</v>
      </c>
      <c r="I4259" t="s">
        <v>7278</v>
      </c>
      <c r="M4259" t="s">
        <v>1757</v>
      </c>
    </row>
    <row r="4260" spans="1:13" x14ac:dyDescent="0.45">
      <c r="A4260" t="s">
        <v>7279</v>
      </c>
      <c r="B4260">
        <v>1</v>
      </c>
      <c r="C4260" t="s">
        <v>1774</v>
      </c>
      <c r="G4260" s="3">
        <v>143.39856533969879</v>
      </c>
      <c r="H4260" t="s">
        <v>1755</v>
      </c>
      <c r="I4260" t="s">
        <v>7279</v>
      </c>
      <c r="M4260" t="s">
        <v>1757</v>
      </c>
    </row>
    <row r="4261" spans="1:13" x14ac:dyDescent="0.45">
      <c r="A4261" t="s">
        <v>7280</v>
      </c>
      <c r="B4261">
        <v>1</v>
      </c>
      <c r="C4261" t="s">
        <v>1774</v>
      </c>
      <c r="G4261" s="3">
        <v>1486.6860009084589</v>
      </c>
      <c r="H4261" t="s">
        <v>1755</v>
      </c>
      <c r="I4261" t="s">
        <v>7280</v>
      </c>
      <c r="M4261" t="s">
        <v>1757</v>
      </c>
    </row>
    <row r="4262" spans="1:13" x14ac:dyDescent="0.45">
      <c r="A4262" t="s">
        <v>7281</v>
      </c>
      <c r="B4262">
        <v>1</v>
      </c>
      <c r="C4262" t="s">
        <v>1774</v>
      </c>
      <c r="G4262" s="3">
        <v>2104.223963349787</v>
      </c>
      <c r="H4262" t="s">
        <v>1755</v>
      </c>
      <c r="I4262" t="s">
        <v>7281</v>
      </c>
      <c r="M4262" t="s">
        <v>1757</v>
      </c>
    </row>
    <row r="4263" spans="1:13" x14ac:dyDescent="0.45">
      <c r="A4263" t="s">
        <v>7282</v>
      </c>
      <c r="B4263">
        <v>1</v>
      </c>
      <c r="C4263" t="s">
        <v>1774</v>
      </c>
      <c r="G4263" s="3">
        <v>507.17642891331298</v>
      </c>
      <c r="H4263" t="s">
        <v>1755</v>
      </c>
      <c r="I4263" t="s">
        <v>7282</v>
      </c>
      <c r="M4263" t="s">
        <v>1757</v>
      </c>
    </row>
    <row r="4264" spans="1:13" x14ac:dyDescent="0.45">
      <c r="A4264" t="s">
        <v>7283</v>
      </c>
      <c r="B4264">
        <v>1</v>
      </c>
      <c r="C4264" t="s">
        <v>1774</v>
      </c>
      <c r="G4264" s="3">
        <v>853.98829003085768</v>
      </c>
      <c r="H4264" t="s">
        <v>1755</v>
      </c>
      <c r="I4264" t="s">
        <v>7283</v>
      </c>
      <c r="M4264" t="s">
        <v>1757</v>
      </c>
    </row>
    <row r="4265" spans="1:13" x14ac:dyDescent="0.45">
      <c r="A4265" t="s">
        <v>7284</v>
      </c>
      <c r="B4265">
        <v>1</v>
      </c>
      <c r="C4265" t="s">
        <v>1774</v>
      </c>
      <c r="G4265" s="3">
        <v>585.18651133560377</v>
      </c>
      <c r="H4265" t="s">
        <v>1755</v>
      </c>
      <c r="I4265" t="s">
        <v>7284</v>
      </c>
      <c r="M4265" t="s">
        <v>1757</v>
      </c>
    </row>
    <row r="4266" spans="1:13" x14ac:dyDescent="0.45">
      <c r="A4266" t="s">
        <v>7285</v>
      </c>
      <c r="B4266">
        <v>1</v>
      </c>
      <c r="C4266" t="s">
        <v>1774</v>
      </c>
      <c r="G4266" s="3">
        <v>646.60828038722082</v>
      </c>
      <c r="H4266" t="s">
        <v>1755</v>
      </c>
      <c r="I4266" t="s">
        <v>7285</v>
      </c>
      <c r="M4266" t="s">
        <v>1757</v>
      </c>
    </row>
    <row r="4267" spans="1:13" x14ac:dyDescent="0.45">
      <c r="A4267" t="s">
        <v>7286</v>
      </c>
      <c r="B4267">
        <v>1</v>
      </c>
      <c r="C4267" t="s">
        <v>1774</v>
      </c>
      <c r="G4267" s="3">
        <v>97.959763421712992</v>
      </c>
      <c r="H4267" t="s">
        <v>1755</v>
      </c>
      <c r="I4267" t="s">
        <v>7286</v>
      </c>
      <c r="M4267" t="s">
        <v>1757</v>
      </c>
    </row>
    <row r="4268" spans="1:13" x14ac:dyDescent="0.45">
      <c r="A4268" t="s">
        <v>7287</v>
      </c>
      <c r="B4268">
        <v>1</v>
      </c>
      <c r="C4268" t="s">
        <v>1774</v>
      </c>
      <c r="G4268" s="3">
        <v>187.20495458721231</v>
      </c>
      <c r="H4268" t="s">
        <v>1755</v>
      </c>
      <c r="I4268" t="s">
        <v>7287</v>
      </c>
      <c r="M4268" t="s">
        <v>1757</v>
      </c>
    </row>
    <row r="4269" spans="1:13" x14ac:dyDescent="0.45">
      <c r="A4269" t="s">
        <v>7288</v>
      </c>
      <c r="B4269">
        <v>1</v>
      </c>
      <c r="C4269" t="s">
        <v>1774</v>
      </c>
      <c r="G4269" s="3">
        <v>182.88860108450891</v>
      </c>
      <c r="H4269" t="s">
        <v>1755</v>
      </c>
      <c r="I4269" t="s">
        <v>7288</v>
      </c>
      <c r="M4269" t="s">
        <v>1757</v>
      </c>
    </row>
    <row r="4270" spans="1:13" x14ac:dyDescent="0.45">
      <c r="A4270" t="s">
        <v>7289</v>
      </c>
      <c r="B4270">
        <v>1</v>
      </c>
      <c r="C4270" t="s">
        <v>1774</v>
      </c>
      <c r="G4270" s="3">
        <v>1648.4987030212901</v>
      </c>
      <c r="H4270" t="s">
        <v>1755</v>
      </c>
      <c r="I4270" t="s">
        <v>7289</v>
      </c>
      <c r="M4270" t="s">
        <v>1757</v>
      </c>
    </row>
    <row r="4271" spans="1:13" x14ac:dyDescent="0.45">
      <c r="A4271" t="s">
        <v>7290</v>
      </c>
      <c r="B4271">
        <v>1</v>
      </c>
      <c r="C4271" t="s">
        <v>1774</v>
      </c>
      <c r="G4271" s="3">
        <v>564.63213641189452</v>
      </c>
      <c r="H4271" t="s">
        <v>1755</v>
      </c>
      <c r="I4271" t="s">
        <v>7290</v>
      </c>
      <c r="M4271" t="s">
        <v>1757</v>
      </c>
    </row>
    <row r="4272" spans="1:13" x14ac:dyDescent="0.45">
      <c r="A4272" t="s">
        <v>7291</v>
      </c>
      <c r="B4272">
        <v>1</v>
      </c>
      <c r="C4272" t="s">
        <v>1774</v>
      </c>
      <c r="G4272" s="3">
        <v>395.10257440228571</v>
      </c>
      <c r="H4272" t="s">
        <v>1755</v>
      </c>
      <c r="I4272" t="s">
        <v>7291</v>
      </c>
      <c r="M4272" t="s">
        <v>1757</v>
      </c>
    </row>
    <row r="4273" spans="1:13" x14ac:dyDescent="0.45">
      <c r="A4273" t="s">
        <v>7292</v>
      </c>
      <c r="B4273">
        <v>1</v>
      </c>
      <c r="C4273" t="s">
        <v>1774</v>
      </c>
      <c r="G4273" s="3">
        <v>263.05555563264039</v>
      </c>
      <c r="H4273" t="s">
        <v>1755</v>
      </c>
      <c r="I4273" t="s">
        <v>7292</v>
      </c>
      <c r="M4273" t="s">
        <v>1757</v>
      </c>
    </row>
    <row r="4274" spans="1:13" x14ac:dyDescent="0.45">
      <c r="A4274" t="s">
        <v>7293</v>
      </c>
      <c r="B4274">
        <v>1</v>
      </c>
      <c r="C4274" t="s">
        <v>1774</v>
      </c>
      <c r="G4274" s="3">
        <v>1562.7619760108901</v>
      </c>
      <c r="H4274" t="s">
        <v>1755</v>
      </c>
      <c r="I4274" t="s">
        <v>7293</v>
      </c>
      <c r="M4274" t="s">
        <v>1757</v>
      </c>
    </row>
    <row r="4275" spans="1:13" x14ac:dyDescent="0.45">
      <c r="A4275" t="s">
        <v>7294</v>
      </c>
      <c r="B4275">
        <v>1</v>
      </c>
      <c r="C4275" t="s">
        <v>1774</v>
      </c>
      <c r="G4275" s="3">
        <v>467.00374786994178</v>
      </c>
      <c r="H4275" t="s">
        <v>1755</v>
      </c>
      <c r="I4275" t="s">
        <v>7294</v>
      </c>
      <c r="M4275" t="s">
        <v>1757</v>
      </c>
    </row>
    <row r="4276" spans="1:13" x14ac:dyDescent="0.45">
      <c r="A4276" t="s">
        <v>7295</v>
      </c>
      <c r="B4276">
        <v>2</v>
      </c>
      <c r="C4276" t="s">
        <v>1774</v>
      </c>
      <c r="G4276" s="3">
        <v>431.224393234415</v>
      </c>
      <c r="H4276" t="s">
        <v>1755</v>
      </c>
      <c r="I4276" t="s">
        <v>7295</v>
      </c>
      <c r="M4276" t="s">
        <v>1757</v>
      </c>
    </row>
    <row r="4277" spans="1:13" x14ac:dyDescent="0.45">
      <c r="A4277" t="s">
        <v>7296</v>
      </c>
      <c r="B4277">
        <v>3</v>
      </c>
      <c r="C4277" t="s">
        <v>1774</v>
      </c>
      <c r="G4277" s="3">
        <v>1117.428057876449</v>
      </c>
      <c r="H4277" t="s">
        <v>1755</v>
      </c>
      <c r="I4277" t="s">
        <v>7296</v>
      </c>
      <c r="M4277" t="s">
        <v>1757</v>
      </c>
    </row>
    <row r="4278" spans="1:13" x14ac:dyDescent="0.45">
      <c r="A4278" t="s">
        <v>7297</v>
      </c>
      <c r="B4278">
        <v>1</v>
      </c>
      <c r="C4278" t="s">
        <v>1774</v>
      </c>
      <c r="G4278" s="3">
        <v>581.40635891786667</v>
      </c>
      <c r="H4278" t="s">
        <v>1755</v>
      </c>
      <c r="I4278" t="s">
        <v>7297</v>
      </c>
      <c r="M4278" t="s">
        <v>1757</v>
      </c>
    </row>
    <row r="4279" spans="1:13" x14ac:dyDescent="0.45">
      <c r="A4279" t="s">
        <v>7298</v>
      </c>
      <c r="B4279">
        <v>3</v>
      </c>
      <c r="C4279" t="s">
        <v>1774</v>
      </c>
      <c r="G4279" s="3">
        <v>403.58264022292099</v>
      </c>
      <c r="H4279" t="s">
        <v>1755</v>
      </c>
      <c r="I4279" t="s">
        <v>7298</v>
      </c>
      <c r="M4279" t="s">
        <v>1757</v>
      </c>
    </row>
    <row r="4280" spans="1:13" x14ac:dyDescent="0.45">
      <c r="A4280" t="s">
        <v>7299</v>
      </c>
      <c r="B4280">
        <v>1</v>
      </c>
      <c r="C4280" t="s">
        <v>1774</v>
      </c>
      <c r="G4280" s="3">
        <v>397.3628380998627</v>
      </c>
      <c r="H4280" t="s">
        <v>1755</v>
      </c>
      <c r="I4280" t="s">
        <v>7299</v>
      </c>
      <c r="M4280" t="s">
        <v>1757</v>
      </c>
    </row>
    <row r="4281" spans="1:13" x14ac:dyDescent="0.45">
      <c r="A4281" t="s">
        <v>7300</v>
      </c>
      <c r="B4281">
        <v>1</v>
      </c>
      <c r="C4281" t="s">
        <v>1774</v>
      </c>
      <c r="G4281" s="3">
        <v>334.66579761137308</v>
      </c>
      <c r="H4281" t="s">
        <v>1755</v>
      </c>
      <c r="I4281" t="s">
        <v>7300</v>
      </c>
      <c r="M4281" t="s">
        <v>1757</v>
      </c>
    </row>
    <row r="4282" spans="1:13" x14ac:dyDescent="0.45">
      <c r="A4282" t="s">
        <v>7301</v>
      </c>
      <c r="B4282">
        <v>1</v>
      </c>
      <c r="C4282" t="s">
        <v>1774</v>
      </c>
      <c r="G4282" s="3">
        <v>631.10932931812113</v>
      </c>
      <c r="H4282" t="s">
        <v>1755</v>
      </c>
      <c r="I4282" t="s">
        <v>7301</v>
      </c>
      <c r="M4282" t="s">
        <v>1757</v>
      </c>
    </row>
    <row r="4283" spans="1:13" x14ac:dyDescent="0.45">
      <c r="A4283" t="s">
        <v>7302</v>
      </c>
      <c r="B4283">
        <v>1</v>
      </c>
      <c r="C4283" t="s">
        <v>1774</v>
      </c>
      <c r="G4283" s="3">
        <v>59.046372152706063</v>
      </c>
      <c r="H4283" t="s">
        <v>1755</v>
      </c>
      <c r="I4283" t="s">
        <v>7302</v>
      </c>
      <c r="M4283" t="s">
        <v>1757</v>
      </c>
    </row>
    <row r="4284" spans="1:13" x14ac:dyDescent="0.45">
      <c r="A4284" t="s">
        <v>7303</v>
      </c>
      <c r="B4284">
        <v>1</v>
      </c>
      <c r="C4284" t="s">
        <v>1774</v>
      </c>
      <c r="G4284" s="3">
        <v>92.576226251120431</v>
      </c>
      <c r="H4284" t="s">
        <v>1755</v>
      </c>
      <c r="I4284" t="s">
        <v>7303</v>
      </c>
      <c r="M4284" t="s">
        <v>1757</v>
      </c>
    </row>
    <row r="4285" spans="1:13" x14ac:dyDescent="0.45">
      <c r="A4285" t="s">
        <v>7304</v>
      </c>
      <c r="B4285">
        <v>1</v>
      </c>
      <c r="C4285" t="s">
        <v>1774</v>
      </c>
      <c r="G4285" s="3">
        <v>704.45211397528522</v>
      </c>
      <c r="H4285" t="s">
        <v>1755</v>
      </c>
      <c r="I4285" t="s">
        <v>7304</v>
      </c>
      <c r="M4285" t="s">
        <v>1757</v>
      </c>
    </row>
    <row r="4286" spans="1:13" x14ac:dyDescent="0.45">
      <c r="A4286" t="s">
        <v>7305</v>
      </c>
      <c r="B4286">
        <v>1</v>
      </c>
      <c r="C4286" t="s">
        <v>1774</v>
      </c>
      <c r="G4286" s="3">
        <v>88.937625701312442</v>
      </c>
      <c r="H4286" t="s">
        <v>1755</v>
      </c>
      <c r="I4286" t="s">
        <v>7305</v>
      </c>
      <c r="M4286" t="s">
        <v>1757</v>
      </c>
    </row>
    <row r="4287" spans="1:13" x14ac:dyDescent="0.45">
      <c r="A4287" t="s">
        <v>7306</v>
      </c>
      <c r="B4287">
        <v>1</v>
      </c>
      <c r="C4287" t="s">
        <v>1774</v>
      </c>
      <c r="G4287" s="3">
        <v>103.1808747162026</v>
      </c>
      <c r="H4287" t="s">
        <v>1755</v>
      </c>
      <c r="I4287" t="s">
        <v>7306</v>
      </c>
      <c r="M4287" t="s">
        <v>1757</v>
      </c>
    </row>
    <row r="4288" spans="1:13" x14ac:dyDescent="0.45">
      <c r="A4288" t="s">
        <v>7307</v>
      </c>
      <c r="B4288">
        <v>1</v>
      </c>
      <c r="C4288" t="s">
        <v>1774</v>
      </c>
      <c r="G4288" s="3">
        <v>583.84600862318791</v>
      </c>
      <c r="H4288" t="s">
        <v>1755</v>
      </c>
      <c r="I4288" t="s">
        <v>7307</v>
      </c>
      <c r="M4288" t="s">
        <v>1757</v>
      </c>
    </row>
    <row r="4289" spans="1:13" x14ac:dyDescent="0.45">
      <c r="A4289" t="s">
        <v>7308</v>
      </c>
      <c r="B4289">
        <v>2</v>
      </c>
      <c r="C4289" t="s">
        <v>1774</v>
      </c>
      <c r="G4289" s="3">
        <v>1107.643366544946</v>
      </c>
      <c r="H4289" t="s">
        <v>1755</v>
      </c>
      <c r="I4289" t="s">
        <v>7308</v>
      </c>
      <c r="M4289" t="s">
        <v>1757</v>
      </c>
    </row>
    <row r="4290" spans="1:13" x14ac:dyDescent="0.45">
      <c r="A4290" t="s">
        <v>7309</v>
      </c>
      <c r="B4290">
        <v>1</v>
      </c>
      <c r="C4290" t="s">
        <v>1774</v>
      </c>
      <c r="G4290" s="3">
        <v>594.41673682498754</v>
      </c>
      <c r="H4290" t="s">
        <v>1755</v>
      </c>
      <c r="I4290" t="s">
        <v>7309</v>
      </c>
      <c r="M4290" t="s">
        <v>1757</v>
      </c>
    </row>
    <row r="4291" spans="1:13" x14ac:dyDescent="0.45">
      <c r="A4291" t="s">
        <v>7310</v>
      </c>
      <c r="B4291">
        <v>1</v>
      </c>
      <c r="C4291" t="s">
        <v>1774</v>
      </c>
      <c r="G4291" s="3">
        <v>1251.938209610611</v>
      </c>
      <c r="H4291" t="s">
        <v>1755</v>
      </c>
      <c r="I4291" t="s">
        <v>7310</v>
      </c>
      <c r="M4291" t="s">
        <v>1757</v>
      </c>
    </row>
    <row r="4292" spans="1:13" x14ac:dyDescent="0.45">
      <c r="A4292" t="s">
        <v>7311</v>
      </c>
      <c r="B4292">
        <v>1</v>
      </c>
      <c r="C4292" t="s">
        <v>1774</v>
      </c>
      <c r="G4292" s="3">
        <v>734.44219290633987</v>
      </c>
      <c r="H4292" t="s">
        <v>1755</v>
      </c>
      <c r="I4292" t="s">
        <v>7311</v>
      </c>
      <c r="M4292" t="s">
        <v>1757</v>
      </c>
    </row>
    <row r="4293" spans="1:13" x14ac:dyDescent="0.45">
      <c r="A4293" t="s">
        <v>7312</v>
      </c>
      <c r="B4293">
        <v>2</v>
      </c>
      <c r="C4293" t="s">
        <v>1774</v>
      </c>
      <c r="G4293" s="3">
        <v>704.68042343968705</v>
      </c>
      <c r="H4293" t="s">
        <v>1755</v>
      </c>
      <c r="I4293" t="s">
        <v>7312</v>
      </c>
      <c r="M4293" t="s">
        <v>1757</v>
      </c>
    </row>
    <row r="4294" spans="1:13" x14ac:dyDescent="0.45">
      <c r="A4294" t="s">
        <v>7313</v>
      </c>
      <c r="B4294">
        <v>1</v>
      </c>
      <c r="C4294" t="s">
        <v>1774</v>
      </c>
      <c r="G4294" s="3">
        <v>205.68627957415379</v>
      </c>
      <c r="H4294" t="s">
        <v>1755</v>
      </c>
      <c r="I4294" t="s">
        <v>7313</v>
      </c>
      <c r="M4294" t="s">
        <v>1757</v>
      </c>
    </row>
    <row r="4295" spans="1:13" x14ac:dyDescent="0.45">
      <c r="A4295" t="s">
        <v>7314</v>
      </c>
      <c r="B4295">
        <v>1</v>
      </c>
      <c r="C4295" t="s">
        <v>1774</v>
      </c>
      <c r="G4295" s="3">
        <v>735.94903537139112</v>
      </c>
      <c r="H4295" t="s">
        <v>1755</v>
      </c>
      <c r="I4295" t="s">
        <v>7314</v>
      </c>
      <c r="M4295" t="s">
        <v>1757</v>
      </c>
    </row>
    <row r="4296" spans="1:13" x14ac:dyDescent="0.45">
      <c r="A4296" t="s">
        <v>7315</v>
      </c>
      <c r="B4296">
        <v>1</v>
      </c>
      <c r="C4296" t="s">
        <v>1774</v>
      </c>
      <c r="G4296" s="3">
        <v>310.50609008838308</v>
      </c>
      <c r="H4296" t="s">
        <v>1755</v>
      </c>
      <c r="I4296" t="s">
        <v>7315</v>
      </c>
      <c r="M4296" t="s">
        <v>1757</v>
      </c>
    </row>
    <row r="4297" spans="1:13" x14ac:dyDescent="0.45">
      <c r="A4297" t="s">
        <v>7316</v>
      </c>
      <c r="B4297">
        <v>1</v>
      </c>
      <c r="C4297" t="s">
        <v>1774</v>
      </c>
      <c r="G4297" s="3">
        <v>548.75158238086624</v>
      </c>
      <c r="H4297" t="s">
        <v>1755</v>
      </c>
      <c r="I4297" t="s">
        <v>7316</v>
      </c>
      <c r="M4297" t="s">
        <v>1757</v>
      </c>
    </row>
    <row r="4298" spans="1:13" x14ac:dyDescent="0.45">
      <c r="A4298" t="s">
        <v>7317</v>
      </c>
      <c r="B4298">
        <v>1</v>
      </c>
      <c r="C4298" t="s">
        <v>1774</v>
      </c>
      <c r="G4298" s="3">
        <v>799.3734045821891</v>
      </c>
      <c r="H4298" t="s">
        <v>1755</v>
      </c>
      <c r="I4298" t="s">
        <v>7317</v>
      </c>
      <c r="M4298" t="s">
        <v>1757</v>
      </c>
    </row>
    <row r="4299" spans="1:13" x14ac:dyDescent="0.45">
      <c r="A4299" t="s">
        <v>7318</v>
      </c>
      <c r="B4299">
        <v>1</v>
      </c>
      <c r="C4299" t="s">
        <v>1774</v>
      </c>
      <c r="G4299" s="3">
        <v>281.63635831478558</v>
      </c>
      <c r="H4299" t="s">
        <v>1755</v>
      </c>
      <c r="I4299" t="s">
        <v>7318</v>
      </c>
      <c r="M4299" t="s">
        <v>1757</v>
      </c>
    </row>
    <row r="4300" spans="1:13" x14ac:dyDescent="0.45">
      <c r="A4300" t="s">
        <v>7319</v>
      </c>
      <c r="B4300">
        <v>1</v>
      </c>
      <c r="C4300" t="s">
        <v>1774</v>
      </c>
      <c r="G4300" s="3">
        <v>362.18687276311198</v>
      </c>
      <c r="H4300" t="s">
        <v>1755</v>
      </c>
      <c r="I4300" t="s">
        <v>7319</v>
      </c>
      <c r="M4300" t="s">
        <v>1757</v>
      </c>
    </row>
    <row r="4301" spans="1:13" x14ac:dyDescent="0.45">
      <c r="A4301" t="s">
        <v>7320</v>
      </c>
      <c r="B4301">
        <v>1</v>
      </c>
      <c r="C4301" t="s">
        <v>1774</v>
      </c>
      <c r="G4301" s="3">
        <v>504.7237329528831</v>
      </c>
      <c r="H4301" t="s">
        <v>1755</v>
      </c>
      <c r="I4301" t="s">
        <v>7320</v>
      </c>
      <c r="M4301" t="s">
        <v>1757</v>
      </c>
    </row>
    <row r="4302" spans="1:13" x14ac:dyDescent="0.45">
      <c r="A4302" t="s">
        <v>7321</v>
      </c>
      <c r="B4302">
        <v>3</v>
      </c>
      <c r="C4302" t="s">
        <v>1774</v>
      </c>
      <c r="G4302" s="3">
        <v>222.41255709260159</v>
      </c>
      <c r="H4302" t="s">
        <v>1755</v>
      </c>
      <c r="I4302" t="s">
        <v>7321</v>
      </c>
      <c r="M4302" t="s">
        <v>1757</v>
      </c>
    </row>
    <row r="4303" spans="1:13" x14ac:dyDescent="0.45">
      <c r="A4303" t="s">
        <v>7322</v>
      </c>
      <c r="B4303">
        <v>1</v>
      </c>
      <c r="C4303" t="s">
        <v>1774</v>
      </c>
      <c r="G4303" s="3">
        <v>425.50361036926341</v>
      </c>
      <c r="H4303" t="s">
        <v>1755</v>
      </c>
      <c r="I4303" t="s">
        <v>7322</v>
      </c>
      <c r="M4303" t="s">
        <v>1757</v>
      </c>
    </row>
    <row r="4304" spans="1:13" x14ac:dyDescent="0.45">
      <c r="A4304" t="s">
        <v>7323</v>
      </c>
      <c r="B4304">
        <v>1</v>
      </c>
      <c r="C4304" t="s">
        <v>1774</v>
      </c>
      <c r="G4304" s="3">
        <v>1836.482192882112</v>
      </c>
      <c r="H4304" t="s">
        <v>1755</v>
      </c>
      <c r="I4304" t="s">
        <v>7323</v>
      </c>
      <c r="M4304" t="s">
        <v>1757</v>
      </c>
    </row>
    <row r="4305" spans="1:13" x14ac:dyDescent="0.45">
      <c r="A4305" t="s">
        <v>7324</v>
      </c>
      <c r="B4305">
        <v>1</v>
      </c>
      <c r="C4305" t="s">
        <v>1774</v>
      </c>
      <c r="G4305" s="3">
        <v>993.52124998185775</v>
      </c>
      <c r="H4305" t="s">
        <v>1755</v>
      </c>
      <c r="I4305" t="s">
        <v>7324</v>
      </c>
      <c r="M4305" t="s">
        <v>1757</v>
      </c>
    </row>
    <row r="4306" spans="1:13" x14ac:dyDescent="0.45">
      <c r="A4306" t="s">
        <v>7325</v>
      </c>
      <c r="B4306">
        <v>1</v>
      </c>
      <c r="C4306" t="s">
        <v>1774</v>
      </c>
      <c r="G4306" s="3">
        <v>1607.5856470005019</v>
      </c>
      <c r="H4306" t="s">
        <v>1755</v>
      </c>
      <c r="I4306" t="s">
        <v>7325</v>
      </c>
      <c r="M4306" t="s">
        <v>1757</v>
      </c>
    </row>
    <row r="4307" spans="1:13" x14ac:dyDescent="0.45">
      <c r="A4307" t="s">
        <v>7326</v>
      </c>
      <c r="B4307">
        <v>1</v>
      </c>
      <c r="C4307" t="s">
        <v>1774</v>
      </c>
      <c r="G4307" s="3">
        <v>1072.4086930602059</v>
      </c>
      <c r="H4307" t="s">
        <v>1755</v>
      </c>
      <c r="I4307" t="s">
        <v>7326</v>
      </c>
      <c r="M4307" t="s">
        <v>1757</v>
      </c>
    </row>
    <row r="4308" spans="1:13" x14ac:dyDescent="0.45">
      <c r="A4308" t="s">
        <v>7327</v>
      </c>
      <c r="B4308">
        <v>1</v>
      </c>
      <c r="C4308" t="s">
        <v>1774</v>
      </c>
      <c r="G4308" s="3">
        <v>1771.055223512134</v>
      </c>
      <c r="H4308" t="s">
        <v>1755</v>
      </c>
      <c r="I4308" t="s">
        <v>7327</v>
      </c>
      <c r="M4308" t="s">
        <v>1757</v>
      </c>
    </row>
    <row r="4309" spans="1:13" x14ac:dyDescent="0.45">
      <c r="A4309" t="s">
        <v>7328</v>
      </c>
      <c r="B4309">
        <v>1</v>
      </c>
      <c r="C4309" t="s">
        <v>1774</v>
      </c>
      <c r="G4309" s="3">
        <v>177.8550297072064</v>
      </c>
      <c r="H4309" t="s">
        <v>1755</v>
      </c>
      <c r="I4309" t="s">
        <v>7328</v>
      </c>
      <c r="M4309" t="s">
        <v>1757</v>
      </c>
    </row>
    <row r="4310" spans="1:13" x14ac:dyDescent="0.45">
      <c r="A4310" t="s">
        <v>7329</v>
      </c>
      <c r="B4310">
        <v>1</v>
      </c>
      <c r="C4310" t="s">
        <v>1774</v>
      </c>
      <c r="G4310" s="3">
        <v>585.01364845541389</v>
      </c>
      <c r="H4310" t="s">
        <v>1755</v>
      </c>
      <c r="I4310" t="s">
        <v>7329</v>
      </c>
      <c r="M4310" t="s">
        <v>1757</v>
      </c>
    </row>
    <row r="4311" spans="1:13" x14ac:dyDescent="0.45">
      <c r="A4311" t="s">
        <v>7330</v>
      </c>
      <c r="B4311">
        <v>1</v>
      </c>
      <c r="C4311" t="s">
        <v>1774</v>
      </c>
      <c r="G4311" s="3">
        <v>261.38922269888559</v>
      </c>
      <c r="H4311" t="s">
        <v>1755</v>
      </c>
      <c r="I4311" t="s">
        <v>7330</v>
      </c>
      <c r="M4311" t="s">
        <v>1757</v>
      </c>
    </row>
    <row r="4312" spans="1:13" x14ac:dyDescent="0.45">
      <c r="A4312" t="s">
        <v>7331</v>
      </c>
      <c r="B4312">
        <v>1</v>
      </c>
      <c r="C4312" t="s">
        <v>1774</v>
      </c>
      <c r="G4312" s="3">
        <v>321.57648986084479</v>
      </c>
      <c r="H4312" t="s">
        <v>1755</v>
      </c>
      <c r="I4312" t="s">
        <v>7331</v>
      </c>
      <c r="M4312" t="s">
        <v>1757</v>
      </c>
    </row>
    <row r="4313" spans="1:13" x14ac:dyDescent="0.45">
      <c r="A4313" t="s">
        <v>7332</v>
      </c>
      <c r="B4313">
        <v>1</v>
      </c>
      <c r="C4313" t="s">
        <v>1774</v>
      </c>
      <c r="G4313" s="3">
        <v>978.11036113474154</v>
      </c>
      <c r="H4313" t="s">
        <v>1755</v>
      </c>
      <c r="I4313" t="s">
        <v>7332</v>
      </c>
      <c r="M4313" t="s">
        <v>1757</v>
      </c>
    </row>
    <row r="4314" spans="1:13" x14ac:dyDescent="0.45">
      <c r="A4314" t="s">
        <v>7333</v>
      </c>
      <c r="B4314">
        <v>1</v>
      </c>
      <c r="C4314" t="s">
        <v>1774</v>
      </c>
      <c r="G4314" s="3">
        <v>1349.4948437494661</v>
      </c>
      <c r="H4314" t="s">
        <v>1755</v>
      </c>
      <c r="I4314" t="s">
        <v>7333</v>
      </c>
      <c r="M4314" t="s">
        <v>1757</v>
      </c>
    </row>
    <row r="4315" spans="1:13" x14ac:dyDescent="0.45">
      <c r="A4315" t="s">
        <v>7334</v>
      </c>
      <c r="B4315">
        <v>1</v>
      </c>
      <c r="C4315" t="s">
        <v>1774</v>
      </c>
      <c r="G4315" s="3">
        <v>1127.3888736519179</v>
      </c>
      <c r="H4315" t="s">
        <v>1755</v>
      </c>
      <c r="I4315" t="s">
        <v>7334</v>
      </c>
      <c r="M4315" t="s">
        <v>1757</v>
      </c>
    </row>
    <row r="4316" spans="1:13" x14ac:dyDescent="0.45">
      <c r="A4316" t="s">
        <v>7335</v>
      </c>
      <c r="B4316">
        <v>1</v>
      </c>
      <c r="C4316" t="s">
        <v>1774</v>
      </c>
      <c r="G4316" s="3">
        <v>694.95117869239652</v>
      </c>
      <c r="H4316" t="s">
        <v>1755</v>
      </c>
      <c r="I4316" t="s">
        <v>7335</v>
      </c>
      <c r="M4316" t="s">
        <v>1757</v>
      </c>
    </row>
    <row r="4317" spans="1:13" x14ac:dyDescent="0.45">
      <c r="A4317" t="s">
        <v>7336</v>
      </c>
      <c r="B4317">
        <v>1</v>
      </c>
      <c r="C4317" t="s">
        <v>1774</v>
      </c>
      <c r="G4317" s="3">
        <v>1074.0459980763439</v>
      </c>
      <c r="H4317" t="s">
        <v>1755</v>
      </c>
      <c r="I4317" t="s">
        <v>7336</v>
      </c>
      <c r="M4317" t="s">
        <v>1757</v>
      </c>
    </row>
    <row r="4318" spans="1:13" x14ac:dyDescent="0.45">
      <c r="A4318" t="s">
        <v>7337</v>
      </c>
      <c r="B4318">
        <v>4</v>
      </c>
      <c r="C4318" t="s">
        <v>1774</v>
      </c>
      <c r="G4318" s="3">
        <v>154.57333515302989</v>
      </c>
      <c r="H4318" t="s">
        <v>1755</v>
      </c>
      <c r="I4318" t="s">
        <v>7337</v>
      </c>
      <c r="M4318" t="s">
        <v>1757</v>
      </c>
    </row>
    <row r="4319" spans="1:13" x14ac:dyDescent="0.45">
      <c r="A4319" t="s">
        <v>7338</v>
      </c>
      <c r="B4319">
        <v>1</v>
      </c>
      <c r="C4319" t="s">
        <v>1774</v>
      </c>
      <c r="G4319" s="3">
        <v>678.04975519911488</v>
      </c>
      <c r="H4319" t="s">
        <v>1755</v>
      </c>
      <c r="I4319" t="s">
        <v>7338</v>
      </c>
      <c r="M4319" t="s">
        <v>1757</v>
      </c>
    </row>
    <row r="4320" spans="1:13" x14ac:dyDescent="0.45">
      <c r="A4320" t="s">
        <v>7339</v>
      </c>
      <c r="B4320">
        <v>1</v>
      </c>
      <c r="C4320" t="s">
        <v>1774</v>
      </c>
      <c r="G4320" s="3">
        <v>663.24551721455191</v>
      </c>
      <c r="H4320" t="s">
        <v>1755</v>
      </c>
      <c r="I4320" t="s">
        <v>7339</v>
      </c>
      <c r="M4320" t="s">
        <v>1757</v>
      </c>
    </row>
    <row r="4321" spans="1:13" x14ac:dyDescent="0.45">
      <c r="A4321" t="s">
        <v>7340</v>
      </c>
      <c r="B4321">
        <v>1</v>
      </c>
      <c r="C4321" t="s">
        <v>1774</v>
      </c>
      <c r="G4321" s="3">
        <v>666.75822140256128</v>
      </c>
      <c r="H4321" t="s">
        <v>1755</v>
      </c>
      <c r="I4321" t="s">
        <v>7340</v>
      </c>
      <c r="M4321" t="s">
        <v>1757</v>
      </c>
    </row>
    <row r="4322" spans="1:13" x14ac:dyDescent="0.45">
      <c r="A4322" t="s">
        <v>7341</v>
      </c>
      <c r="B4322">
        <v>1</v>
      </c>
      <c r="C4322" t="s">
        <v>1774</v>
      </c>
      <c r="G4322" s="3">
        <v>270.243389884762</v>
      </c>
      <c r="H4322" t="s">
        <v>1755</v>
      </c>
      <c r="I4322" t="s">
        <v>7341</v>
      </c>
      <c r="M4322" t="s">
        <v>1757</v>
      </c>
    </row>
    <row r="4323" spans="1:13" x14ac:dyDescent="0.45">
      <c r="A4323" t="s">
        <v>7342</v>
      </c>
      <c r="B4323">
        <v>1</v>
      </c>
      <c r="C4323" t="s">
        <v>1774</v>
      </c>
      <c r="G4323" s="3">
        <v>140.7058182852694</v>
      </c>
      <c r="H4323" t="s">
        <v>1755</v>
      </c>
      <c r="I4323" t="s">
        <v>7342</v>
      </c>
      <c r="M4323" t="s">
        <v>1757</v>
      </c>
    </row>
    <row r="4324" spans="1:13" x14ac:dyDescent="0.45">
      <c r="A4324" t="s">
        <v>7343</v>
      </c>
      <c r="B4324">
        <v>1</v>
      </c>
      <c r="C4324" t="s">
        <v>1774</v>
      </c>
      <c r="G4324" s="3">
        <v>427.00066814298322</v>
      </c>
      <c r="H4324" t="s">
        <v>1755</v>
      </c>
      <c r="I4324" t="s">
        <v>7343</v>
      </c>
      <c r="M4324" t="s">
        <v>1757</v>
      </c>
    </row>
    <row r="4325" spans="1:13" x14ac:dyDescent="0.45">
      <c r="A4325" t="s">
        <v>7344</v>
      </c>
      <c r="B4325">
        <v>1</v>
      </c>
      <c r="C4325" t="s">
        <v>1774</v>
      </c>
      <c r="G4325" s="3">
        <v>1279.37774566792</v>
      </c>
      <c r="H4325" t="s">
        <v>1755</v>
      </c>
      <c r="I4325" t="s">
        <v>7344</v>
      </c>
      <c r="M4325" t="s">
        <v>1757</v>
      </c>
    </row>
    <row r="4326" spans="1:13" x14ac:dyDescent="0.45">
      <c r="A4326" t="s">
        <v>7345</v>
      </c>
      <c r="B4326">
        <v>1</v>
      </c>
      <c r="C4326" t="s">
        <v>1774</v>
      </c>
      <c r="G4326" s="3">
        <v>219.82124467164209</v>
      </c>
      <c r="H4326" t="s">
        <v>1755</v>
      </c>
      <c r="I4326" t="s">
        <v>7345</v>
      </c>
      <c r="M4326" t="s">
        <v>1757</v>
      </c>
    </row>
    <row r="4327" spans="1:13" x14ac:dyDescent="0.45">
      <c r="A4327" t="s">
        <v>7346</v>
      </c>
      <c r="B4327">
        <v>2</v>
      </c>
      <c r="C4327" t="s">
        <v>1774</v>
      </c>
      <c r="G4327" s="3">
        <v>523.20049175053657</v>
      </c>
      <c r="H4327" t="s">
        <v>1755</v>
      </c>
      <c r="I4327" t="s">
        <v>7346</v>
      </c>
      <c r="M4327" t="s">
        <v>1757</v>
      </c>
    </row>
    <row r="4328" spans="1:13" x14ac:dyDescent="0.45">
      <c r="A4328" t="s">
        <v>7347</v>
      </c>
      <c r="B4328">
        <v>1</v>
      </c>
      <c r="C4328" t="s">
        <v>1774</v>
      </c>
      <c r="G4328" s="3">
        <v>591.58243790262907</v>
      </c>
      <c r="H4328" t="s">
        <v>1755</v>
      </c>
      <c r="I4328" t="s">
        <v>7347</v>
      </c>
      <c r="M4328" t="s">
        <v>1757</v>
      </c>
    </row>
    <row r="4329" spans="1:13" x14ac:dyDescent="0.45">
      <c r="A4329" t="s">
        <v>7348</v>
      </c>
      <c r="B4329">
        <v>1</v>
      </c>
      <c r="C4329" t="s">
        <v>1774</v>
      </c>
      <c r="G4329" s="3">
        <v>1273.588469963448</v>
      </c>
      <c r="H4329" t="s">
        <v>1755</v>
      </c>
      <c r="I4329" t="s">
        <v>7348</v>
      </c>
      <c r="M4329" t="s">
        <v>1757</v>
      </c>
    </row>
    <row r="4330" spans="1:13" x14ac:dyDescent="0.45">
      <c r="A4330" t="s">
        <v>7349</v>
      </c>
      <c r="B4330">
        <v>1</v>
      </c>
      <c r="C4330" t="s">
        <v>1774</v>
      </c>
      <c r="G4330" s="3">
        <v>179.96917534756639</v>
      </c>
      <c r="H4330" t="s">
        <v>1755</v>
      </c>
      <c r="I4330" t="s">
        <v>7349</v>
      </c>
      <c r="M4330" t="s">
        <v>1757</v>
      </c>
    </row>
    <row r="4331" spans="1:13" x14ac:dyDescent="0.45">
      <c r="A4331" t="s">
        <v>7350</v>
      </c>
      <c r="B4331">
        <v>1</v>
      </c>
      <c r="C4331" t="s">
        <v>1774</v>
      </c>
      <c r="G4331" s="3">
        <v>494.01275750866529</v>
      </c>
      <c r="H4331" t="s">
        <v>1755</v>
      </c>
      <c r="I4331" t="s">
        <v>7350</v>
      </c>
      <c r="M4331" t="s">
        <v>1757</v>
      </c>
    </row>
    <row r="4332" spans="1:13" x14ac:dyDescent="0.45">
      <c r="A4332" t="s">
        <v>7351</v>
      </c>
      <c r="B4332">
        <v>1</v>
      </c>
      <c r="C4332" t="s">
        <v>1774</v>
      </c>
      <c r="G4332" s="3">
        <v>643.32062409983598</v>
      </c>
      <c r="H4332" t="s">
        <v>1755</v>
      </c>
      <c r="I4332" t="s">
        <v>7351</v>
      </c>
      <c r="M4332" t="s">
        <v>1757</v>
      </c>
    </row>
    <row r="4333" spans="1:13" x14ac:dyDescent="0.45">
      <c r="A4333" t="s">
        <v>7352</v>
      </c>
      <c r="B4333">
        <v>1</v>
      </c>
      <c r="C4333" t="s">
        <v>1774</v>
      </c>
      <c r="G4333" s="3">
        <v>1566.056155425829</v>
      </c>
      <c r="H4333" t="s">
        <v>1755</v>
      </c>
      <c r="I4333" t="s">
        <v>7352</v>
      </c>
      <c r="M4333" t="s">
        <v>1757</v>
      </c>
    </row>
    <row r="4334" spans="1:13" x14ac:dyDescent="0.45">
      <c r="A4334" t="s">
        <v>7353</v>
      </c>
      <c r="B4334">
        <v>1</v>
      </c>
      <c r="C4334" t="s">
        <v>1774</v>
      </c>
      <c r="G4334" s="3">
        <v>376.8965253981371</v>
      </c>
      <c r="H4334" t="s">
        <v>1755</v>
      </c>
      <c r="I4334" t="s">
        <v>7353</v>
      </c>
      <c r="M4334" t="s">
        <v>1757</v>
      </c>
    </row>
    <row r="4335" spans="1:13" x14ac:dyDescent="0.45">
      <c r="A4335" t="s">
        <v>7354</v>
      </c>
      <c r="B4335">
        <v>1</v>
      </c>
      <c r="C4335" t="s">
        <v>1774</v>
      </c>
      <c r="G4335" s="3">
        <v>281.95990544148049</v>
      </c>
      <c r="H4335" t="s">
        <v>1755</v>
      </c>
      <c r="I4335" t="s">
        <v>7354</v>
      </c>
      <c r="M4335" t="s">
        <v>1757</v>
      </c>
    </row>
    <row r="4336" spans="1:13" x14ac:dyDescent="0.45">
      <c r="A4336" t="s">
        <v>7355</v>
      </c>
      <c r="B4336">
        <v>1</v>
      </c>
      <c r="C4336" t="s">
        <v>1774</v>
      </c>
      <c r="G4336" s="3">
        <v>198.76785049002629</v>
      </c>
      <c r="H4336" t="s">
        <v>1755</v>
      </c>
      <c r="I4336" t="s">
        <v>7355</v>
      </c>
      <c r="M4336" t="s">
        <v>1757</v>
      </c>
    </row>
    <row r="4337" spans="1:13" x14ac:dyDescent="0.45">
      <c r="A4337" t="s">
        <v>7356</v>
      </c>
      <c r="B4337">
        <v>1</v>
      </c>
      <c r="C4337" t="s">
        <v>1774</v>
      </c>
      <c r="G4337" s="3">
        <v>985.27275518940132</v>
      </c>
      <c r="H4337" t="s">
        <v>1755</v>
      </c>
      <c r="I4337" t="s">
        <v>7356</v>
      </c>
      <c r="M4337" t="s">
        <v>1757</v>
      </c>
    </row>
    <row r="4338" spans="1:13" x14ac:dyDescent="0.45">
      <c r="A4338" t="s">
        <v>7357</v>
      </c>
      <c r="B4338">
        <v>1</v>
      </c>
      <c r="C4338" t="s">
        <v>1774</v>
      </c>
      <c r="G4338" s="3">
        <v>1231.184879296494</v>
      </c>
      <c r="H4338" t="s">
        <v>1755</v>
      </c>
      <c r="I4338" t="s">
        <v>7357</v>
      </c>
      <c r="M4338" t="s">
        <v>1757</v>
      </c>
    </row>
    <row r="4339" spans="1:13" x14ac:dyDescent="0.45">
      <c r="A4339" t="s">
        <v>7358</v>
      </c>
      <c r="B4339">
        <v>1</v>
      </c>
      <c r="C4339" t="s">
        <v>1774</v>
      </c>
      <c r="G4339" s="3">
        <v>1987.5578270405081</v>
      </c>
      <c r="H4339" t="s">
        <v>1755</v>
      </c>
      <c r="I4339" t="s">
        <v>7358</v>
      </c>
      <c r="M4339" t="s">
        <v>1757</v>
      </c>
    </row>
    <row r="4340" spans="1:13" x14ac:dyDescent="0.45">
      <c r="A4340" t="s">
        <v>7359</v>
      </c>
      <c r="B4340">
        <v>1</v>
      </c>
      <c r="C4340" t="s">
        <v>1774</v>
      </c>
      <c r="G4340" s="3">
        <v>947.96046557860586</v>
      </c>
      <c r="H4340" t="s">
        <v>1755</v>
      </c>
      <c r="I4340" t="s">
        <v>7359</v>
      </c>
      <c r="M4340" t="s">
        <v>1757</v>
      </c>
    </row>
    <row r="4341" spans="1:13" x14ac:dyDescent="0.45">
      <c r="A4341" t="s">
        <v>7360</v>
      </c>
      <c r="B4341">
        <v>1</v>
      </c>
      <c r="C4341" t="s">
        <v>1774</v>
      </c>
      <c r="G4341" s="3">
        <v>1229.7856684360891</v>
      </c>
      <c r="H4341" t="s">
        <v>1755</v>
      </c>
      <c r="I4341" t="s">
        <v>7360</v>
      </c>
      <c r="M4341" t="s">
        <v>1757</v>
      </c>
    </row>
    <row r="4342" spans="1:13" x14ac:dyDescent="0.45">
      <c r="A4342" t="s">
        <v>7361</v>
      </c>
      <c r="B4342">
        <v>1</v>
      </c>
      <c r="C4342" t="s">
        <v>1774</v>
      </c>
      <c r="G4342" s="3">
        <v>1099.4568414642561</v>
      </c>
      <c r="H4342" t="s">
        <v>1755</v>
      </c>
      <c r="I4342" t="s">
        <v>7361</v>
      </c>
      <c r="M4342" t="s">
        <v>1757</v>
      </c>
    </row>
    <row r="4343" spans="1:13" x14ac:dyDescent="0.45">
      <c r="A4343" t="s">
        <v>7362</v>
      </c>
      <c r="B4343">
        <v>1</v>
      </c>
      <c r="C4343" t="s">
        <v>1774</v>
      </c>
      <c r="G4343" s="3">
        <v>529.12023000609554</v>
      </c>
      <c r="H4343" t="s">
        <v>1755</v>
      </c>
      <c r="I4343" t="s">
        <v>7362</v>
      </c>
      <c r="M4343" t="s">
        <v>1757</v>
      </c>
    </row>
    <row r="4344" spans="1:13" x14ac:dyDescent="0.45">
      <c r="A4344" t="s">
        <v>7363</v>
      </c>
      <c r="B4344">
        <v>1</v>
      </c>
      <c r="C4344" t="s">
        <v>1774</v>
      </c>
      <c r="G4344" s="3">
        <v>485.1967506189817</v>
      </c>
      <c r="H4344" t="s">
        <v>1755</v>
      </c>
      <c r="I4344" t="s">
        <v>7363</v>
      </c>
      <c r="M4344" t="s">
        <v>1757</v>
      </c>
    </row>
    <row r="4345" spans="1:13" x14ac:dyDescent="0.45">
      <c r="A4345" t="s">
        <v>7364</v>
      </c>
      <c r="B4345">
        <v>1</v>
      </c>
      <c r="C4345" t="s">
        <v>1774</v>
      </c>
      <c r="G4345" s="3">
        <v>530.0367294274796</v>
      </c>
      <c r="H4345" t="s">
        <v>1755</v>
      </c>
      <c r="I4345" t="s">
        <v>7364</v>
      </c>
      <c r="M4345" t="s">
        <v>1757</v>
      </c>
    </row>
    <row r="4346" spans="1:13" x14ac:dyDescent="0.45">
      <c r="A4346" t="s">
        <v>7365</v>
      </c>
      <c r="B4346">
        <v>1</v>
      </c>
      <c r="C4346" t="s">
        <v>1774</v>
      </c>
      <c r="G4346" s="3">
        <v>2052.0487276064391</v>
      </c>
      <c r="H4346" t="s">
        <v>1755</v>
      </c>
      <c r="I4346" t="s">
        <v>7365</v>
      </c>
      <c r="M4346" t="s">
        <v>1757</v>
      </c>
    </row>
    <row r="4347" spans="1:13" x14ac:dyDescent="0.45">
      <c r="A4347" t="s">
        <v>7366</v>
      </c>
      <c r="B4347">
        <v>1</v>
      </c>
      <c r="C4347" t="s">
        <v>1774</v>
      </c>
      <c r="G4347" s="3">
        <v>199.51311781310909</v>
      </c>
      <c r="H4347" t="s">
        <v>1755</v>
      </c>
      <c r="I4347" t="s">
        <v>7366</v>
      </c>
      <c r="M4347" t="s">
        <v>1757</v>
      </c>
    </row>
    <row r="4348" spans="1:13" x14ac:dyDescent="0.45">
      <c r="A4348" t="s">
        <v>7367</v>
      </c>
      <c r="B4348">
        <v>1</v>
      </c>
      <c r="C4348" t="s">
        <v>1774</v>
      </c>
      <c r="G4348" s="3">
        <v>440.46440341513028</v>
      </c>
      <c r="H4348" t="s">
        <v>1755</v>
      </c>
      <c r="I4348" t="s">
        <v>7367</v>
      </c>
      <c r="M4348" t="s">
        <v>1757</v>
      </c>
    </row>
    <row r="4349" spans="1:13" x14ac:dyDescent="0.45">
      <c r="A4349" t="s">
        <v>7368</v>
      </c>
      <c r="B4349">
        <v>1</v>
      </c>
      <c r="C4349" t="s">
        <v>1774</v>
      </c>
      <c r="G4349" s="3">
        <v>1555.436503767372</v>
      </c>
      <c r="H4349" t="s">
        <v>1755</v>
      </c>
      <c r="I4349" t="s">
        <v>7368</v>
      </c>
      <c r="M4349" t="s">
        <v>1757</v>
      </c>
    </row>
    <row r="4350" spans="1:13" x14ac:dyDescent="0.45">
      <c r="A4350" t="s">
        <v>7369</v>
      </c>
      <c r="B4350">
        <v>1</v>
      </c>
      <c r="C4350" t="s">
        <v>1774</v>
      </c>
      <c r="G4350" s="3">
        <v>1080.520202174022</v>
      </c>
      <c r="H4350" t="s">
        <v>1755</v>
      </c>
      <c r="I4350" t="s">
        <v>7369</v>
      </c>
      <c r="M4350" t="s">
        <v>1757</v>
      </c>
    </row>
    <row r="4351" spans="1:13" x14ac:dyDescent="0.45">
      <c r="A4351" t="s">
        <v>7370</v>
      </c>
      <c r="B4351">
        <v>1</v>
      </c>
      <c r="C4351" t="s">
        <v>1774</v>
      </c>
      <c r="G4351" s="3">
        <v>1737.2034530689129</v>
      </c>
      <c r="H4351" t="s">
        <v>1755</v>
      </c>
      <c r="I4351" t="s">
        <v>7370</v>
      </c>
      <c r="M4351" t="s">
        <v>1757</v>
      </c>
    </row>
    <row r="4352" spans="1:13" x14ac:dyDescent="0.45">
      <c r="A4352" t="s">
        <v>7371</v>
      </c>
      <c r="B4352">
        <v>1</v>
      </c>
      <c r="C4352" t="s">
        <v>1774</v>
      </c>
      <c r="G4352" s="3">
        <v>451.29279515532619</v>
      </c>
      <c r="H4352" t="s">
        <v>1755</v>
      </c>
      <c r="I4352" t="s">
        <v>7371</v>
      </c>
      <c r="M4352" t="s">
        <v>1757</v>
      </c>
    </row>
    <row r="4353" spans="1:13" x14ac:dyDescent="0.45">
      <c r="A4353" t="s">
        <v>7372</v>
      </c>
      <c r="B4353">
        <v>1</v>
      </c>
      <c r="C4353" t="s">
        <v>1774</v>
      </c>
      <c r="G4353" s="3">
        <v>614.26987553660581</v>
      </c>
      <c r="H4353" t="s">
        <v>1755</v>
      </c>
      <c r="I4353" t="s">
        <v>7372</v>
      </c>
      <c r="M4353" t="s">
        <v>1757</v>
      </c>
    </row>
    <row r="4354" spans="1:13" x14ac:dyDescent="0.45">
      <c r="A4354" t="s">
        <v>7373</v>
      </c>
      <c r="B4354">
        <v>1</v>
      </c>
      <c r="C4354" t="s">
        <v>1774</v>
      </c>
      <c r="G4354" s="3">
        <v>904.8197614980121</v>
      </c>
      <c r="H4354" t="s">
        <v>1755</v>
      </c>
      <c r="I4354" t="s">
        <v>7373</v>
      </c>
      <c r="M4354" t="s">
        <v>1757</v>
      </c>
    </row>
    <row r="4355" spans="1:13" x14ac:dyDescent="0.45">
      <c r="A4355" t="s">
        <v>7374</v>
      </c>
      <c r="B4355">
        <v>1</v>
      </c>
      <c r="C4355" t="s">
        <v>1774</v>
      </c>
      <c r="G4355" s="3">
        <v>935.35452157985367</v>
      </c>
      <c r="H4355" t="s">
        <v>1755</v>
      </c>
      <c r="I4355" t="s">
        <v>7374</v>
      </c>
      <c r="M4355" t="s">
        <v>1757</v>
      </c>
    </row>
    <row r="4356" spans="1:13" x14ac:dyDescent="0.45">
      <c r="A4356" t="s">
        <v>7375</v>
      </c>
      <c r="B4356">
        <v>1</v>
      </c>
      <c r="C4356" t="s">
        <v>1774</v>
      </c>
      <c r="G4356" s="3">
        <v>1286.641248199672</v>
      </c>
      <c r="H4356" t="s">
        <v>1755</v>
      </c>
      <c r="I4356" t="s">
        <v>7375</v>
      </c>
      <c r="M4356" t="s">
        <v>1757</v>
      </c>
    </row>
    <row r="4357" spans="1:13" x14ac:dyDescent="0.45">
      <c r="A4357" t="s">
        <v>7376</v>
      </c>
      <c r="B4357">
        <v>1</v>
      </c>
      <c r="C4357" t="s">
        <v>1774</v>
      </c>
      <c r="G4357" s="3">
        <v>60.412641218961497</v>
      </c>
      <c r="H4357" t="s">
        <v>1755</v>
      </c>
      <c r="I4357" t="s">
        <v>7376</v>
      </c>
      <c r="M4357" t="s">
        <v>1757</v>
      </c>
    </row>
    <row r="4358" spans="1:13" x14ac:dyDescent="0.45">
      <c r="A4358" t="s">
        <v>7377</v>
      </c>
      <c r="B4358">
        <v>2</v>
      </c>
      <c r="C4358" t="s">
        <v>1774</v>
      </c>
      <c r="G4358" s="3">
        <v>426.79192806124439</v>
      </c>
      <c r="H4358" t="s">
        <v>1755</v>
      </c>
      <c r="I4358" t="s">
        <v>7377</v>
      </c>
      <c r="M4358" t="s">
        <v>1757</v>
      </c>
    </row>
    <row r="4359" spans="1:13" x14ac:dyDescent="0.45">
      <c r="A4359" t="s">
        <v>7378</v>
      </c>
      <c r="B4359">
        <v>1</v>
      </c>
      <c r="C4359" t="s">
        <v>1774</v>
      </c>
      <c r="G4359" s="3">
        <v>45.669068320653842</v>
      </c>
      <c r="H4359" t="s">
        <v>1755</v>
      </c>
      <c r="I4359" t="s">
        <v>7378</v>
      </c>
      <c r="M4359" t="s">
        <v>1757</v>
      </c>
    </row>
    <row r="4360" spans="1:13" x14ac:dyDescent="0.45">
      <c r="A4360" t="s">
        <v>7379</v>
      </c>
      <c r="B4360">
        <v>1</v>
      </c>
      <c r="C4360" t="s">
        <v>1774</v>
      </c>
      <c r="G4360" s="3">
        <v>1128.960947392512</v>
      </c>
      <c r="H4360" t="s">
        <v>1755</v>
      </c>
      <c r="I4360" t="s">
        <v>7379</v>
      </c>
      <c r="M4360" t="s">
        <v>1757</v>
      </c>
    </row>
    <row r="4361" spans="1:13" x14ac:dyDescent="0.45">
      <c r="A4361" t="s">
        <v>7380</v>
      </c>
      <c r="B4361">
        <v>2</v>
      </c>
      <c r="C4361" t="s">
        <v>1774</v>
      </c>
      <c r="G4361" s="3">
        <v>134.10441320028249</v>
      </c>
      <c r="H4361" t="s">
        <v>1755</v>
      </c>
      <c r="I4361" t="s">
        <v>7380</v>
      </c>
      <c r="M4361" t="s">
        <v>1757</v>
      </c>
    </row>
    <row r="4362" spans="1:13" x14ac:dyDescent="0.45">
      <c r="A4362" t="s">
        <v>7381</v>
      </c>
      <c r="B4362">
        <v>1</v>
      </c>
      <c r="C4362" t="s">
        <v>1774</v>
      </c>
      <c r="G4362" s="3">
        <v>292.50062725653032</v>
      </c>
      <c r="H4362" t="s">
        <v>1755</v>
      </c>
      <c r="I4362" t="s">
        <v>7381</v>
      </c>
      <c r="M4362" t="s">
        <v>1757</v>
      </c>
    </row>
    <row r="4363" spans="1:13" x14ac:dyDescent="0.45">
      <c r="A4363" t="s">
        <v>7382</v>
      </c>
      <c r="B4363">
        <v>2</v>
      </c>
      <c r="C4363" t="s">
        <v>1774</v>
      </c>
      <c r="G4363" s="3">
        <v>147.0661938071236</v>
      </c>
      <c r="H4363" t="s">
        <v>1755</v>
      </c>
      <c r="I4363" t="s">
        <v>7382</v>
      </c>
      <c r="M4363" t="s">
        <v>1757</v>
      </c>
    </row>
    <row r="4364" spans="1:13" x14ac:dyDescent="0.45">
      <c r="A4364" t="s">
        <v>7383</v>
      </c>
      <c r="B4364">
        <v>1</v>
      </c>
      <c r="C4364" t="s">
        <v>1774</v>
      </c>
      <c r="G4364" s="3">
        <v>811.00087944779091</v>
      </c>
      <c r="H4364" t="s">
        <v>1755</v>
      </c>
      <c r="I4364" t="s">
        <v>7383</v>
      </c>
      <c r="M4364" t="s">
        <v>1757</v>
      </c>
    </row>
    <row r="4365" spans="1:13" x14ac:dyDescent="0.45">
      <c r="A4365" t="s">
        <v>7384</v>
      </c>
      <c r="B4365">
        <v>1</v>
      </c>
      <c r="C4365" t="s">
        <v>1774</v>
      </c>
      <c r="G4365" s="3">
        <v>441.80816769132338</v>
      </c>
      <c r="H4365" t="s">
        <v>1755</v>
      </c>
      <c r="I4365" t="s">
        <v>7384</v>
      </c>
      <c r="M4365" t="s">
        <v>1757</v>
      </c>
    </row>
    <row r="4366" spans="1:13" x14ac:dyDescent="0.45">
      <c r="A4366" t="s">
        <v>7385</v>
      </c>
      <c r="B4366">
        <v>1</v>
      </c>
      <c r="C4366" t="s">
        <v>1774</v>
      </c>
      <c r="G4366" s="3">
        <v>296.79741137657072</v>
      </c>
      <c r="H4366" t="s">
        <v>1755</v>
      </c>
      <c r="I4366" t="s">
        <v>7385</v>
      </c>
      <c r="M4366" t="s">
        <v>1757</v>
      </c>
    </row>
    <row r="4367" spans="1:13" x14ac:dyDescent="0.45">
      <c r="A4367" t="s">
        <v>7386</v>
      </c>
      <c r="B4367">
        <v>1</v>
      </c>
      <c r="C4367" t="s">
        <v>1774</v>
      </c>
      <c r="G4367" s="3">
        <v>1137.7932621010821</v>
      </c>
      <c r="H4367" t="s">
        <v>1755</v>
      </c>
      <c r="I4367" t="s">
        <v>7386</v>
      </c>
      <c r="M4367" t="s">
        <v>1757</v>
      </c>
    </row>
    <row r="4368" spans="1:13" x14ac:dyDescent="0.45">
      <c r="A4368" t="s">
        <v>7387</v>
      </c>
      <c r="B4368">
        <v>1</v>
      </c>
      <c r="C4368" t="s">
        <v>1774</v>
      </c>
      <c r="G4368" s="3">
        <v>608.48386139591071</v>
      </c>
      <c r="H4368" t="s">
        <v>1755</v>
      </c>
      <c r="I4368" t="s">
        <v>7387</v>
      </c>
      <c r="M4368" t="s">
        <v>1757</v>
      </c>
    </row>
    <row r="4369" spans="1:13" x14ac:dyDescent="0.45">
      <c r="A4369" t="s">
        <v>7388</v>
      </c>
      <c r="B4369">
        <v>1</v>
      </c>
      <c r="C4369" t="s">
        <v>1774</v>
      </c>
      <c r="G4369" s="3">
        <v>1313.203423600924</v>
      </c>
      <c r="H4369" t="s">
        <v>1755</v>
      </c>
      <c r="I4369" t="s">
        <v>7388</v>
      </c>
      <c r="M4369" t="s">
        <v>1757</v>
      </c>
    </row>
    <row r="4370" spans="1:13" x14ac:dyDescent="0.45">
      <c r="A4370" t="s">
        <v>7389</v>
      </c>
      <c r="B4370">
        <v>1</v>
      </c>
      <c r="C4370" t="s">
        <v>1774</v>
      </c>
      <c r="G4370" s="3">
        <v>760.81193604473845</v>
      </c>
      <c r="H4370" t="s">
        <v>1755</v>
      </c>
      <c r="I4370" t="s">
        <v>7389</v>
      </c>
      <c r="M4370" t="s">
        <v>1757</v>
      </c>
    </row>
    <row r="4371" spans="1:13" x14ac:dyDescent="0.45">
      <c r="A4371" t="s">
        <v>7390</v>
      </c>
      <c r="B4371">
        <v>1</v>
      </c>
      <c r="C4371" t="s">
        <v>1774</v>
      </c>
      <c r="G4371" s="3">
        <v>1947.238375627164</v>
      </c>
      <c r="H4371" t="s">
        <v>1755</v>
      </c>
      <c r="I4371" t="s">
        <v>7390</v>
      </c>
      <c r="M4371" t="s">
        <v>1757</v>
      </c>
    </row>
    <row r="4372" spans="1:13" x14ac:dyDescent="0.45">
      <c r="A4372" t="s">
        <v>7391</v>
      </c>
      <c r="B4372">
        <v>1</v>
      </c>
      <c r="C4372" t="s">
        <v>1774</v>
      </c>
      <c r="G4372" s="3">
        <v>446.68746710196592</v>
      </c>
      <c r="H4372" t="s">
        <v>1755</v>
      </c>
      <c r="I4372" t="s">
        <v>7391</v>
      </c>
      <c r="M4372" t="s">
        <v>1757</v>
      </c>
    </row>
    <row r="4373" spans="1:13" x14ac:dyDescent="0.45">
      <c r="A4373" t="s">
        <v>7392</v>
      </c>
      <c r="B4373">
        <v>1</v>
      </c>
      <c r="C4373" t="s">
        <v>1774</v>
      </c>
      <c r="G4373" s="3">
        <v>1787.1673485713411</v>
      </c>
      <c r="H4373" t="s">
        <v>1755</v>
      </c>
      <c r="I4373" t="s">
        <v>7392</v>
      </c>
      <c r="M4373" t="s">
        <v>1757</v>
      </c>
    </row>
    <row r="4374" spans="1:13" x14ac:dyDescent="0.45">
      <c r="A4374" t="s">
        <v>7393</v>
      </c>
      <c r="B4374">
        <v>1</v>
      </c>
      <c r="C4374" t="s">
        <v>1774</v>
      </c>
      <c r="G4374" s="3">
        <v>310.08828376852802</v>
      </c>
      <c r="H4374" t="s">
        <v>1755</v>
      </c>
      <c r="I4374" t="s">
        <v>7393</v>
      </c>
      <c r="M4374" t="s">
        <v>1757</v>
      </c>
    </row>
    <row r="4375" spans="1:13" x14ac:dyDescent="0.45">
      <c r="A4375" t="s">
        <v>7394</v>
      </c>
      <c r="B4375">
        <v>4</v>
      </c>
      <c r="C4375" t="s">
        <v>1774</v>
      </c>
      <c r="G4375" s="3">
        <v>279.83891051718871</v>
      </c>
      <c r="H4375" t="s">
        <v>1755</v>
      </c>
      <c r="I4375" t="s">
        <v>7394</v>
      </c>
      <c r="M4375" t="s">
        <v>1757</v>
      </c>
    </row>
    <row r="4376" spans="1:13" x14ac:dyDescent="0.45">
      <c r="A4376" t="s">
        <v>7395</v>
      </c>
      <c r="B4376">
        <v>1</v>
      </c>
      <c r="C4376" t="s">
        <v>1774</v>
      </c>
      <c r="G4376" s="3">
        <v>727.38090732877231</v>
      </c>
      <c r="H4376" t="s">
        <v>1755</v>
      </c>
      <c r="I4376" t="s">
        <v>7395</v>
      </c>
      <c r="M4376" t="s">
        <v>1757</v>
      </c>
    </row>
    <row r="4377" spans="1:13" x14ac:dyDescent="0.45">
      <c r="A4377" t="s">
        <v>7396</v>
      </c>
      <c r="B4377">
        <v>1</v>
      </c>
      <c r="C4377" t="s">
        <v>1774</v>
      </c>
      <c r="G4377" s="3">
        <v>1273.363422062823</v>
      </c>
      <c r="H4377" t="s">
        <v>1755</v>
      </c>
      <c r="I4377" t="s">
        <v>7396</v>
      </c>
      <c r="M4377" t="s">
        <v>1757</v>
      </c>
    </row>
    <row r="4378" spans="1:13" x14ac:dyDescent="0.45">
      <c r="A4378" t="s">
        <v>7397</v>
      </c>
      <c r="B4378">
        <v>5</v>
      </c>
      <c r="C4378" t="s">
        <v>1774</v>
      </c>
      <c r="G4378" s="3">
        <v>332.39574922246459</v>
      </c>
      <c r="H4378" t="s">
        <v>1755</v>
      </c>
      <c r="I4378" t="s">
        <v>7397</v>
      </c>
      <c r="M4378" t="s">
        <v>1757</v>
      </c>
    </row>
    <row r="4379" spans="1:13" x14ac:dyDescent="0.45">
      <c r="A4379" t="s">
        <v>7398</v>
      </c>
      <c r="B4379">
        <v>1</v>
      </c>
      <c r="C4379" t="s">
        <v>1774</v>
      </c>
      <c r="G4379" s="3">
        <v>358.86986240173269</v>
      </c>
      <c r="H4379" t="s">
        <v>1755</v>
      </c>
      <c r="I4379" t="s">
        <v>7398</v>
      </c>
      <c r="M4379" t="s">
        <v>1757</v>
      </c>
    </row>
    <row r="4380" spans="1:13" x14ac:dyDescent="0.45">
      <c r="A4380" t="s">
        <v>7399</v>
      </c>
      <c r="B4380">
        <v>1</v>
      </c>
      <c r="C4380" t="s">
        <v>1774</v>
      </c>
      <c r="G4380" s="3">
        <v>437.20283963796288</v>
      </c>
      <c r="H4380" t="s">
        <v>1755</v>
      </c>
      <c r="I4380" t="s">
        <v>7399</v>
      </c>
      <c r="M4380" t="s">
        <v>1757</v>
      </c>
    </row>
    <row r="4381" spans="1:13" x14ac:dyDescent="0.45">
      <c r="A4381" t="s">
        <v>7400</v>
      </c>
      <c r="B4381">
        <v>1</v>
      </c>
      <c r="C4381" t="s">
        <v>1774</v>
      </c>
      <c r="G4381" s="3">
        <v>998.50818099714672</v>
      </c>
      <c r="H4381" t="s">
        <v>1755</v>
      </c>
      <c r="I4381" t="s">
        <v>7400</v>
      </c>
      <c r="M4381" t="s">
        <v>1757</v>
      </c>
    </row>
    <row r="4382" spans="1:13" x14ac:dyDescent="0.45">
      <c r="A4382" t="s">
        <v>7401</v>
      </c>
      <c r="B4382">
        <v>1</v>
      </c>
      <c r="C4382" t="s">
        <v>1774</v>
      </c>
      <c r="G4382" s="3">
        <v>650.94616021085346</v>
      </c>
      <c r="H4382" t="s">
        <v>1755</v>
      </c>
      <c r="I4382" t="s">
        <v>7401</v>
      </c>
      <c r="M4382" t="s">
        <v>1757</v>
      </c>
    </row>
    <row r="4383" spans="1:13" x14ac:dyDescent="0.45">
      <c r="A4383" t="s">
        <v>7402</v>
      </c>
      <c r="B4383">
        <v>1</v>
      </c>
      <c r="C4383" t="s">
        <v>1774</v>
      </c>
      <c r="G4383" s="3">
        <v>539.43981779705325</v>
      </c>
      <c r="H4383" t="s">
        <v>1755</v>
      </c>
      <c r="I4383" t="s">
        <v>7402</v>
      </c>
      <c r="M4383" t="s">
        <v>1757</v>
      </c>
    </row>
    <row r="4384" spans="1:13" x14ac:dyDescent="0.45">
      <c r="A4384" t="s">
        <v>7403</v>
      </c>
      <c r="B4384">
        <v>1</v>
      </c>
      <c r="C4384" t="s">
        <v>1774</v>
      </c>
      <c r="G4384" s="3">
        <v>738.1505909209792</v>
      </c>
      <c r="H4384" t="s">
        <v>1755</v>
      </c>
      <c r="I4384" t="s">
        <v>7403</v>
      </c>
      <c r="M4384" t="s">
        <v>1757</v>
      </c>
    </row>
    <row r="4385" spans="1:13" x14ac:dyDescent="0.45">
      <c r="A4385" t="s">
        <v>7404</v>
      </c>
      <c r="B4385">
        <v>1</v>
      </c>
      <c r="C4385" t="s">
        <v>1774</v>
      </c>
      <c r="G4385" s="3">
        <v>292.3567922939572</v>
      </c>
      <c r="H4385" t="s">
        <v>1755</v>
      </c>
      <c r="I4385" t="s">
        <v>7404</v>
      </c>
      <c r="M4385" t="s">
        <v>1757</v>
      </c>
    </row>
    <row r="4386" spans="1:13" x14ac:dyDescent="0.45">
      <c r="A4386" t="s">
        <v>7405</v>
      </c>
      <c r="B4386">
        <v>1</v>
      </c>
      <c r="C4386" t="s">
        <v>1774</v>
      </c>
      <c r="G4386" s="3">
        <v>133.28967456874611</v>
      </c>
      <c r="H4386" t="s">
        <v>1755</v>
      </c>
      <c r="I4386" t="s">
        <v>7405</v>
      </c>
      <c r="M4386" t="s">
        <v>1757</v>
      </c>
    </row>
    <row r="4387" spans="1:13" x14ac:dyDescent="0.45">
      <c r="A4387" t="s">
        <v>7406</v>
      </c>
      <c r="B4387">
        <v>1</v>
      </c>
      <c r="C4387" t="s">
        <v>1774</v>
      </c>
      <c r="G4387" s="3">
        <v>128.5454038984783</v>
      </c>
      <c r="H4387" t="s">
        <v>1755</v>
      </c>
      <c r="I4387" t="s">
        <v>7406</v>
      </c>
      <c r="M4387" t="s">
        <v>1757</v>
      </c>
    </row>
    <row r="4388" spans="1:13" x14ac:dyDescent="0.45">
      <c r="A4388" t="s">
        <v>7407</v>
      </c>
      <c r="B4388">
        <v>1</v>
      </c>
      <c r="C4388" t="s">
        <v>1774</v>
      </c>
      <c r="G4388" s="3">
        <v>116.8474792552896</v>
      </c>
      <c r="H4388" t="s">
        <v>1755</v>
      </c>
      <c r="I4388" t="s">
        <v>7407</v>
      </c>
      <c r="M4388" t="s">
        <v>1757</v>
      </c>
    </row>
    <row r="4389" spans="1:13" x14ac:dyDescent="0.45">
      <c r="A4389" t="s">
        <v>7408</v>
      </c>
      <c r="B4389">
        <v>1</v>
      </c>
      <c r="C4389" t="s">
        <v>1774</v>
      </c>
      <c r="G4389" s="3">
        <v>355.0146940171208</v>
      </c>
      <c r="H4389" t="s">
        <v>1755</v>
      </c>
      <c r="I4389" t="s">
        <v>7408</v>
      </c>
      <c r="M4389" t="s">
        <v>1757</v>
      </c>
    </row>
    <row r="4390" spans="1:13" x14ac:dyDescent="0.45">
      <c r="A4390" t="s">
        <v>7409</v>
      </c>
      <c r="B4390">
        <v>1</v>
      </c>
      <c r="C4390" t="s">
        <v>1774</v>
      </c>
      <c r="G4390" s="3">
        <v>178.4222156480559</v>
      </c>
      <c r="H4390" t="s">
        <v>1755</v>
      </c>
      <c r="I4390" t="s">
        <v>7409</v>
      </c>
      <c r="M4390" t="s">
        <v>1757</v>
      </c>
    </row>
    <row r="4391" spans="1:13" x14ac:dyDescent="0.45">
      <c r="A4391" t="s">
        <v>7410</v>
      </c>
      <c r="B4391">
        <v>1</v>
      </c>
      <c r="C4391" t="s">
        <v>1774</v>
      </c>
      <c r="G4391" s="3">
        <v>106.0340907084687</v>
      </c>
      <c r="H4391" t="s">
        <v>1755</v>
      </c>
      <c r="I4391" t="s">
        <v>7410</v>
      </c>
      <c r="M4391" t="s">
        <v>1757</v>
      </c>
    </row>
    <row r="4392" spans="1:13" x14ac:dyDescent="0.45">
      <c r="A4392" t="s">
        <v>7411</v>
      </c>
      <c r="B4392">
        <v>1</v>
      </c>
      <c r="C4392" t="s">
        <v>1774</v>
      </c>
      <c r="G4392" s="3">
        <v>301.23933508469503</v>
      </c>
      <c r="H4392" t="s">
        <v>1755</v>
      </c>
      <c r="I4392" t="s">
        <v>7411</v>
      </c>
      <c r="M4392" t="s">
        <v>1757</v>
      </c>
    </row>
    <row r="4393" spans="1:13" x14ac:dyDescent="0.45">
      <c r="A4393" t="s">
        <v>7412</v>
      </c>
      <c r="B4393">
        <v>1</v>
      </c>
      <c r="C4393" t="s">
        <v>1774</v>
      </c>
      <c r="G4393" s="3">
        <v>372.72172376336277</v>
      </c>
      <c r="H4393" t="s">
        <v>1755</v>
      </c>
      <c r="I4393" t="s">
        <v>7412</v>
      </c>
      <c r="M4393" t="s">
        <v>1757</v>
      </c>
    </row>
    <row r="4394" spans="1:13" x14ac:dyDescent="0.45">
      <c r="A4394" t="s">
        <v>7413</v>
      </c>
      <c r="B4394">
        <v>1</v>
      </c>
      <c r="C4394" t="s">
        <v>1774</v>
      </c>
      <c r="G4394" s="3">
        <v>627.76948801030176</v>
      </c>
      <c r="H4394" t="s">
        <v>1755</v>
      </c>
      <c r="I4394" t="s">
        <v>7413</v>
      </c>
      <c r="M4394" t="s">
        <v>1757</v>
      </c>
    </row>
    <row r="4395" spans="1:13" x14ac:dyDescent="0.45">
      <c r="A4395" t="s">
        <v>7414</v>
      </c>
      <c r="B4395">
        <v>2</v>
      </c>
      <c r="C4395" t="s">
        <v>1774</v>
      </c>
      <c r="G4395" s="3">
        <v>318.37428654442192</v>
      </c>
      <c r="H4395" t="s">
        <v>1755</v>
      </c>
      <c r="I4395" t="s">
        <v>7414</v>
      </c>
      <c r="M4395" t="s">
        <v>1757</v>
      </c>
    </row>
    <row r="4396" spans="1:13" x14ac:dyDescent="0.45">
      <c r="A4396" t="s">
        <v>7415</v>
      </c>
      <c r="B4396">
        <v>4</v>
      </c>
      <c r="C4396" t="s">
        <v>1774</v>
      </c>
      <c r="G4396" s="3">
        <v>66.72539790966907</v>
      </c>
      <c r="H4396" t="s">
        <v>1755</v>
      </c>
      <c r="I4396" t="s">
        <v>7415</v>
      </c>
      <c r="M4396" t="s">
        <v>1757</v>
      </c>
    </row>
    <row r="4397" spans="1:13" x14ac:dyDescent="0.45">
      <c r="A4397" t="s">
        <v>7416</v>
      </c>
      <c r="B4397">
        <v>1</v>
      </c>
      <c r="C4397" t="s">
        <v>1774</v>
      </c>
      <c r="G4397" s="3">
        <v>510.53257804001828</v>
      </c>
      <c r="H4397" t="s">
        <v>1755</v>
      </c>
      <c r="I4397" t="s">
        <v>7416</v>
      </c>
      <c r="M4397" t="s">
        <v>1757</v>
      </c>
    </row>
    <row r="4398" spans="1:13" x14ac:dyDescent="0.45">
      <c r="A4398" t="s">
        <v>7417</v>
      </c>
      <c r="B4398">
        <v>2</v>
      </c>
      <c r="C4398" t="s">
        <v>1774</v>
      </c>
      <c r="G4398" s="3">
        <v>90.7115902397138</v>
      </c>
      <c r="H4398" t="s">
        <v>1755</v>
      </c>
      <c r="I4398" t="s">
        <v>7417</v>
      </c>
      <c r="M4398" t="s">
        <v>1757</v>
      </c>
    </row>
    <row r="4399" spans="1:13" x14ac:dyDescent="0.45">
      <c r="A4399" t="s">
        <v>7418</v>
      </c>
      <c r="B4399">
        <v>1</v>
      </c>
      <c r="C4399" t="s">
        <v>1774</v>
      </c>
      <c r="G4399" s="3">
        <v>139.93804617212419</v>
      </c>
      <c r="H4399" t="s">
        <v>1755</v>
      </c>
      <c r="I4399" t="s">
        <v>7418</v>
      </c>
      <c r="M4399" t="s">
        <v>1757</v>
      </c>
    </row>
    <row r="4400" spans="1:13" x14ac:dyDescent="0.45">
      <c r="A4400" t="s">
        <v>7419</v>
      </c>
      <c r="B4400">
        <v>1</v>
      </c>
      <c r="C4400" t="s">
        <v>1774</v>
      </c>
      <c r="G4400" s="3">
        <v>274.01245298565681</v>
      </c>
      <c r="H4400" t="s">
        <v>1755</v>
      </c>
      <c r="I4400" t="s">
        <v>7419</v>
      </c>
      <c r="M4400" t="s">
        <v>1757</v>
      </c>
    </row>
    <row r="4401" spans="1:13" x14ac:dyDescent="0.45">
      <c r="A4401" t="s">
        <v>7420</v>
      </c>
      <c r="B4401">
        <v>1</v>
      </c>
      <c r="C4401" t="s">
        <v>1774</v>
      </c>
      <c r="G4401" s="3">
        <v>388.77514067458088</v>
      </c>
      <c r="H4401" t="s">
        <v>1755</v>
      </c>
      <c r="I4401" t="s">
        <v>7420</v>
      </c>
      <c r="M4401" t="s">
        <v>1757</v>
      </c>
    </row>
    <row r="4402" spans="1:13" x14ac:dyDescent="0.45">
      <c r="A4402" t="s">
        <v>7421</v>
      </c>
      <c r="B4402">
        <v>1</v>
      </c>
      <c r="C4402" t="s">
        <v>1774</v>
      </c>
      <c r="G4402" s="3">
        <v>554.90615322838119</v>
      </c>
      <c r="H4402" t="s">
        <v>1755</v>
      </c>
      <c r="I4402" t="s">
        <v>7421</v>
      </c>
      <c r="M4402" t="s">
        <v>1757</v>
      </c>
    </row>
    <row r="4403" spans="1:13" x14ac:dyDescent="0.45">
      <c r="A4403" t="s">
        <v>7422</v>
      </c>
      <c r="B4403">
        <v>1</v>
      </c>
      <c r="C4403" t="s">
        <v>1774</v>
      </c>
      <c r="G4403" s="3">
        <v>263.38497357413428</v>
      </c>
      <c r="H4403" t="s">
        <v>1755</v>
      </c>
      <c r="I4403" t="s">
        <v>7422</v>
      </c>
      <c r="M4403" t="s">
        <v>1757</v>
      </c>
    </row>
    <row r="4404" spans="1:13" x14ac:dyDescent="0.45">
      <c r="A4404" t="s">
        <v>7423</v>
      </c>
      <c r="B4404">
        <v>1</v>
      </c>
      <c r="C4404" t="s">
        <v>1774</v>
      </c>
      <c r="G4404" s="3">
        <v>1357.149733934478</v>
      </c>
      <c r="H4404" t="s">
        <v>1755</v>
      </c>
      <c r="I4404" t="s">
        <v>7423</v>
      </c>
      <c r="M4404" t="s">
        <v>1757</v>
      </c>
    </row>
    <row r="4405" spans="1:13" x14ac:dyDescent="0.45">
      <c r="A4405" t="s">
        <v>7424</v>
      </c>
      <c r="B4405">
        <v>1</v>
      </c>
      <c r="C4405" t="s">
        <v>1774</v>
      </c>
      <c r="G4405" s="3">
        <v>651.41256383098846</v>
      </c>
      <c r="H4405" t="s">
        <v>1755</v>
      </c>
      <c r="I4405" t="s">
        <v>7424</v>
      </c>
      <c r="M4405" t="s">
        <v>1757</v>
      </c>
    </row>
    <row r="4406" spans="1:13" x14ac:dyDescent="0.45">
      <c r="A4406" t="s">
        <v>7425</v>
      </c>
      <c r="B4406">
        <v>1</v>
      </c>
      <c r="C4406" t="s">
        <v>1774</v>
      </c>
      <c r="G4406" s="3">
        <v>897.26597979009239</v>
      </c>
      <c r="H4406" t="s">
        <v>1755</v>
      </c>
      <c r="I4406" t="s">
        <v>7425</v>
      </c>
      <c r="M4406" t="s">
        <v>1757</v>
      </c>
    </row>
    <row r="4407" spans="1:13" x14ac:dyDescent="0.45">
      <c r="A4407" t="s">
        <v>7426</v>
      </c>
      <c r="B4407">
        <v>1</v>
      </c>
      <c r="C4407" t="s">
        <v>1774</v>
      </c>
      <c r="G4407" s="3">
        <v>371.93242532928832</v>
      </c>
      <c r="H4407" t="s">
        <v>1755</v>
      </c>
      <c r="I4407" t="s">
        <v>7426</v>
      </c>
      <c r="M4407" t="s">
        <v>1757</v>
      </c>
    </row>
    <row r="4408" spans="1:13" x14ac:dyDescent="0.45">
      <c r="A4408" t="s">
        <v>7427</v>
      </c>
      <c r="B4408">
        <v>1</v>
      </c>
      <c r="C4408" t="s">
        <v>1774</v>
      </c>
      <c r="G4408" s="3">
        <v>247.11694576637859</v>
      </c>
      <c r="H4408" t="s">
        <v>1755</v>
      </c>
      <c r="I4408" t="s">
        <v>7427</v>
      </c>
      <c r="M4408" t="s">
        <v>1757</v>
      </c>
    </row>
    <row r="4409" spans="1:13" x14ac:dyDescent="0.45">
      <c r="A4409" t="s">
        <v>7428</v>
      </c>
      <c r="B4409">
        <v>1</v>
      </c>
      <c r="C4409" t="s">
        <v>1774</v>
      </c>
      <c r="G4409" s="3">
        <v>104.4567984658305</v>
      </c>
      <c r="H4409" t="s">
        <v>1755</v>
      </c>
      <c r="I4409" t="s">
        <v>7428</v>
      </c>
      <c r="M4409" t="s">
        <v>1757</v>
      </c>
    </row>
    <row r="4410" spans="1:13" x14ac:dyDescent="0.45">
      <c r="A4410" t="s">
        <v>7429</v>
      </c>
      <c r="B4410">
        <v>1</v>
      </c>
      <c r="C4410" t="s">
        <v>1774</v>
      </c>
      <c r="G4410" s="3">
        <v>75.344732503589441</v>
      </c>
      <c r="H4410" t="s">
        <v>1755</v>
      </c>
      <c r="I4410" t="s">
        <v>7429</v>
      </c>
      <c r="M4410" t="s">
        <v>1757</v>
      </c>
    </row>
    <row r="4411" spans="1:13" x14ac:dyDescent="0.45">
      <c r="A4411" t="s">
        <v>7430</v>
      </c>
      <c r="B4411">
        <v>1</v>
      </c>
      <c r="C4411" t="s">
        <v>1774</v>
      </c>
      <c r="G4411" s="3">
        <v>1189.5412329896201</v>
      </c>
      <c r="H4411" t="s">
        <v>1755</v>
      </c>
      <c r="I4411" t="s">
        <v>7430</v>
      </c>
      <c r="M4411" t="s">
        <v>1757</v>
      </c>
    </row>
    <row r="4412" spans="1:13" x14ac:dyDescent="0.45">
      <c r="A4412" t="s">
        <v>7431</v>
      </c>
      <c r="B4412">
        <v>1</v>
      </c>
      <c r="C4412" t="s">
        <v>1774</v>
      </c>
      <c r="G4412" s="3">
        <v>849.12203687532383</v>
      </c>
      <c r="H4412" t="s">
        <v>1755</v>
      </c>
      <c r="I4412" t="s">
        <v>7431</v>
      </c>
      <c r="M4412" t="s">
        <v>1757</v>
      </c>
    </row>
    <row r="4413" spans="1:13" x14ac:dyDescent="0.45">
      <c r="A4413" t="s">
        <v>7432</v>
      </c>
      <c r="B4413">
        <v>1</v>
      </c>
      <c r="C4413" t="s">
        <v>1774</v>
      </c>
      <c r="G4413" s="3">
        <v>1967.1110837214451</v>
      </c>
      <c r="H4413" t="s">
        <v>1755</v>
      </c>
      <c r="I4413" t="s">
        <v>7432</v>
      </c>
      <c r="M4413" t="s">
        <v>1757</v>
      </c>
    </row>
    <row r="4414" spans="1:13" x14ac:dyDescent="0.45">
      <c r="A4414" t="s">
        <v>7433</v>
      </c>
      <c r="B4414">
        <v>1</v>
      </c>
      <c r="C4414" t="s">
        <v>1774</v>
      </c>
      <c r="G4414" s="3">
        <v>671.63425924942658</v>
      </c>
      <c r="H4414" t="s">
        <v>1755</v>
      </c>
      <c r="I4414" t="s">
        <v>7433</v>
      </c>
      <c r="M4414" t="s">
        <v>1757</v>
      </c>
    </row>
    <row r="4415" spans="1:13" x14ac:dyDescent="0.45">
      <c r="A4415" t="s">
        <v>7434</v>
      </c>
      <c r="B4415">
        <v>1</v>
      </c>
      <c r="C4415" t="s">
        <v>1774</v>
      </c>
      <c r="G4415" s="3">
        <v>384.83843319553978</v>
      </c>
      <c r="H4415" t="s">
        <v>1755</v>
      </c>
      <c r="I4415" t="s">
        <v>7434</v>
      </c>
      <c r="M4415" t="s">
        <v>1757</v>
      </c>
    </row>
    <row r="4416" spans="1:13" x14ac:dyDescent="0.45">
      <c r="A4416" t="s">
        <v>7435</v>
      </c>
      <c r="B4416">
        <v>1</v>
      </c>
      <c r="C4416" t="s">
        <v>1774</v>
      </c>
      <c r="G4416" s="3">
        <v>584.29936598821416</v>
      </c>
      <c r="H4416" t="s">
        <v>1755</v>
      </c>
      <c r="I4416" t="s">
        <v>7435</v>
      </c>
      <c r="M4416" t="s">
        <v>1757</v>
      </c>
    </row>
    <row r="4417" spans="1:13" x14ac:dyDescent="0.45">
      <c r="A4417" t="s">
        <v>7436</v>
      </c>
      <c r="B4417">
        <v>2</v>
      </c>
      <c r="C4417" t="s">
        <v>1774</v>
      </c>
      <c r="G4417" s="3">
        <v>236.3756377790331</v>
      </c>
      <c r="H4417" t="s">
        <v>1755</v>
      </c>
      <c r="I4417" t="s">
        <v>7436</v>
      </c>
      <c r="M4417" t="s">
        <v>1757</v>
      </c>
    </row>
    <row r="4418" spans="1:13" x14ac:dyDescent="0.45">
      <c r="A4418" t="s">
        <v>7437</v>
      </c>
      <c r="B4418">
        <v>2</v>
      </c>
      <c r="C4418" t="s">
        <v>1774</v>
      </c>
      <c r="G4418" s="3">
        <v>258.99099485353429</v>
      </c>
      <c r="H4418" t="s">
        <v>1755</v>
      </c>
      <c r="I4418" t="s">
        <v>7437</v>
      </c>
      <c r="M4418" t="s">
        <v>1757</v>
      </c>
    </row>
    <row r="4419" spans="1:13" x14ac:dyDescent="0.45">
      <c r="A4419" t="s">
        <v>7438</v>
      </c>
      <c r="B4419">
        <v>1</v>
      </c>
      <c r="C4419" t="s">
        <v>1774</v>
      </c>
      <c r="G4419" s="3">
        <v>613.77085627869906</v>
      </c>
      <c r="H4419" t="s">
        <v>1755</v>
      </c>
      <c r="I4419" t="s">
        <v>7438</v>
      </c>
      <c r="M4419" t="s">
        <v>1757</v>
      </c>
    </row>
    <row r="4420" spans="1:13" x14ac:dyDescent="0.45">
      <c r="A4420" t="s">
        <v>7439</v>
      </c>
      <c r="B4420">
        <v>1</v>
      </c>
      <c r="C4420" t="s">
        <v>1774</v>
      </c>
      <c r="G4420" s="3">
        <v>102.5977071128451</v>
      </c>
      <c r="H4420" t="s">
        <v>1755</v>
      </c>
      <c r="I4420" t="s">
        <v>7439</v>
      </c>
      <c r="M4420" t="s">
        <v>1757</v>
      </c>
    </row>
    <row r="4421" spans="1:13" x14ac:dyDescent="0.45">
      <c r="A4421" t="s">
        <v>7440</v>
      </c>
      <c r="B4421">
        <v>2</v>
      </c>
      <c r="C4421" t="s">
        <v>1774</v>
      </c>
      <c r="G4421" s="3">
        <v>494.90316441983202</v>
      </c>
      <c r="H4421" t="s">
        <v>1755</v>
      </c>
      <c r="I4421" t="s">
        <v>7440</v>
      </c>
      <c r="M4421" t="s">
        <v>1757</v>
      </c>
    </row>
    <row r="4422" spans="1:13" x14ac:dyDescent="0.45">
      <c r="A4422" t="s">
        <v>7441</v>
      </c>
      <c r="B4422">
        <v>1</v>
      </c>
      <c r="C4422" t="s">
        <v>1774</v>
      </c>
      <c r="G4422" s="3">
        <v>720.42073022829697</v>
      </c>
      <c r="H4422" t="s">
        <v>1755</v>
      </c>
      <c r="I4422" t="s">
        <v>7441</v>
      </c>
      <c r="M4422" t="s">
        <v>1757</v>
      </c>
    </row>
    <row r="4423" spans="1:13" x14ac:dyDescent="0.45">
      <c r="A4423" t="s">
        <v>7442</v>
      </c>
      <c r="B4423">
        <v>1</v>
      </c>
      <c r="C4423" t="s">
        <v>1774</v>
      </c>
      <c r="G4423" s="3">
        <v>1175.49367780136</v>
      </c>
      <c r="H4423" t="s">
        <v>1755</v>
      </c>
      <c r="I4423" t="s">
        <v>7442</v>
      </c>
      <c r="M4423" t="s">
        <v>1757</v>
      </c>
    </row>
    <row r="4424" spans="1:13" x14ac:dyDescent="0.45">
      <c r="A4424" t="s">
        <v>7443</v>
      </c>
      <c r="B4424">
        <v>1</v>
      </c>
      <c r="C4424" t="s">
        <v>1774</v>
      </c>
      <c r="G4424" s="3">
        <v>590.21258111621876</v>
      </c>
      <c r="H4424" t="s">
        <v>1755</v>
      </c>
      <c r="I4424" t="s">
        <v>7443</v>
      </c>
      <c r="M4424" t="s">
        <v>1757</v>
      </c>
    </row>
    <row r="4425" spans="1:13" x14ac:dyDescent="0.45">
      <c r="A4425" t="s">
        <v>7444</v>
      </c>
      <c r="B4425">
        <v>1</v>
      </c>
      <c r="C4425" t="s">
        <v>1774</v>
      </c>
      <c r="G4425" s="3">
        <v>107.7069467697779</v>
      </c>
      <c r="H4425" t="s">
        <v>1755</v>
      </c>
      <c r="I4425" t="s">
        <v>7444</v>
      </c>
      <c r="M4425" t="s">
        <v>1757</v>
      </c>
    </row>
    <row r="4426" spans="1:13" x14ac:dyDescent="0.45">
      <c r="A4426" t="s">
        <v>7445</v>
      </c>
      <c r="B4426">
        <v>1</v>
      </c>
      <c r="C4426" t="s">
        <v>1774</v>
      </c>
      <c r="G4426" s="3">
        <v>402.14102903341302</v>
      </c>
      <c r="H4426" t="s">
        <v>1755</v>
      </c>
      <c r="I4426" t="s">
        <v>7445</v>
      </c>
      <c r="M4426" t="s">
        <v>1757</v>
      </c>
    </row>
    <row r="4427" spans="1:13" x14ac:dyDescent="0.45">
      <c r="A4427" t="s">
        <v>7446</v>
      </c>
      <c r="B4427">
        <v>1</v>
      </c>
      <c r="C4427" t="s">
        <v>1774</v>
      </c>
      <c r="G4427" s="3">
        <v>434.18589314408308</v>
      </c>
      <c r="H4427" t="s">
        <v>1755</v>
      </c>
      <c r="I4427" t="s">
        <v>7446</v>
      </c>
      <c r="M4427" t="s">
        <v>1757</v>
      </c>
    </row>
    <row r="4428" spans="1:13" x14ac:dyDescent="0.45">
      <c r="A4428" t="s">
        <v>7447</v>
      </c>
      <c r="B4428">
        <v>1</v>
      </c>
      <c r="C4428" t="s">
        <v>1774</v>
      </c>
      <c r="G4428" s="3">
        <v>66.264212791577592</v>
      </c>
      <c r="H4428" t="s">
        <v>1755</v>
      </c>
      <c r="I4428" t="s">
        <v>7447</v>
      </c>
      <c r="M4428" t="s">
        <v>1757</v>
      </c>
    </row>
    <row r="4429" spans="1:13" x14ac:dyDescent="0.45">
      <c r="A4429" t="s">
        <v>7448</v>
      </c>
      <c r="B4429">
        <v>1</v>
      </c>
      <c r="C4429" t="s">
        <v>1774</v>
      </c>
      <c r="G4429" s="3">
        <v>582.77621570427698</v>
      </c>
      <c r="H4429" t="s">
        <v>1755</v>
      </c>
      <c r="I4429" t="s">
        <v>7448</v>
      </c>
      <c r="M4429" t="s">
        <v>1757</v>
      </c>
    </row>
    <row r="4430" spans="1:13" x14ac:dyDescent="0.45">
      <c r="A4430" t="s">
        <v>7449</v>
      </c>
      <c r="B4430">
        <v>1</v>
      </c>
      <c r="C4430" t="s">
        <v>1774</v>
      </c>
      <c r="G4430" s="3">
        <v>188.3393264689112</v>
      </c>
      <c r="H4430" t="s">
        <v>1755</v>
      </c>
      <c r="I4430" t="s">
        <v>7449</v>
      </c>
      <c r="M4430" t="s">
        <v>1757</v>
      </c>
    </row>
    <row r="4431" spans="1:13" x14ac:dyDescent="0.45">
      <c r="A4431" t="s">
        <v>7450</v>
      </c>
      <c r="B4431">
        <v>1</v>
      </c>
      <c r="C4431" t="s">
        <v>1774</v>
      </c>
      <c r="G4431" s="3">
        <v>496.47197659664948</v>
      </c>
      <c r="H4431" t="s">
        <v>1755</v>
      </c>
      <c r="I4431" t="s">
        <v>7450</v>
      </c>
      <c r="M4431" t="s">
        <v>1757</v>
      </c>
    </row>
    <row r="4432" spans="1:13" x14ac:dyDescent="0.45">
      <c r="A4432" t="s">
        <v>7451</v>
      </c>
      <c r="B4432">
        <v>1</v>
      </c>
      <c r="C4432" t="s">
        <v>1774</v>
      </c>
      <c r="G4432" s="3">
        <v>67.021221744258156</v>
      </c>
      <c r="H4432" t="s">
        <v>1755</v>
      </c>
      <c r="I4432" t="s">
        <v>7451</v>
      </c>
      <c r="M4432" t="s">
        <v>1757</v>
      </c>
    </row>
    <row r="4433" spans="1:13" x14ac:dyDescent="0.45">
      <c r="A4433" t="s">
        <v>7452</v>
      </c>
      <c r="B4433">
        <v>1</v>
      </c>
      <c r="C4433" t="s">
        <v>1774</v>
      </c>
      <c r="G4433" s="3">
        <v>453.49435070491432</v>
      </c>
      <c r="H4433" t="s">
        <v>1755</v>
      </c>
      <c r="I4433" t="s">
        <v>7452</v>
      </c>
      <c r="M4433" t="s">
        <v>1757</v>
      </c>
    </row>
    <row r="4434" spans="1:13" x14ac:dyDescent="0.45">
      <c r="A4434" t="s">
        <v>7453</v>
      </c>
      <c r="B4434">
        <v>1</v>
      </c>
      <c r="C4434" t="s">
        <v>1774</v>
      </c>
      <c r="G4434" s="3">
        <v>558.7678447405475</v>
      </c>
      <c r="H4434" t="s">
        <v>1755</v>
      </c>
      <c r="I4434" t="s">
        <v>7453</v>
      </c>
      <c r="M4434" t="s">
        <v>1757</v>
      </c>
    </row>
    <row r="4435" spans="1:13" x14ac:dyDescent="0.45">
      <c r="A4435" t="s">
        <v>7454</v>
      </c>
      <c r="B4435">
        <v>1</v>
      </c>
      <c r="C4435" t="s">
        <v>1774</v>
      </c>
      <c r="G4435" s="3">
        <v>607.39776065811395</v>
      </c>
      <c r="H4435" t="s">
        <v>1755</v>
      </c>
      <c r="I4435" t="s">
        <v>7454</v>
      </c>
      <c r="M4435" t="s">
        <v>1757</v>
      </c>
    </row>
    <row r="4436" spans="1:13" x14ac:dyDescent="0.45">
      <c r="A4436" t="s">
        <v>7455</v>
      </c>
      <c r="B4436">
        <v>1</v>
      </c>
      <c r="C4436" t="s">
        <v>1774</v>
      </c>
      <c r="G4436" s="3">
        <v>1115.4450270999309</v>
      </c>
      <c r="H4436" t="s">
        <v>1755</v>
      </c>
      <c r="I4436" t="s">
        <v>7455</v>
      </c>
      <c r="M4436" t="s">
        <v>1757</v>
      </c>
    </row>
    <row r="4437" spans="1:13" x14ac:dyDescent="0.45">
      <c r="A4437" t="s">
        <v>7456</v>
      </c>
      <c r="B4437">
        <v>1</v>
      </c>
      <c r="C4437" t="s">
        <v>1774</v>
      </c>
      <c r="G4437" s="3">
        <v>2070.153668133496</v>
      </c>
      <c r="H4437" t="s">
        <v>1755</v>
      </c>
      <c r="I4437" t="s">
        <v>7456</v>
      </c>
      <c r="M4437" t="s">
        <v>1757</v>
      </c>
    </row>
    <row r="4438" spans="1:13" x14ac:dyDescent="0.45">
      <c r="A4438" t="s">
        <v>7457</v>
      </c>
      <c r="B4438">
        <v>1</v>
      </c>
      <c r="C4438" t="s">
        <v>1774</v>
      </c>
      <c r="G4438" s="3">
        <v>1261.83053254676</v>
      </c>
      <c r="H4438" t="s">
        <v>1755</v>
      </c>
      <c r="I4438" t="s">
        <v>7457</v>
      </c>
      <c r="M4438" t="s">
        <v>1757</v>
      </c>
    </row>
    <row r="4439" spans="1:13" x14ac:dyDescent="0.45">
      <c r="A4439" t="s">
        <v>7458</v>
      </c>
      <c r="B4439">
        <v>1</v>
      </c>
      <c r="C4439" t="s">
        <v>1774</v>
      </c>
      <c r="G4439" s="3">
        <v>125.9149527121928</v>
      </c>
      <c r="H4439" t="s">
        <v>1755</v>
      </c>
      <c r="I4439" t="s">
        <v>7458</v>
      </c>
      <c r="M4439" t="s">
        <v>1757</v>
      </c>
    </row>
    <row r="4440" spans="1:13" x14ac:dyDescent="0.45">
      <c r="A4440" t="s">
        <v>7459</v>
      </c>
      <c r="B4440">
        <v>1</v>
      </c>
      <c r="C4440" t="s">
        <v>1774</v>
      </c>
      <c r="G4440" s="3">
        <v>188.37259441943829</v>
      </c>
      <c r="H4440" t="s">
        <v>1755</v>
      </c>
      <c r="I4440" t="s">
        <v>7459</v>
      </c>
      <c r="M4440" t="s">
        <v>1757</v>
      </c>
    </row>
    <row r="4441" spans="1:13" x14ac:dyDescent="0.45">
      <c r="A4441" t="s">
        <v>7460</v>
      </c>
      <c r="B4441">
        <v>1</v>
      </c>
      <c r="C4441" t="s">
        <v>1774</v>
      </c>
      <c r="G4441" s="3">
        <v>624.1719831640861</v>
      </c>
      <c r="H4441" t="s">
        <v>1755</v>
      </c>
      <c r="I4441" t="s">
        <v>7460</v>
      </c>
      <c r="M4441" t="s">
        <v>1757</v>
      </c>
    </row>
    <row r="4442" spans="1:13" x14ac:dyDescent="0.45">
      <c r="A4442" t="s">
        <v>7461</v>
      </c>
      <c r="B4442">
        <v>1</v>
      </c>
      <c r="C4442" t="s">
        <v>1774</v>
      </c>
      <c r="G4442" s="3">
        <v>1045.419252804146</v>
      </c>
      <c r="H4442" t="s">
        <v>1755</v>
      </c>
      <c r="I4442" t="s">
        <v>7461</v>
      </c>
      <c r="M4442" t="s">
        <v>1757</v>
      </c>
    </row>
    <row r="4443" spans="1:13" x14ac:dyDescent="0.45">
      <c r="A4443" t="s">
        <v>7462</v>
      </c>
      <c r="B4443">
        <v>3</v>
      </c>
      <c r="C4443" t="s">
        <v>1774</v>
      </c>
      <c r="G4443" s="3">
        <v>209.49285065848599</v>
      </c>
      <c r="H4443" t="s">
        <v>1755</v>
      </c>
      <c r="I4443" t="s">
        <v>7462</v>
      </c>
      <c r="M4443" t="s">
        <v>1757</v>
      </c>
    </row>
    <row r="4444" spans="1:13" x14ac:dyDescent="0.45">
      <c r="A4444" t="s">
        <v>7463</v>
      </c>
      <c r="B4444">
        <v>1</v>
      </c>
      <c r="C4444" t="s">
        <v>1774</v>
      </c>
      <c r="G4444" s="3">
        <v>691.86900092297321</v>
      </c>
      <c r="H4444" t="s">
        <v>1755</v>
      </c>
      <c r="I4444" t="s">
        <v>7463</v>
      </c>
      <c r="M4444" t="s">
        <v>1757</v>
      </c>
    </row>
    <row r="4445" spans="1:13" x14ac:dyDescent="0.45">
      <c r="A4445" t="s">
        <v>7464</v>
      </c>
      <c r="B4445">
        <v>1</v>
      </c>
      <c r="C4445" t="s">
        <v>1774</v>
      </c>
      <c r="G4445" s="3">
        <v>1110.6276974010541</v>
      </c>
      <c r="H4445" t="s">
        <v>1755</v>
      </c>
      <c r="I4445" t="s">
        <v>7464</v>
      </c>
      <c r="M4445" t="s">
        <v>1757</v>
      </c>
    </row>
    <row r="4446" spans="1:13" x14ac:dyDescent="0.45">
      <c r="A4446" t="s">
        <v>7465</v>
      </c>
      <c r="B4446">
        <v>1</v>
      </c>
      <c r="C4446" t="s">
        <v>1774</v>
      </c>
      <c r="G4446" s="3">
        <v>465.96983215257973</v>
      </c>
      <c r="H4446" t="s">
        <v>1755</v>
      </c>
      <c r="I4446" t="s">
        <v>7465</v>
      </c>
      <c r="M4446" t="s">
        <v>1757</v>
      </c>
    </row>
    <row r="4447" spans="1:13" x14ac:dyDescent="0.45">
      <c r="A4447" t="s">
        <v>7466</v>
      </c>
      <c r="B4447">
        <v>1</v>
      </c>
      <c r="C4447" t="s">
        <v>1774</v>
      </c>
      <c r="G4447" s="3">
        <v>1020.5530905670209</v>
      </c>
      <c r="H4447" t="s">
        <v>1755</v>
      </c>
      <c r="I4447" t="s">
        <v>7466</v>
      </c>
      <c r="M4447" t="s">
        <v>1757</v>
      </c>
    </row>
    <row r="4448" spans="1:13" x14ac:dyDescent="0.45">
      <c r="A4448" t="s">
        <v>7467</v>
      </c>
      <c r="B4448">
        <v>2</v>
      </c>
      <c r="C4448" t="s">
        <v>1774</v>
      </c>
      <c r="G4448" s="3">
        <v>921.50918334577796</v>
      </c>
      <c r="H4448" t="s">
        <v>1755</v>
      </c>
      <c r="I4448" t="s">
        <v>7467</v>
      </c>
      <c r="M4448" t="s">
        <v>1757</v>
      </c>
    </row>
    <row r="4449" spans="1:13" x14ac:dyDescent="0.45">
      <c r="A4449" t="s">
        <v>7468</v>
      </c>
      <c r="B4449">
        <v>1</v>
      </c>
      <c r="C4449" t="s">
        <v>1774</v>
      </c>
      <c r="G4449" s="3">
        <v>279.99318248384861</v>
      </c>
      <c r="H4449" t="s">
        <v>1755</v>
      </c>
      <c r="I4449" t="s">
        <v>7468</v>
      </c>
      <c r="M4449" t="s">
        <v>1757</v>
      </c>
    </row>
    <row r="4450" spans="1:13" x14ac:dyDescent="0.45">
      <c r="A4450" t="s">
        <v>7469</v>
      </c>
      <c r="B4450">
        <v>1</v>
      </c>
      <c r="C4450" t="s">
        <v>1774</v>
      </c>
      <c r="G4450" s="3">
        <v>2092.1855314482618</v>
      </c>
      <c r="H4450" t="s">
        <v>1755</v>
      </c>
      <c r="I4450" t="s">
        <v>7469</v>
      </c>
      <c r="M4450" t="s">
        <v>1757</v>
      </c>
    </row>
    <row r="4451" spans="1:13" x14ac:dyDescent="0.45">
      <c r="A4451" t="s">
        <v>7470</v>
      </c>
      <c r="B4451">
        <v>1</v>
      </c>
      <c r="C4451" t="s">
        <v>1774</v>
      </c>
      <c r="G4451" s="3">
        <v>61.602133528494463</v>
      </c>
      <c r="H4451" t="s">
        <v>1755</v>
      </c>
      <c r="I4451" t="s">
        <v>7470</v>
      </c>
      <c r="M4451" t="s">
        <v>1757</v>
      </c>
    </row>
    <row r="4452" spans="1:13" x14ac:dyDescent="0.45">
      <c r="A4452" t="s">
        <v>7471</v>
      </c>
      <c r="B4452">
        <v>1</v>
      </c>
      <c r="C4452" t="s">
        <v>1774</v>
      </c>
      <c r="G4452" s="3">
        <v>218.22177379531919</v>
      </c>
      <c r="H4452" t="s">
        <v>1755</v>
      </c>
      <c r="I4452" t="s">
        <v>7471</v>
      </c>
      <c r="M4452" t="s">
        <v>1757</v>
      </c>
    </row>
    <row r="4453" spans="1:13" x14ac:dyDescent="0.45">
      <c r="A4453" t="s">
        <v>7472</v>
      </c>
      <c r="B4453">
        <v>1</v>
      </c>
      <c r="C4453" t="s">
        <v>1774</v>
      </c>
      <c r="G4453" s="3">
        <v>150.30949282713891</v>
      </c>
      <c r="H4453" t="s">
        <v>1755</v>
      </c>
      <c r="I4453" t="s">
        <v>7472</v>
      </c>
      <c r="M4453" t="s">
        <v>1757</v>
      </c>
    </row>
    <row r="4454" spans="1:13" x14ac:dyDescent="0.45">
      <c r="A4454" t="s">
        <v>7473</v>
      </c>
      <c r="B4454">
        <v>1</v>
      </c>
      <c r="C4454" t="s">
        <v>1774</v>
      </c>
      <c r="G4454" s="3">
        <v>462.52888236766807</v>
      </c>
      <c r="H4454" t="s">
        <v>1755</v>
      </c>
      <c r="I4454" t="s">
        <v>7473</v>
      </c>
      <c r="M4454" t="s">
        <v>1757</v>
      </c>
    </row>
    <row r="4455" spans="1:13" x14ac:dyDescent="0.45">
      <c r="A4455" t="s">
        <v>7474</v>
      </c>
      <c r="B4455">
        <v>1</v>
      </c>
      <c r="C4455" t="s">
        <v>1774</v>
      </c>
      <c r="G4455" s="3">
        <v>271.21468357760239</v>
      </c>
      <c r="H4455" t="s">
        <v>1755</v>
      </c>
      <c r="I4455" t="s">
        <v>7474</v>
      </c>
      <c r="M4455" t="s">
        <v>1757</v>
      </c>
    </row>
    <row r="4456" spans="1:13" x14ac:dyDescent="0.45">
      <c r="A4456" t="s">
        <v>7475</v>
      </c>
      <c r="B4456">
        <v>1</v>
      </c>
      <c r="C4456" t="s">
        <v>1774</v>
      </c>
      <c r="G4456" s="3">
        <v>1834.2251907483119</v>
      </c>
      <c r="H4456" t="s">
        <v>1755</v>
      </c>
      <c r="I4456" t="s">
        <v>7475</v>
      </c>
      <c r="M4456" t="s">
        <v>1757</v>
      </c>
    </row>
    <row r="4457" spans="1:13" x14ac:dyDescent="0.45">
      <c r="A4457" t="s">
        <v>7476</v>
      </c>
      <c r="B4457">
        <v>1</v>
      </c>
      <c r="C4457" t="s">
        <v>1774</v>
      </c>
      <c r="G4457" s="3">
        <v>240.7461332404375</v>
      </c>
      <c r="H4457" t="s">
        <v>1755</v>
      </c>
      <c r="I4457" t="s">
        <v>7476</v>
      </c>
      <c r="M4457" t="s">
        <v>1757</v>
      </c>
    </row>
    <row r="4458" spans="1:13" x14ac:dyDescent="0.45">
      <c r="A4458" t="s">
        <v>7477</v>
      </c>
      <c r="B4458">
        <v>1</v>
      </c>
      <c r="C4458" t="s">
        <v>1774</v>
      </c>
      <c r="G4458" s="3">
        <v>619.83410334045334</v>
      </c>
      <c r="H4458" t="s">
        <v>1755</v>
      </c>
      <c r="I4458" t="s">
        <v>7477</v>
      </c>
      <c r="M4458" t="s">
        <v>1757</v>
      </c>
    </row>
    <row r="4459" spans="1:13" x14ac:dyDescent="0.45">
      <c r="A4459" t="s">
        <v>7478</v>
      </c>
      <c r="B4459">
        <v>1</v>
      </c>
      <c r="C4459" t="s">
        <v>1774</v>
      </c>
      <c r="G4459" s="3">
        <v>305.84140157427828</v>
      </c>
      <c r="H4459" t="s">
        <v>1755</v>
      </c>
      <c r="I4459" t="s">
        <v>7478</v>
      </c>
      <c r="M4459" t="s">
        <v>1757</v>
      </c>
    </row>
    <row r="4460" spans="1:13" x14ac:dyDescent="0.45">
      <c r="A4460" t="s">
        <v>7479</v>
      </c>
      <c r="B4460">
        <v>4</v>
      </c>
      <c r="C4460" t="s">
        <v>1774</v>
      </c>
      <c r="G4460" s="3">
        <v>101.5210649100021</v>
      </c>
      <c r="H4460" t="s">
        <v>1755</v>
      </c>
      <c r="I4460" t="s">
        <v>7479</v>
      </c>
      <c r="M4460" t="s">
        <v>1757</v>
      </c>
    </row>
    <row r="4461" spans="1:13" x14ac:dyDescent="0.45">
      <c r="A4461" t="s">
        <v>7480</v>
      </c>
      <c r="B4461">
        <v>1</v>
      </c>
      <c r="C4461" t="s">
        <v>1774</v>
      </c>
      <c r="G4461" s="3">
        <v>1338.7642989225851</v>
      </c>
      <c r="H4461" t="s">
        <v>1755</v>
      </c>
      <c r="I4461" t="s">
        <v>7480</v>
      </c>
      <c r="M4461" t="s">
        <v>1757</v>
      </c>
    </row>
    <row r="4462" spans="1:13" x14ac:dyDescent="0.45">
      <c r="A4462" t="s">
        <v>7481</v>
      </c>
      <c r="B4462">
        <v>1</v>
      </c>
      <c r="C4462" t="s">
        <v>1774</v>
      </c>
      <c r="G4462" s="3">
        <v>600.51912265206784</v>
      </c>
      <c r="H4462" t="s">
        <v>1755</v>
      </c>
      <c r="I4462" t="s">
        <v>7481</v>
      </c>
      <c r="M4462" t="s">
        <v>1757</v>
      </c>
    </row>
    <row r="4463" spans="1:13" x14ac:dyDescent="0.45">
      <c r="A4463" t="s">
        <v>7482</v>
      </c>
      <c r="B4463">
        <v>1</v>
      </c>
      <c r="C4463" t="s">
        <v>1774</v>
      </c>
      <c r="G4463" s="3">
        <v>1433.52251134063</v>
      </c>
      <c r="H4463" t="s">
        <v>1755</v>
      </c>
      <c r="I4463" t="s">
        <v>7482</v>
      </c>
      <c r="M4463" t="s">
        <v>1757</v>
      </c>
    </row>
    <row r="4464" spans="1:13" x14ac:dyDescent="0.45">
      <c r="A4464" t="s">
        <v>7483</v>
      </c>
      <c r="B4464">
        <v>1</v>
      </c>
      <c r="C4464" t="s">
        <v>1774</v>
      </c>
      <c r="G4464" s="3">
        <v>427.1311306940699</v>
      </c>
      <c r="H4464" t="s">
        <v>1755</v>
      </c>
      <c r="I4464" t="s">
        <v>7483</v>
      </c>
      <c r="M4464" t="s">
        <v>1757</v>
      </c>
    </row>
    <row r="4465" spans="1:13" x14ac:dyDescent="0.45">
      <c r="A4465" t="s">
        <v>7484</v>
      </c>
      <c r="B4465">
        <v>3</v>
      </c>
      <c r="C4465" t="s">
        <v>1774</v>
      </c>
      <c r="G4465" s="3">
        <v>191.19678249408761</v>
      </c>
      <c r="H4465" t="s">
        <v>1755</v>
      </c>
      <c r="I4465" t="s">
        <v>7484</v>
      </c>
      <c r="M4465" t="s">
        <v>1757</v>
      </c>
    </row>
    <row r="4466" spans="1:13" x14ac:dyDescent="0.45">
      <c r="A4466" t="s">
        <v>7485</v>
      </c>
      <c r="B4466">
        <v>1</v>
      </c>
      <c r="C4466" t="s">
        <v>1774</v>
      </c>
      <c r="G4466" s="3">
        <v>411.36799295901972</v>
      </c>
      <c r="H4466" t="s">
        <v>1755</v>
      </c>
      <c r="I4466" t="s">
        <v>7485</v>
      </c>
      <c r="M4466" t="s">
        <v>1757</v>
      </c>
    </row>
    <row r="4467" spans="1:13" x14ac:dyDescent="0.45">
      <c r="A4467" t="s">
        <v>7486</v>
      </c>
      <c r="B4467">
        <v>1</v>
      </c>
      <c r="C4467" t="s">
        <v>1774</v>
      </c>
      <c r="G4467" s="3">
        <v>138.30595965802959</v>
      </c>
      <c r="H4467" t="s">
        <v>1755</v>
      </c>
      <c r="I4467" t="s">
        <v>7486</v>
      </c>
      <c r="M4467" t="s">
        <v>1757</v>
      </c>
    </row>
    <row r="4468" spans="1:13" x14ac:dyDescent="0.45">
      <c r="A4468" t="s">
        <v>7487</v>
      </c>
      <c r="B4468">
        <v>1</v>
      </c>
      <c r="C4468" t="s">
        <v>1774</v>
      </c>
      <c r="G4468" s="3">
        <v>472.11461830876323</v>
      </c>
      <c r="H4468" t="s">
        <v>1755</v>
      </c>
      <c r="I4468" t="s">
        <v>7487</v>
      </c>
      <c r="M4468" t="s">
        <v>1757</v>
      </c>
    </row>
    <row r="4469" spans="1:13" x14ac:dyDescent="0.45">
      <c r="A4469" t="s">
        <v>7488</v>
      </c>
      <c r="B4469">
        <v>1</v>
      </c>
      <c r="C4469" t="s">
        <v>1774</v>
      </c>
      <c r="G4469" s="3">
        <v>115.5092596375178</v>
      </c>
      <c r="H4469" t="s">
        <v>1755</v>
      </c>
      <c r="I4469" t="s">
        <v>7488</v>
      </c>
      <c r="M4469" t="s">
        <v>1757</v>
      </c>
    </row>
    <row r="4470" spans="1:13" x14ac:dyDescent="0.45">
      <c r="A4470" t="s">
        <v>7489</v>
      </c>
      <c r="B4470">
        <v>1</v>
      </c>
      <c r="C4470" t="s">
        <v>1774</v>
      </c>
      <c r="G4470" s="3">
        <v>1523.642780067544</v>
      </c>
      <c r="H4470" t="s">
        <v>1755</v>
      </c>
      <c r="I4470" t="s">
        <v>7489</v>
      </c>
      <c r="M4470" t="s">
        <v>1757</v>
      </c>
    </row>
    <row r="4471" spans="1:13" x14ac:dyDescent="0.45">
      <c r="A4471" t="s">
        <v>7490</v>
      </c>
      <c r="B4471">
        <v>1</v>
      </c>
      <c r="C4471" t="s">
        <v>1774</v>
      </c>
      <c r="G4471" s="3">
        <v>626.51378595609231</v>
      </c>
      <c r="H4471" t="s">
        <v>1755</v>
      </c>
      <c r="I4471" t="s">
        <v>7490</v>
      </c>
      <c r="M4471" t="s">
        <v>1757</v>
      </c>
    </row>
    <row r="4472" spans="1:13" x14ac:dyDescent="0.45">
      <c r="A4472" t="s">
        <v>7491</v>
      </c>
      <c r="B4472">
        <v>1</v>
      </c>
      <c r="C4472" t="s">
        <v>1774</v>
      </c>
      <c r="G4472" s="3">
        <v>469.56733699879538</v>
      </c>
      <c r="H4472" t="s">
        <v>1755</v>
      </c>
      <c r="I4472" t="s">
        <v>7491</v>
      </c>
      <c r="M4472" t="s">
        <v>1757</v>
      </c>
    </row>
    <row r="4473" spans="1:13" x14ac:dyDescent="0.45">
      <c r="A4473" t="s">
        <v>7492</v>
      </c>
      <c r="B4473">
        <v>1</v>
      </c>
      <c r="C4473" t="s">
        <v>1774</v>
      </c>
      <c r="G4473" s="3">
        <v>245.2996024297409</v>
      </c>
      <c r="H4473" t="s">
        <v>1755</v>
      </c>
      <c r="I4473" t="s">
        <v>7492</v>
      </c>
      <c r="M4473" t="s">
        <v>1757</v>
      </c>
    </row>
    <row r="4474" spans="1:13" x14ac:dyDescent="0.45">
      <c r="A4474" t="s">
        <v>7493</v>
      </c>
      <c r="B4474">
        <v>1</v>
      </c>
      <c r="C4474" t="s">
        <v>1774</v>
      </c>
      <c r="G4474" s="3">
        <v>512.77327235493237</v>
      </c>
      <c r="H4474" t="s">
        <v>1755</v>
      </c>
      <c r="I4474" t="s">
        <v>7493</v>
      </c>
      <c r="M4474" t="s">
        <v>1757</v>
      </c>
    </row>
    <row r="4475" spans="1:13" x14ac:dyDescent="0.45">
      <c r="A4475" t="s">
        <v>7494</v>
      </c>
      <c r="B4475">
        <v>1</v>
      </c>
      <c r="C4475" t="s">
        <v>1774</v>
      </c>
      <c r="G4475" s="3">
        <v>217.8404969897683</v>
      </c>
      <c r="H4475" t="s">
        <v>1755</v>
      </c>
      <c r="I4475" t="s">
        <v>7494</v>
      </c>
      <c r="M4475" t="s">
        <v>1757</v>
      </c>
    </row>
    <row r="4476" spans="1:13" x14ac:dyDescent="0.45">
      <c r="A4476" t="s">
        <v>7495</v>
      </c>
      <c r="B4476">
        <v>1</v>
      </c>
      <c r="C4476" t="s">
        <v>1774</v>
      </c>
      <c r="G4476" s="3">
        <v>616.55949330817725</v>
      </c>
      <c r="H4476" t="s">
        <v>1755</v>
      </c>
      <c r="I4476" t="s">
        <v>7495</v>
      </c>
      <c r="M4476" t="s">
        <v>1757</v>
      </c>
    </row>
    <row r="4477" spans="1:13" x14ac:dyDescent="0.45">
      <c r="A4477" t="s">
        <v>7496</v>
      </c>
      <c r="B4477">
        <v>1</v>
      </c>
      <c r="C4477" t="s">
        <v>1774</v>
      </c>
      <c r="G4477" s="3">
        <v>619.6514557689319</v>
      </c>
      <c r="H4477" t="s">
        <v>1755</v>
      </c>
      <c r="I4477" t="s">
        <v>7496</v>
      </c>
      <c r="M4477" t="s">
        <v>1757</v>
      </c>
    </row>
    <row r="4478" spans="1:13" x14ac:dyDescent="0.45">
      <c r="A4478" t="s">
        <v>7497</v>
      </c>
      <c r="B4478">
        <v>3</v>
      </c>
      <c r="C4478" t="s">
        <v>1774</v>
      </c>
      <c r="G4478" s="3">
        <v>812.14894989735387</v>
      </c>
      <c r="H4478" t="s">
        <v>1755</v>
      </c>
      <c r="I4478" t="s">
        <v>7497</v>
      </c>
      <c r="M4478" t="s">
        <v>1757</v>
      </c>
    </row>
    <row r="4479" spans="1:13" x14ac:dyDescent="0.45">
      <c r="A4479" t="s">
        <v>7498</v>
      </c>
      <c r="B4479">
        <v>2</v>
      </c>
      <c r="C4479" t="s">
        <v>1774</v>
      </c>
      <c r="G4479" s="3">
        <v>281.06819390480302</v>
      </c>
      <c r="H4479" t="s">
        <v>1755</v>
      </c>
      <c r="I4479" t="s">
        <v>7498</v>
      </c>
      <c r="M4479" t="s">
        <v>1757</v>
      </c>
    </row>
    <row r="4480" spans="1:13" x14ac:dyDescent="0.45">
      <c r="A4480" t="s">
        <v>7499</v>
      </c>
      <c r="B4480">
        <v>1</v>
      </c>
      <c r="C4480" t="s">
        <v>1774</v>
      </c>
      <c r="G4480" s="3">
        <v>196.80862912908179</v>
      </c>
      <c r="H4480" t="s">
        <v>1755</v>
      </c>
      <c r="I4480" t="s">
        <v>7499</v>
      </c>
      <c r="M4480" t="s">
        <v>1757</v>
      </c>
    </row>
    <row r="4481" spans="1:13" x14ac:dyDescent="0.45">
      <c r="A4481" t="s">
        <v>7500</v>
      </c>
      <c r="B4481">
        <v>1</v>
      </c>
      <c r="C4481" t="s">
        <v>1774</v>
      </c>
      <c r="G4481" s="3">
        <v>321.08725529426971</v>
      </c>
      <c r="H4481" t="s">
        <v>1755</v>
      </c>
      <c r="I4481" t="s">
        <v>7500</v>
      </c>
      <c r="M4481" t="s">
        <v>1757</v>
      </c>
    </row>
    <row r="4482" spans="1:13" x14ac:dyDescent="0.45">
      <c r="A4482" t="s">
        <v>7501</v>
      </c>
      <c r="B4482">
        <v>2</v>
      </c>
      <c r="C4482" t="s">
        <v>1774</v>
      </c>
      <c r="G4482" s="3">
        <v>310.26408205611727</v>
      </c>
      <c r="H4482" t="s">
        <v>1755</v>
      </c>
      <c r="I4482" t="s">
        <v>7501</v>
      </c>
      <c r="M4482" t="s">
        <v>1757</v>
      </c>
    </row>
    <row r="4483" spans="1:13" x14ac:dyDescent="0.45">
      <c r="A4483" t="s">
        <v>7502</v>
      </c>
      <c r="B4483">
        <v>2</v>
      </c>
      <c r="C4483" t="s">
        <v>1774</v>
      </c>
      <c r="G4483" s="3">
        <v>82.448418410260118</v>
      </c>
      <c r="H4483" t="s">
        <v>1755</v>
      </c>
      <c r="I4483" t="s">
        <v>7502</v>
      </c>
      <c r="M4483" t="s">
        <v>1757</v>
      </c>
    </row>
    <row r="4484" spans="1:13" x14ac:dyDescent="0.45">
      <c r="A4484" t="s">
        <v>7503</v>
      </c>
      <c r="B4484">
        <v>2</v>
      </c>
      <c r="C4484" t="s">
        <v>1774</v>
      </c>
      <c r="G4484" s="3">
        <v>88.617013982016886</v>
      </c>
      <c r="H4484" t="s">
        <v>1755</v>
      </c>
      <c r="I4484" t="s">
        <v>7503</v>
      </c>
      <c r="M4484" t="s">
        <v>1757</v>
      </c>
    </row>
    <row r="4485" spans="1:13" x14ac:dyDescent="0.45">
      <c r="A4485" t="s">
        <v>7504</v>
      </c>
      <c r="B4485">
        <v>1</v>
      </c>
      <c r="C4485" t="s">
        <v>1774</v>
      </c>
      <c r="G4485" s="3">
        <v>527.53511001039215</v>
      </c>
      <c r="H4485" t="s">
        <v>1755</v>
      </c>
      <c r="I4485" t="s">
        <v>7504</v>
      </c>
      <c r="M4485" t="s">
        <v>1757</v>
      </c>
    </row>
    <row r="4486" spans="1:13" x14ac:dyDescent="0.45">
      <c r="A4486" t="s">
        <v>7505</v>
      </c>
      <c r="B4486">
        <v>1</v>
      </c>
      <c r="C4486" t="s">
        <v>1774</v>
      </c>
      <c r="G4486" s="3">
        <v>171.27188937937169</v>
      </c>
      <c r="H4486" t="s">
        <v>1755</v>
      </c>
      <c r="I4486" t="s">
        <v>7505</v>
      </c>
      <c r="M4486" t="s">
        <v>1757</v>
      </c>
    </row>
    <row r="4487" spans="1:13" x14ac:dyDescent="0.45">
      <c r="A4487" t="s">
        <v>7506</v>
      </c>
      <c r="B4487">
        <v>2</v>
      </c>
      <c r="C4487" t="s">
        <v>1774</v>
      </c>
      <c r="G4487" s="3">
        <v>1112.9140536088489</v>
      </c>
      <c r="H4487" t="s">
        <v>1755</v>
      </c>
      <c r="I4487" t="s">
        <v>7506</v>
      </c>
      <c r="M4487" t="s">
        <v>1757</v>
      </c>
    </row>
    <row r="4488" spans="1:13" x14ac:dyDescent="0.45">
      <c r="A4488" t="s">
        <v>7507</v>
      </c>
      <c r="B4488">
        <v>1</v>
      </c>
      <c r="C4488" t="s">
        <v>1774</v>
      </c>
      <c r="G4488" s="3">
        <v>517.04265933924455</v>
      </c>
      <c r="H4488" t="s">
        <v>1755</v>
      </c>
      <c r="I4488" t="s">
        <v>7507</v>
      </c>
      <c r="M4488" t="s">
        <v>1757</v>
      </c>
    </row>
    <row r="4489" spans="1:13" x14ac:dyDescent="0.45">
      <c r="A4489" t="s">
        <v>7508</v>
      </c>
      <c r="B4489">
        <v>1</v>
      </c>
      <c r="C4489" t="s">
        <v>1774</v>
      </c>
      <c r="G4489" s="3">
        <v>320.23598714842899</v>
      </c>
      <c r="H4489" t="s">
        <v>1755</v>
      </c>
      <c r="I4489" t="s">
        <v>7508</v>
      </c>
      <c r="M4489" t="s">
        <v>1757</v>
      </c>
    </row>
    <row r="4490" spans="1:13" x14ac:dyDescent="0.45">
      <c r="A4490" t="s">
        <v>7509</v>
      </c>
      <c r="B4490">
        <v>1</v>
      </c>
      <c r="C4490" t="s">
        <v>1774</v>
      </c>
      <c r="G4490" s="3">
        <v>858.26420014272412</v>
      </c>
      <c r="H4490" t="s">
        <v>1755</v>
      </c>
      <c r="I4490" t="s">
        <v>7509</v>
      </c>
      <c r="M4490" t="s">
        <v>1757</v>
      </c>
    </row>
    <row r="4491" spans="1:13" x14ac:dyDescent="0.45">
      <c r="A4491" t="s">
        <v>7510</v>
      </c>
      <c r="B4491">
        <v>2</v>
      </c>
      <c r="C4491" t="s">
        <v>1774</v>
      </c>
      <c r="G4491" s="3">
        <v>194.75351779308861</v>
      </c>
      <c r="H4491" t="s">
        <v>1755</v>
      </c>
      <c r="I4491" t="s">
        <v>7510</v>
      </c>
      <c r="M4491" t="s">
        <v>1757</v>
      </c>
    </row>
    <row r="4492" spans="1:13" x14ac:dyDescent="0.45">
      <c r="A4492" t="s">
        <v>7511</v>
      </c>
      <c r="B4492">
        <v>1</v>
      </c>
      <c r="C4492" t="s">
        <v>1774</v>
      </c>
      <c r="G4492" s="3">
        <v>208.4993783319608</v>
      </c>
      <c r="H4492" t="s">
        <v>1755</v>
      </c>
      <c r="I4492" t="s">
        <v>7511</v>
      </c>
      <c r="M4492" t="s">
        <v>1757</v>
      </c>
    </row>
    <row r="4493" spans="1:13" x14ac:dyDescent="0.45">
      <c r="A4493" t="s">
        <v>7512</v>
      </c>
      <c r="B4493">
        <v>1</v>
      </c>
      <c r="C4493" t="s">
        <v>1774</v>
      </c>
      <c r="G4493" s="3">
        <v>136.05548065178399</v>
      </c>
      <c r="H4493" t="s">
        <v>1755</v>
      </c>
      <c r="I4493" t="s">
        <v>7512</v>
      </c>
      <c r="M4493" t="s">
        <v>1757</v>
      </c>
    </row>
    <row r="4494" spans="1:13" x14ac:dyDescent="0.45">
      <c r="A4494" t="s">
        <v>7513</v>
      </c>
      <c r="B4494">
        <v>2</v>
      </c>
      <c r="C4494" t="s">
        <v>1774</v>
      </c>
      <c r="G4494" s="3">
        <v>89.700831625169627</v>
      </c>
      <c r="H4494" t="s">
        <v>1755</v>
      </c>
      <c r="I4494" t="s">
        <v>7513</v>
      </c>
      <c r="M4494" t="s">
        <v>1757</v>
      </c>
    </row>
    <row r="4495" spans="1:13" x14ac:dyDescent="0.45">
      <c r="A4495" t="s">
        <v>7514</v>
      </c>
      <c r="B4495">
        <v>1</v>
      </c>
      <c r="C4495" t="s">
        <v>1774</v>
      </c>
      <c r="G4495" s="3">
        <v>464.73369948103323</v>
      </c>
      <c r="H4495" t="s">
        <v>1755</v>
      </c>
      <c r="I4495" t="s">
        <v>7514</v>
      </c>
      <c r="M4495" t="s">
        <v>1757</v>
      </c>
    </row>
    <row r="4496" spans="1:13" x14ac:dyDescent="0.45">
      <c r="A4496" t="s">
        <v>7515</v>
      </c>
      <c r="B4496">
        <v>1</v>
      </c>
      <c r="C4496" t="s">
        <v>1774</v>
      </c>
      <c r="G4496" s="3">
        <v>736.24583767511342</v>
      </c>
      <c r="H4496" t="s">
        <v>1755</v>
      </c>
      <c r="I4496" t="s">
        <v>7515</v>
      </c>
      <c r="M4496" t="s">
        <v>1757</v>
      </c>
    </row>
    <row r="4497" spans="1:13" x14ac:dyDescent="0.45">
      <c r="A4497" t="s">
        <v>7516</v>
      </c>
      <c r="B4497">
        <v>1</v>
      </c>
      <c r="C4497" t="s">
        <v>1774</v>
      </c>
      <c r="G4497" s="3">
        <v>816.98584897889316</v>
      </c>
      <c r="H4497" t="s">
        <v>1755</v>
      </c>
      <c r="I4497" t="s">
        <v>7516</v>
      </c>
      <c r="M4497" t="s">
        <v>1757</v>
      </c>
    </row>
    <row r="4498" spans="1:13" x14ac:dyDescent="0.45">
      <c r="A4498" t="s">
        <v>7517</v>
      </c>
      <c r="B4498">
        <v>1</v>
      </c>
      <c r="C4498" t="s">
        <v>1774</v>
      </c>
      <c r="G4498" s="3">
        <v>221.9406088140455</v>
      </c>
      <c r="H4498" t="s">
        <v>1755</v>
      </c>
      <c r="I4498" t="s">
        <v>7517</v>
      </c>
      <c r="M4498" t="s">
        <v>1757</v>
      </c>
    </row>
    <row r="4499" spans="1:13" x14ac:dyDescent="0.45">
      <c r="A4499" t="s">
        <v>7518</v>
      </c>
      <c r="B4499">
        <v>2</v>
      </c>
      <c r="C4499" t="s">
        <v>1774</v>
      </c>
      <c r="G4499" s="3">
        <v>197.87222507681611</v>
      </c>
      <c r="H4499" t="s">
        <v>1755</v>
      </c>
      <c r="I4499" t="s">
        <v>7518</v>
      </c>
      <c r="M4499" t="s">
        <v>1757</v>
      </c>
    </row>
    <row r="4500" spans="1:13" x14ac:dyDescent="0.45">
      <c r="A4500" t="s">
        <v>7519</v>
      </c>
      <c r="B4500">
        <v>1</v>
      </c>
      <c r="C4500" t="s">
        <v>1774</v>
      </c>
      <c r="G4500" s="3">
        <v>334.75712139713391</v>
      </c>
      <c r="H4500" t="s">
        <v>1755</v>
      </c>
      <c r="I4500" t="s">
        <v>7519</v>
      </c>
      <c r="M4500" t="s">
        <v>1757</v>
      </c>
    </row>
    <row r="4501" spans="1:13" x14ac:dyDescent="0.45">
      <c r="A4501" t="s">
        <v>7520</v>
      </c>
      <c r="B4501">
        <v>1</v>
      </c>
      <c r="C4501" t="s">
        <v>1774</v>
      </c>
      <c r="G4501" s="3">
        <v>1110.7027133679289</v>
      </c>
      <c r="H4501" t="s">
        <v>1755</v>
      </c>
      <c r="I4501" t="s">
        <v>7520</v>
      </c>
      <c r="M4501" t="s">
        <v>1757</v>
      </c>
    </row>
    <row r="4502" spans="1:13" x14ac:dyDescent="0.45">
      <c r="A4502" t="s">
        <v>7521</v>
      </c>
      <c r="B4502">
        <v>2</v>
      </c>
      <c r="C4502" t="s">
        <v>1774</v>
      </c>
      <c r="G4502" s="3">
        <v>150.32253908224749</v>
      </c>
      <c r="H4502" t="s">
        <v>1755</v>
      </c>
      <c r="I4502" t="s">
        <v>7521</v>
      </c>
      <c r="M4502" t="s">
        <v>1757</v>
      </c>
    </row>
    <row r="4503" spans="1:13" x14ac:dyDescent="0.45">
      <c r="A4503" t="s">
        <v>7522</v>
      </c>
      <c r="B4503">
        <v>1</v>
      </c>
      <c r="C4503" t="s">
        <v>1774</v>
      </c>
      <c r="G4503" s="3">
        <v>517.44383168383615</v>
      </c>
      <c r="H4503" t="s">
        <v>1755</v>
      </c>
      <c r="I4503" t="s">
        <v>7522</v>
      </c>
      <c r="M4503" t="s">
        <v>1757</v>
      </c>
    </row>
    <row r="4504" spans="1:13" x14ac:dyDescent="0.45">
      <c r="A4504" t="s">
        <v>7523</v>
      </c>
      <c r="B4504">
        <v>1</v>
      </c>
      <c r="C4504" t="s">
        <v>1774</v>
      </c>
      <c r="G4504" s="3">
        <v>1019.333265714361</v>
      </c>
      <c r="H4504" t="s">
        <v>1755</v>
      </c>
      <c r="I4504" t="s">
        <v>7523</v>
      </c>
      <c r="M4504" t="s">
        <v>1757</v>
      </c>
    </row>
    <row r="4505" spans="1:13" x14ac:dyDescent="0.45">
      <c r="A4505" t="s">
        <v>7524</v>
      </c>
      <c r="B4505">
        <v>1</v>
      </c>
      <c r="C4505" t="s">
        <v>1774</v>
      </c>
      <c r="G4505" s="3">
        <v>573.21331070962208</v>
      </c>
      <c r="H4505" t="s">
        <v>1755</v>
      </c>
      <c r="I4505" t="s">
        <v>7524</v>
      </c>
      <c r="M4505" t="s">
        <v>1757</v>
      </c>
    </row>
    <row r="4506" spans="1:13" x14ac:dyDescent="0.45">
      <c r="A4506" t="s">
        <v>7525</v>
      </c>
      <c r="B4506">
        <v>1</v>
      </c>
      <c r="C4506" t="s">
        <v>1774</v>
      </c>
      <c r="G4506" s="3">
        <v>85.150297843265605</v>
      </c>
      <c r="H4506" t="s">
        <v>1755</v>
      </c>
      <c r="I4506" t="s">
        <v>7525</v>
      </c>
      <c r="M4506" t="s">
        <v>1757</v>
      </c>
    </row>
    <row r="4507" spans="1:13" x14ac:dyDescent="0.45">
      <c r="A4507" t="s">
        <v>7526</v>
      </c>
      <c r="B4507">
        <v>1</v>
      </c>
      <c r="C4507" t="s">
        <v>1774</v>
      </c>
      <c r="G4507" s="3">
        <v>212.5786161480641</v>
      </c>
      <c r="H4507" t="s">
        <v>1755</v>
      </c>
      <c r="I4507" t="s">
        <v>7526</v>
      </c>
      <c r="M4507" t="s">
        <v>1757</v>
      </c>
    </row>
    <row r="4508" spans="1:13" x14ac:dyDescent="0.45">
      <c r="A4508" t="s">
        <v>7527</v>
      </c>
      <c r="B4508">
        <v>1</v>
      </c>
      <c r="C4508" t="s">
        <v>1774</v>
      </c>
      <c r="G4508" s="3">
        <v>958.94867394388291</v>
      </c>
      <c r="H4508" t="s">
        <v>1755</v>
      </c>
      <c r="I4508" t="s">
        <v>7527</v>
      </c>
      <c r="M4508" t="s">
        <v>1757</v>
      </c>
    </row>
    <row r="4509" spans="1:13" x14ac:dyDescent="0.45">
      <c r="A4509" t="s">
        <v>7528</v>
      </c>
      <c r="B4509">
        <v>1</v>
      </c>
      <c r="C4509" t="s">
        <v>1774</v>
      </c>
      <c r="G4509" s="3">
        <v>373.1913889472749</v>
      </c>
      <c r="H4509" t="s">
        <v>1755</v>
      </c>
      <c r="I4509" t="s">
        <v>7528</v>
      </c>
      <c r="M4509" t="s">
        <v>1757</v>
      </c>
    </row>
    <row r="4510" spans="1:13" x14ac:dyDescent="0.45">
      <c r="A4510" t="s">
        <v>7529</v>
      </c>
      <c r="B4510">
        <v>1</v>
      </c>
      <c r="C4510" t="s">
        <v>1774</v>
      </c>
      <c r="G4510" s="3">
        <v>701.34710525942182</v>
      </c>
      <c r="H4510" t="s">
        <v>1755</v>
      </c>
      <c r="I4510" t="s">
        <v>7529</v>
      </c>
      <c r="M4510" t="s">
        <v>1757</v>
      </c>
    </row>
    <row r="4511" spans="1:13" x14ac:dyDescent="0.45">
      <c r="A4511" t="s">
        <v>7530</v>
      </c>
      <c r="B4511">
        <v>1</v>
      </c>
      <c r="C4511" t="s">
        <v>1774</v>
      </c>
      <c r="G4511" s="3">
        <v>859.05023701302161</v>
      </c>
      <c r="H4511" t="s">
        <v>1755</v>
      </c>
      <c r="I4511" t="s">
        <v>7530</v>
      </c>
      <c r="M4511" t="s">
        <v>1757</v>
      </c>
    </row>
    <row r="4512" spans="1:13" x14ac:dyDescent="0.45">
      <c r="A4512" t="s">
        <v>7531</v>
      </c>
      <c r="B4512">
        <v>2</v>
      </c>
      <c r="C4512" t="s">
        <v>1774</v>
      </c>
      <c r="G4512" s="3">
        <v>497.71789395952749</v>
      </c>
      <c r="H4512" t="s">
        <v>1755</v>
      </c>
      <c r="I4512" t="s">
        <v>7531</v>
      </c>
      <c r="M4512" t="s">
        <v>1757</v>
      </c>
    </row>
    <row r="4513" spans="1:13" x14ac:dyDescent="0.45">
      <c r="A4513" t="s">
        <v>7532</v>
      </c>
      <c r="B4513">
        <v>1</v>
      </c>
      <c r="C4513" t="s">
        <v>1774</v>
      </c>
      <c r="G4513" s="3">
        <v>778.75705994671375</v>
      </c>
      <c r="H4513" t="s">
        <v>1755</v>
      </c>
      <c r="I4513" t="s">
        <v>7532</v>
      </c>
      <c r="M4513" t="s">
        <v>1757</v>
      </c>
    </row>
    <row r="4514" spans="1:13" x14ac:dyDescent="0.45">
      <c r="A4514" t="s">
        <v>7533</v>
      </c>
      <c r="B4514">
        <v>2</v>
      </c>
      <c r="C4514" t="s">
        <v>1774</v>
      </c>
      <c r="G4514" s="3">
        <v>251.97341423058089</v>
      </c>
      <c r="H4514" t="s">
        <v>1755</v>
      </c>
      <c r="I4514" t="s">
        <v>7533</v>
      </c>
      <c r="M4514" t="s">
        <v>1757</v>
      </c>
    </row>
    <row r="4515" spans="1:13" x14ac:dyDescent="0.45">
      <c r="A4515" t="s">
        <v>7534</v>
      </c>
      <c r="B4515">
        <v>7</v>
      </c>
      <c r="C4515" t="s">
        <v>1774</v>
      </c>
      <c r="H4515" t="s">
        <v>1755</v>
      </c>
      <c r="I4515" t="s">
        <v>7534</v>
      </c>
      <c r="M4515" t="s">
        <v>1757</v>
      </c>
    </row>
    <row r="4516" spans="1:13" x14ac:dyDescent="0.45">
      <c r="A4516" t="s">
        <v>7535</v>
      </c>
      <c r="B4516">
        <v>1</v>
      </c>
      <c r="C4516" t="s">
        <v>1774</v>
      </c>
      <c r="G4516" s="3">
        <v>110.8794698558286</v>
      </c>
      <c r="H4516" t="s">
        <v>1755</v>
      </c>
      <c r="I4516" t="s">
        <v>7535</v>
      </c>
      <c r="M4516" t="s">
        <v>1757</v>
      </c>
    </row>
    <row r="4517" spans="1:13" x14ac:dyDescent="0.45">
      <c r="A4517" t="s">
        <v>7536</v>
      </c>
      <c r="B4517">
        <v>1</v>
      </c>
      <c r="C4517" t="s">
        <v>1774</v>
      </c>
      <c r="G4517" s="3">
        <v>2000.7149753176011</v>
      </c>
      <c r="H4517" t="s">
        <v>1755</v>
      </c>
      <c r="I4517" t="s">
        <v>7536</v>
      </c>
      <c r="M4517" t="s">
        <v>1757</v>
      </c>
    </row>
    <row r="4518" spans="1:13" x14ac:dyDescent="0.45">
      <c r="A4518" t="s">
        <v>7537</v>
      </c>
      <c r="B4518">
        <v>2</v>
      </c>
      <c r="C4518" t="s">
        <v>1774</v>
      </c>
      <c r="G4518" s="3">
        <v>2193.108099405154</v>
      </c>
      <c r="H4518" t="s">
        <v>1755</v>
      </c>
      <c r="I4518" t="s">
        <v>7537</v>
      </c>
      <c r="M4518" t="s">
        <v>1757</v>
      </c>
    </row>
    <row r="4519" spans="1:13" x14ac:dyDescent="0.45">
      <c r="A4519" t="s">
        <v>7538</v>
      </c>
      <c r="B4519">
        <v>1</v>
      </c>
      <c r="C4519" t="s">
        <v>1774</v>
      </c>
      <c r="G4519" s="3">
        <v>50.470742513399728</v>
      </c>
      <c r="H4519" t="s">
        <v>1755</v>
      </c>
      <c r="I4519" t="s">
        <v>7538</v>
      </c>
      <c r="M4519" t="s">
        <v>1757</v>
      </c>
    </row>
    <row r="4520" spans="1:13" x14ac:dyDescent="0.45">
      <c r="A4520" t="s">
        <v>7539</v>
      </c>
      <c r="B4520">
        <v>1</v>
      </c>
      <c r="C4520" t="s">
        <v>1774</v>
      </c>
      <c r="G4520" s="3">
        <v>1600.155804716115</v>
      </c>
      <c r="H4520" t="s">
        <v>1755</v>
      </c>
      <c r="I4520" t="s">
        <v>7539</v>
      </c>
      <c r="M4520" t="s">
        <v>1757</v>
      </c>
    </row>
    <row r="4521" spans="1:13" x14ac:dyDescent="0.45">
      <c r="A4521" t="s">
        <v>7540</v>
      </c>
      <c r="B4521">
        <v>1</v>
      </c>
      <c r="C4521" t="s">
        <v>1774</v>
      </c>
      <c r="G4521" s="3">
        <v>1557.448888617884</v>
      </c>
      <c r="H4521" t="s">
        <v>1755</v>
      </c>
      <c r="I4521" t="s">
        <v>7540</v>
      </c>
      <c r="M4521" t="s">
        <v>1757</v>
      </c>
    </row>
    <row r="4522" spans="1:13" x14ac:dyDescent="0.45">
      <c r="A4522" t="s">
        <v>7541</v>
      </c>
      <c r="B4522">
        <v>1</v>
      </c>
      <c r="C4522" t="s">
        <v>1774</v>
      </c>
      <c r="G4522" s="3">
        <v>1513.783072769166</v>
      </c>
      <c r="H4522" t="s">
        <v>1755</v>
      </c>
      <c r="I4522" t="s">
        <v>7541</v>
      </c>
      <c r="M4522" t="s">
        <v>1757</v>
      </c>
    </row>
    <row r="4523" spans="1:13" x14ac:dyDescent="0.45">
      <c r="A4523" t="s">
        <v>7542</v>
      </c>
      <c r="B4523">
        <v>2</v>
      </c>
      <c r="C4523" t="s">
        <v>1774</v>
      </c>
      <c r="G4523" s="3">
        <v>308.60166299889511</v>
      </c>
      <c r="H4523" t="s">
        <v>1755</v>
      </c>
      <c r="I4523" t="s">
        <v>7542</v>
      </c>
      <c r="M4523" t="s">
        <v>1757</v>
      </c>
    </row>
    <row r="4524" spans="1:13" x14ac:dyDescent="0.45">
      <c r="A4524" t="s">
        <v>1759</v>
      </c>
      <c r="B4524">
        <v>3</v>
      </c>
      <c r="C4524" t="s">
        <v>1754</v>
      </c>
      <c r="G4524" s="3">
        <v>12.49433328629746</v>
      </c>
      <c r="H4524" t="s">
        <v>1755</v>
      </c>
      <c r="I4524" t="s">
        <v>1759</v>
      </c>
      <c r="M4524" t="s">
        <v>1757</v>
      </c>
    </row>
    <row r="4525" spans="1:13" x14ac:dyDescent="0.45">
      <c r="A4525" t="s">
        <v>7543</v>
      </c>
      <c r="B4525">
        <v>1</v>
      </c>
      <c r="C4525" t="s">
        <v>1774</v>
      </c>
      <c r="G4525" s="3">
        <v>520.73474953499806</v>
      </c>
      <c r="H4525" t="s">
        <v>1755</v>
      </c>
      <c r="I4525" t="s">
        <v>7543</v>
      </c>
      <c r="M4525" t="s">
        <v>1757</v>
      </c>
    </row>
    <row r="4526" spans="1:13" x14ac:dyDescent="0.45">
      <c r="A4526" t="s">
        <v>7544</v>
      </c>
      <c r="B4526">
        <v>1</v>
      </c>
      <c r="C4526" t="s">
        <v>1774</v>
      </c>
      <c r="G4526" s="3">
        <v>702.2799124996917</v>
      </c>
      <c r="H4526" t="s">
        <v>1755</v>
      </c>
      <c r="I4526" t="s">
        <v>7544</v>
      </c>
      <c r="M4526" t="s">
        <v>1757</v>
      </c>
    </row>
    <row r="4527" spans="1:13" x14ac:dyDescent="0.45">
      <c r="A4527" t="s">
        <v>7545</v>
      </c>
      <c r="B4527">
        <v>1</v>
      </c>
      <c r="C4527" t="s">
        <v>1774</v>
      </c>
      <c r="G4527" s="3">
        <v>754.52037951858244</v>
      </c>
      <c r="H4527" t="s">
        <v>1755</v>
      </c>
      <c r="I4527" t="s">
        <v>7545</v>
      </c>
      <c r="M4527" t="s">
        <v>1757</v>
      </c>
    </row>
    <row r="4528" spans="1:13" x14ac:dyDescent="0.45">
      <c r="A4528" t="s">
        <v>7546</v>
      </c>
      <c r="B4528">
        <v>1</v>
      </c>
      <c r="C4528" t="s">
        <v>1774</v>
      </c>
      <c r="G4528" s="3">
        <v>1682.9016777428519</v>
      </c>
      <c r="H4528" t="s">
        <v>1755</v>
      </c>
      <c r="I4528" t="s">
        <v>7546</v>
      </c>
      <c r="M4528" t="s">
        <v>1757</v>
      </c>
    </row>
    <row r="4529" spans="1:13" x14ac:dyDescent="0.45">
      <c r="A4529" t="s">
        <v>7547</v>
      </c>
      <c r="B4529">
        <v>1</v>
      </c>
      <c r="C4529" t="s">
        <v>1774</v>
      </c>
      <c r="G4529" s="3">
        <v>1175.1838292425291</v>
      </c>
      <c r="H4529" t="s">
        <v>1755</v>
      </c>
      <c r="I4529" t="s">
        <v>7547</v>
      </c>
      <c r="M4529" t="s">
        <v>1757</v>
      </c>
    </row>
    <row r="4530" spans="1:13" x14ac:dyDescent="0.45">
      <c r="A4530" t="s">
        <v>7548</v>
      </c>
      <c r="B4530">
        <v>1</v>
      </c>
      <c r="C4530" t="s">
        <v>1774</v>
      </c>
      <c r="G4530" s="3">
        <v>171.50248193841739</v>
      </c>
      <c r="H4530" t="s">
        <v>1755</v>
      </c>
      <c r="I4530" t="s">
        <v>7548</v>
      </c>
      <c r="M4530" t="s">
        <v>1757</v>
      </c>
    </row>
    <row r="4531" spans="1:13" x14ac:dyDescent="0.45">
      <c r="A4531" t="s">
        <v>7549</v>
      </c>
      <c r="B4531">
        <v>1</v>
      </c>
      <c r="C4531" t="s">
        <v>1774</v>
      </c>
      <c r="G4531" s="3">
        <v>130.1654226265974</v>
      </c>
      <c r="H4531" t="s">
        <v>1755</v>
      </c>
      <c r="I4531" t="s">
        <v>7549</v>
      </c>
      <c r="M4531" t="s">
        <v>1757</v>
      </c>
    </row>
    <row r="4532" spans="1:13" x14ac:dyDescent="0.45">
      <c r="A4532" t="s">
        <v>7550</v>
      </c>
      <c r="B4532">
        <v>1</v>
      </c>
      <c r="C4532" t="s">
        <v>1774</v>
      </c>
      <c r="G4532" s="3">
        <v>20547.851796154831</v>
      </c>
      <c r="H4532" t="s">
        <v>1755</v>
      </c>
      <c r="I4532" t="s">
        <v>7550</v>
      </c>
      <c r="M4532" t="s">
        <v>1757</v>
      </c>
    </row>
    <row r="4533" spans="1:13" x14ac:dyDescent="0.45">
      <c r="A4533" t="s">
        <v>7551</v>
      </c>
      <c r="B4533">
        <v>1</v>
      </c>
      <c r="C4533" t="s">
        <v>1774</v>
      </c>
      <c r="G4533" s="3">
        <v>469.72715362387657</v>
      </c>
      <c r="H4533" t="s">
        <v>1755</v>
      </c>
      <c r="I4533" t="s">
        <v>7551</v>
      </c>
      <c r="M4533" t="s">
        <v>1757</v>
      </c>
    </row>
    <row r="4534" spans="1:13" x14ac:dyDescent="0.45">
      <c r="A4534" t="s">
        <v>7552</v>
      </c>
      <c r="B4534">
        <v>1</v>
      </c>
      <c r="C4534" t="s">
        <v>1774</v>
      </c>
      <c r="G4534" s="3">
        <v>458.69002180194201</v>
      </c>
      <c r="H4534" t="s">
        <v>1755</v>
      </c>
      <c r="I4534" t="s">
        <v>7552</v>
      </c>
      <c r="M4534" t="s">
        <v>1757</v>
      </c>
    </row>
    <row r="4535" spans="1:13" x14ac:dyDescent="0.45">
      <c r="A4535" t="s">
        <v>7553</v>
      </c>
      <c r="B4535">
        <v>1</v>
      </c>
      <c r="C4535" t="s">
        <v>1774</v>
      </c>
      <c r="G4535" s="3">
        <v>449.77290643516619</v>
      </c>
      <c r="H4535" t="s">
        <v>1755</v>
      </c>
      <c r="I4535" t="s">
        <v>7553</v>
      </c>
      <c r="M4535" t="s">
        <v>1757</v>
      </c>
    </row>
    <row r="4536" spans="1:13" x14ac:dyDescent="0.45">
      <c r="A4536" t="s">
        <v>7554</v>
      </c>
      <c r="B4536">
        <v>2</v>
      </c>
      <c r="C4536" t="s">
        <v>1774</v>
      </c>
      <c r="H4536" t="s">
        <v>1755</v>
      </c>
      <c r="I4536" t="s">
        <v>7554</v>
      </c>
      <c r="M4536" t="s">
        <v>1757</v>
      </c>
    </row>
    <row r="4537" spans="1:13" x14ac:dyDescent="0.45">
      <c r="A4537" t="s">
        <v>7555</v>
      </c>
      <c r="B4537">
        <v>1</v>
      </c>
      <c r="C4537" t="s">
        <v>1774</v>
      </c>
      <c r="G4537" s="3">
        <v>3900.7650462167071</v>
      </c>
      <c r="H4537" t="s">
        <v>1755</v>
      </c>
      <c r="I4537" t="s">
        <v>7555</v>
      </c>
      <c r="M4537" t="s">
        <v>1757</v>
      </c>
    </row>
    <row r="4538" spans="1:13" x14ac:dyDescent="0.45">
      <c r="A4538" t="s">
        <v>7556</v>
      </c>
      <c r="B4538">
        <v>4</v>
      </c>
      <c r="C4538" t="s">
        <v>1774</v>
      </c>
      <c r="G4538" s="3">
        <v>352.89793912573907</v>
      </c>
      <c r="H4538" t="s">
        <v>1755</v>
      </c>
      <c r="I4538" t="s">
        <v>7556</v>
      </c>
      <c r="M4538" t="s">
        <v>1757</v>
      </c>
    </row>
    <row r="4539" spans="1:13" x14ac:dyDescent="0.45">
      <c r="A4539" t="s">
        <v>7557</v>
      </c>
      <c r="B4539">
        <v>1</v>
      </c>
      <c r="C4539" t="s">
        <v>1774</v>
      </c>
      <c r="H4539" t="s">
        <v>1755</v>
      </c>
      <c r="I4539" t="s">
        <v>7557</v>
      </c>
      <c r="M4539" t="s">
        <v>1757</v>
      </c>
    </row>
    <row r="4540" spans="1:13" x14ac:dyDescent="0.45">
      <c r="A4540" t="s">
        <v>7558</v>
      </c>
      <c r="B4540">
        <v>1</v>
      </c>
      <c r="C4540" t="s">
        <v>1774</v>
      </c>
      <c r="G4540" s="3">
        <v>424.36532461103189</v>
      </c>
      <c r="H4540" t="s">
        <v>1755</v>
      </c>
      <c r="I4540" t="s">
        <v>7558</v>
      </c>
      <c r="M4540" t="s">
        <v>1757</v>
      </c>
    </row>
    <row r="4541" spans="1:13" x14ac:dyDescent="0.45">
      <c r="A4541" t="s">
        <v>7559</v>
      </c>
      <c r="B4541">
        <v>1</v>
      </c>
      <c r="C4541" t="s">
        <v>1774</v>
      </c>
      <c r="H4541" t="s">
        <v>1755</v>
      </c>
      <c r="I4541" t="s">
        <v>7559</v>
      </c>
      <c r="M4541" t="s">
        <v>1757</v>
      </c>
    </row>
    <row r="4542" spans="1:13" x14ac:dyDescent="0.45">
      <c r="A4542" t="s">
        <v>7560</v>
      </c>
      <c r="B4542">
        <v>1</v>
      </c>
      <c r="C4542" t="s">
        <v>1774</v>
      </c>
      <c r="G4542" s="3">
        <v>1282.029397018757</v>
      </c>
      <c r="H4542" t="s">
        <v>1755</v>
      </c>
      <c r="I4542" t="s">
        <v>7560</v>
      </c>
      <c r="M4542" t="s">
        <v>1757</v>
      </c>
    </row>
    <row r="4543" spans="1:13" x14ac:dyDescent="0.45">
      <c r="A4543" t="s">
        <v>7561</v>
      </c>
      <c r="B4543">
        <v>1</v>
      </c>
      <c r="C4543" t="s">
        <v>1774</v>
      </c>
      <c r="G4543" s="3">
        <v>459.87396945305369</v>
      </c>
      <c r="H4543" t="s">
        <v>1755</v>
      </c>
      <c r="I4543" t="s">
        <v>7561</v>
      </c>
      <c r="M4543" t="s">
        <v>1757</v>
      </c>
    </row>
    <row r="4544" spans="1:13" x14ac:dyDescent="0.45">
      <c r="A4544" t="s">
        <v>7562</v>
      </c>
      <c r="B4544">
        <v>1</v>
      </c>
      <c r="C4544" t="s">
        <v>1774</v>
      </c>
      <c r="G4544" s="3">
        <v>1188.5497176013621</v>
      </c>
      <c r="H4544" t="s">
        <v>1755</v>
      </c>
      <c r="I4544" t="s">
        <v>7562</v>
      </c>
      <c r="M4544" t="s">
        <v>1757</v>
      </c>
    </row>
    <row r="4545" spans="1:13" x14ac:dyDescent="0.45">
      <c r="A4545" t="s">
        <v>7563</v>
      </c>
      <c r="B4545">
        <v>1</v>
      </c>
      <c r="C4545" t="s">
        <v>1774</v>
      </c>
      <c r="G4545" s="3">
        <v>656.30490949673958</v>
      </c>
      <c r="H4545" t="s">
        <v>1755</v>
      </c>
      <c r="I4545" t="s">
        <v>7563</v>
      </c>
      <c r="M4545" t="s">
        <v>1757</v>
      </c>
    </row>
    <row r="4546" spans="1:13" x14ac:dyDescent="0.45">
      <c r="A4546" t="s">
        <v>7564</v>
      </c>
      <c r="B4546">
        <v>1</v>
      </c>
      <c r="C4546" t="s">
        <v>1774</v>
      </c>
      <c r="G4546" s="3">
        <v>1747.183838227045</v>
      </c>
      <c r="H4546" t="s">
        <v>1755</v>
      </c>
      <c r="I4546" t="s">
        <v>7564</v>
      </c>
      <c r="M4546" t="s">
        <v>1757</v>
      </c>
    </row>
    <row r="4547" spans="1:13" x14ac:dyDescent="0.45">
      <c r="A4547" t="s">
        <v>7565</v>
      </c>
      <c r="B4547">
        <v>1</v>
      </c>
      <c r="C4547" t="s">
        <v>1774</v>
      </c>
      <c r="G4547" s="3">
        <v>1225.1966482016151</v>
      </c>
      <c r="H4547" t="s">
        <v>1755</v>
      </c>
      <c r="I4547" t="s">
        <v>7565</v>
      </c>
      <c r="M4547" t="s">
        <v>1757</v>
      </c>
    </row>
    <row r="4548" spans="1:13" x14ac:dyDescent="0.45">
      <c r="A4548" t="s">
        <v>7566</v>
      </c>
      <c r="B4548">
        <v>1</v>
      </c>
      <c r="C4548" t="s">
        <v>1774</v>
      </c>
      <c r="G4548" s="3">
        <v>606.42907621629513</v>
      </c>
      <c r="H4548" t="s">
        <v>1755</v>
      </c>
      <c r="I4548" t="s">
        <v>7566</v>
      </c>
      <c r="M4548" t="s">
        <v>1757</v>
      </c>
    </row>
    <row r="4549" spans="1:13" x14ac:dyDescent="0.45">
      <c r="A4549" t="s">
        <v>7567</v>
      </c>
      <c r="B4549">
        <v>1</v>
      </c>
      <c r="C4549" t="s">
        <v>1774</v>
      </c>
      <c r="G4549" s="3">
        <v>552.09142368868572</v>
      </c>
      <c r="H4549" t="s">
        <v>1755</v>
      </c>
      <c r="I4549" t="s">
        <v>7567</v>
      </c>
      <c r="M4549" t="s">
        <v>1757</v>
      </c>
    </row>
    <row r="4550" spans="1:13" x14ac:dyDescent="0.45">
      <c r="A4550" t="s">
        <v>7568</v>
      </c>
      <c r="B4550">
        <v>1</v>
      </c>
      <c r="C4550" t="s">
        <v>1774</v>
      </c>
      <c r="G4550" s="3">
        <v>1148.660792606604</v>
      </c>
      <c r="H4550" t="s">
        <v>1755</v>
      </c>
      <c r="I4550" t="s">
        <v>7568</v>
      </c>
      <c r="M4550" t="s">
        <v>1757</v>
      </c>
    </row>
    <row r="4551" spans="1:13" x14ac:dyDescent="0.45">
      <c r="A4551" t="s">
        <v>7569</v>
      </c>
      <c r="B4551">
        <v>2</v>
      </c>
      <c r="C4551" t="s">
        <v>1774</v>
      </c>
      <c r="G4551" s="3">
        <v>211.15820512310759</v>
      </c>
      <c r="H4551" t="s">
        <v>1755</v>
      </c>
      <c r="I4551" t="s">
        <v>7569</v>
      </c>
      <c r="M4551" t="s">
        <v>1757</v>
      </c>
    </row>
    <row r="4552" spans="1:13" x14ac:dyDescent="0.45">
      <c r="A4552" t="s">
        <v>7570</v>
      </c>
      <c r="B4552">
        <v>1</v>
      </c>
      <c r="C4552" t="s">
        <v>1774</v>
      </c>
      <c r="G4552" s="3">
        <v>844.01768956405681</v>
      </c>
      <c r="H4552" t="s">
        <v>1755</v>
      </c>
      <c r="I4552" t="s">
        <v>7570</v>
      </c>
      <c r="M4552" t="s">
        <v>1757</v>
      </c>
    </row>
    <row r="4553" spans="1:13" x14ac:dyDescent="0.45">
      <c r="A4553" t="s">
        <v>7571</v>
      </c>
      <c r="B4553">
        <v>1</v>
      </c>
      <c r="C4553" t="s">
        <v>1774</v>
      </c>
      <c r="G4553" s="3">
        <v>406.81484992609398</v>
      </c>
      <c r="H4553" t="s">
        <v>1755</v>
      </c>
      <c r="I4553" t="s">
        <v>7571</v>
      </c>
      <c r="M4553" t="s">
        <v>1757</v>
      </c>
    </row>
    <row r="4554" spans="1:13" x14ac:dyDescent="0.45">
      <c r="A4554" t="s">
        <v>7572</v>
      </c>
      <c r="B4554">
        <v>1</v>
      </c>
      <c r="C4554" t="s">
        <v>1774</v>
      </c>
      <c r="G4554" s="3">
        <v>896.79957616995739</v>
      </c>
      <c r="H4554" t="s">
        <v>1755</v>
      </c>
      <c r="I4554" t="s">
        <v>7572</v>
      </c>
      <c r="M4554" t="s">
        <v>1757</v>
      </c>
    </row>
    <row r="4555" spans="1:13" x14ac:dyDescent="0.45">
      <c r="A4555" t="s">
        <v>7573</v>
      </c>
      <c r="B4555">
        <v>1</v>
      </c>
      <c r="C4555" t="s">
        <v>1774</v>
      </c>
      <c r="G4555" s="3">
        <v>1419.2890470170721</v>
      </c>
      <c r="H4555" t="s">
        <v>1755</v>
      </c>
      <c r="I4555" t="s">
        <v>7573</v>
      </c>
      <c r="M4555" t="s">
        <v>1757</v>
      </c>
    </row>
    <row r="4556" spans="1:13" x14ac:dyDescent="0.45">
      <c r="A4556" t="s">
        <v>7574</v>
      </c>
      <c r="B4556">
        <v>1</v>
      </c>
      <c r="C4556" t="s">
        <v>1774</v>
      </c>
      <c r="G4556" s="3">
        <v>1706.8970024514731</v>
      </c>
      <c r="H4556" t="s">
        <v>1755</v>
      </c>
      <c r="I4556" t="s">
        <v>7574</v>
      </c>
      <c r="M4556" t="s">
        <v>1757</v>
      </c>
    </row>
    <row r="4557" spans="1:13" x14ac:dyDescent="0.45">
      <c r="A4557" t="s">
        <v>7575</v>
      </c>
      <c r="B4557">
        <v>1</v>
      </c>
      <c r="C4557" t="s">
        <v>1774</v>
      </c>
      <c r="G4557" s="3">
        <v>1824.006711434447</v>
      </c>
      <c r="H4557" t="s">
        <v>1755</v>
      </c>
      <c r="I4557" t="s">
        <v>7575</v>
      </c>
      <c r="M4557" t="s">
        <v>1757</v>
      </c>
    </row>
    <row r="4558" spans="1:13" x14ac:dyDescent="0.45">
      <c r="A4558" t="s">
        <v>7576</v>
      </c>
      <c r="B4558">
        <v>1</v>
      </c>
      <c r="C4558" t="s">
        <v>1774</v>
      </c>
      <c r="G4558" s="3">
        <v>515.20639893269924</v>
      </c>
      <c r="H4558" t="s">
        <v>1755</v>
      </c>
      <c r="I4558" t="s">
        <v>7576</v>
      </c>
      <c r="M4558" t="s">
        <v>1757</v>
      </c>
    </row>
    <row r="4559" spans="1:13" x14ac:dyDescent="0.45">
      <c r="A4559" t="s">
        <v>7577</v>
      </c>
      <c r="B4559">
        <v>1</v>
      </c>
      <c r="C4559" t="s">
        <v>1774</v>
      </c>
      <c r="G4559" s="3">
        <v>1228.494089180331</v>
      </c>
      <c r="H4559" t="s">
        <v>1755</v>
      </c>
      <c r="I4559" t="s">
        <v>7577</v>
      </c>
      <c r="M4559" t="s">
        <v>1757</v>
      </c>
    </row>
    <row r="4560" spans="1:13" x14ac:dyDescent="0.45">
      <c r="A4560" t="s">
        <v>7578</v>
      </c>
      <c r="B4560">
        <v>1</v>
      </c>
      <c r="C4560" t="s">
        <v>1774</v>
      </c>
      <c r="G4560" s="3">
        <v>986.45344127673582</v>
      </c>
      <c r="H4560" t="s">
        <v>1755</v>
      </c>
      <c r="I4560" t="s">
        <v>7578</v>
      </c>
      <c r="M4560" t="s">
        <v>1757</v>
      </c>
    </row>
    <row r="4561" spans="1:13" x14ac:dyDescent="0.45">
      <c r="A4561" t="s">
        <v>7579</v>
      </c>
      <c r="B4561">
        <v>1</v>
      </c>
      <c r="C4561" t="s">
        <v>1774</v>
      </c>
      <c r="G4561" s="3">
        <v>1393.490077539677</v>
      </c>
      <c r="H4561" t="s">
        <v>1755</v>
      </c>
      <c r="I4561" t="s">
        <v>7579</v>
      </c>
      <c r="M4561" t="s">
        <v>1757</v>
      </c>
    </row>
    <row r="4562" spans="1:13" x14ac:dyDescent="0.45">
      <c r="A4562" t="s">
        <v>7580</v>
      </c>
      <c r="B4562">
        <v>1</v>
      </c>
      <c r="C4562" t="s">
        <v>1774</v>
      </c>
      <c r="G4562" s="3">
        <v>1243.223311198019</v>
      </c>
      <c r="H4562" t="s">
        <v>1755</v>
      </c>
      <c r="I4562" t="s">
        <v>7580</v>
      </c>
      <c r="M4562" t="s">
        <v>1757</v>
      </c>
    </row>
    <row r="4563" spans="1:13" x14ac:dyDescent="0.45">
      <c r="A4563" t="s">
        <v>7581</v>
      </c>
      <c r="B4563">
        <v>1</v>
      </c>
      <c r="C4563" t="s">
        <v>1774</v>
      </c>
      <c r="G4563" s="3">
        <v>880.28954032993602</v>
      </c>
      <c r="H4563" t="s">
        <v>1755</v>
      </c>
      <c r="I4563" t="s">
        <v>7581</v>
      </c>
      <c r="M4563" t="s">
        <v>1757</v>
      </c>
    </row>
    <row r="4564" spans="1:13" x14ac:dyDescent="0.45">
      <c r="A4564" t="s">
        <v>7582</v>
      </c>
      <c r="B4564">
        <v>1</v>
      </c>
      <c r="C4564" t="s">
        <v>1774</v>
      </c>
      <c r="G4564" s="3">
        <v>645.77658162404316</v>
      </c>
      <c r="H4564" t="s">
        <v>1755</v>
      </c>
      <c r="I4564" t="s">
        <v>7582</v>
      </c>
      <c r="M4564" t="s">
        <v>1757</v>
      </c>
    </row>
    <row r="4565" spans="1:13" x14ac:dyDescent="0.45">
      <c r="A4565" t="s">
        <v>7583</v>
      </c>
      <c r="B4565">
        <v>1</v>
      </c>
      <c r="C4565" t="s">
        <v>1774</v>
      </c>
      <c r="G4565" s="3">
        <v>1463.258188297066</v>
      </c>
      <c r="H4565" t="s">
        <v>1755</v>
      </c>
      <c r="I4565" t="s">
        <v>7583</v>
      </c>
      <c r="M4565" t="s">
        <v>1757</v>
      </c>
    </row>
    <row r="4566" spans="1:13" x14ac:dyDescent="0.45">
      <c r="A4566" t="s">
        <v>7584</v>
      </c>
      <c r="B4566">
        <v>1</v>
      </c>
      <c r="C4566" t="s">
        <v>1774</v>
      </c>
      <c r="G4566" s="3">
        <v>706.21335841495568</v>
      </c>
      <c r="H4566" t="s">
        <v>1755</v>
      </c>
      <c r="I4566" t="s">
        <v>7584</v>
      </c>
      <c r="M4566" t="s">
        <v>1757</v>
      </c>
    </row>
    <row r="4567" spans="1:13" x14ac:dyDescent="0.45">
      <c r="A4567" t="s">
        <v>7585</v>
      </c>
      <c r="B4567">
        <v>1</v>
      </c>
      <c r="C4567" t="s">
        <v>1774</v>
      </c>
      <c r="G4567" s="3">
        <v>520.24225340464579</v>
      </c>
      <c r="H4567" t="s">
        <v>1755</v>
      </c>
      <c r="I4567" t="s">
        <v>7585</v>
      </c>
      <c r="M4567" t="s">
        <v>1757</v>
      </c>
    </row>
    <row r="4568" spans="1:13" x14ac:dyDescent="0.45">
      <c r="A4568" t="s">
        <v>7586</v>
      </c>
      <c r="B4568">
        <v>1</v>
      </c>
      <c r="C4568" t="s">
        <v>1774</v>
      </c>
      <c r="G4568" s="3">
        <v>983.23753939244875</v>
      </c>
      <c r="H4568" t="s">
        <v>1755</v>
      </c>
      <c r="I4568" t="s">
        <v>7586</v>
      </c>
      <c r="M4568" t="s">
        <v>1757</v>
      </c>
    </row>
    <row r="4569" spans="1:13" x14ac:dyDescent="0.45">
      <c r="A4569" t="s">
        <v>7587</v>
      </c>
      <c r="B4569">
        <v>1</v>
      </c>
      <c r="C4569" t="s">
        <v>1774</v>
      </c>
      <c r="G4569" s="3">
        <v>742.12643716534626</v>
      </c>
      <c r="H4569" t="s">
        <v>1755</v>
      </c>
      <c r="I4569" t="s">
        <v>7587</v>
      </c>
      <c r="M4569" t="s">
        <v>1757</v>
      </c>
    </row>
    <row r="4570" spans="1:13" x14ac:dyDescent="0.45">
      <c r="A4570" t="s">
        <v>7588</v>
      </c>
      <c r="B4570">
        <v>1</v>
      </c>
      <c r="C4570" t="s">
        <v>1774</v>
      </c>
      <c r="G4570" s="3">
        <v>561.82392999975343</v>
      </c>
      <c r="H4570" t="s">
        <v>1755</v>
      </c>
      <c r="I4570" t="s">
        <v>7588</v>
      </c>
      <c r="M4570" t="s">
        <v>1757</v>
      </c>
    </row>
    <row r="4571" spans="1:13" x14ac:dyDescent="0.45">
      <c r="A4571" t="s">
        <v>7589</v>
      </c>
      <c r="B4571">
        <v>1</v>
      </c>
      <c r="C4571" t="s">
        <v>1774</v>
      </c>
      <c r="G4571" s="3">
        <v>652.55737271677413</v>
      </c>
      <c r="H4571" t="s">
        <v>1755</v>
      </c>
      <c r="I4571" t="s">
        <v>7589</v>
      </c>
      <c r="M4571" t="s">
        <v>1757</v>
      </c>
    </row>
    <row r="4572" spans="1:13" x14ac:dyDescent="0.45">
      <c r="A4572" t="s">
        <v>7590</v>
      </c>
      <c r="B4572">
        <v>3</v>
      </c>
      <c r="C4572" t="s">
        <v>1774</v>
      </c>
      <c r="G4572" s="3">
        <v>400.8788038516492</v>
      </c>
      <c r="H4572" t="s">
        <v>1755</v>
      </c>
      <c r="I4572" t="s">
        <v>7590</v>
      </c>
      <c r="M4572" t="s">
        <v>1757</v>
      </c>
    </row>
    <row r="4573" spans="1:13" x14ac:dyDescent="0.45">
      <c r="A4573" t="s">
        <v>7591</v>
      </c>
      <c r="B4573">
        <v>1</v>
      </c>
      <c r="C4573" t="s">
        <v>1774</v>
      </c>
      <c r="G4573" s="3">
        <v>1823.488122793877</v>
      </c>
      <c r="H4573" t="s">
        <v>1755</v>
      </c>
      <c r="I4573" t="s">
        <v>7591</v>
      </c>
      <c r="M4573" t="s">
        <v>1757</v>
      </c>
    </row>
    <row r="4574" spans="1:13" x14ac:dyDescent="0.45">
      <c r="A4574" t="s">
        <v>7592</v>
      </c>
      <c r="B4574">
        <v>1</v>
      </c>
      <c r="C4574" t="s">
        <v>1774</v>
      </c>
      <c r="G4574" s="3">
        <v>972.64398024420893</v>
      </c>
      <c r="H4574" t="s">
        <v>1755</v>
      </c>
      <c r="I4574" t="s">
        <v>7592</v>
      </c>
      <c r="M4574" t="s">
        <v>1757</v>
      </c>
    </row>
    <row r="4575" spans="1:13" x14ac:dyDescent="0.45">
      <c r="A4575" t="s">
        <v>7593</v>
      </c>
      <c r="B4575">
        <v>1</v>
      </c>
      <c r="C4575" t="s">
        <v>1774</v>
      </c>
      <c r="G4575" s="3">
        <v>898.84457665824141</v>
      </c>
      <c r="H4575" t="s">
        <v>1755</v>
      </c>
      <c r="I4575" t="s">
        <v>7593</v>
      </c>
      <c r="M4575" t="s">
        <v>1757</v>
      </c>
    </row>
    <row r="4576" spans="1:13" x14ac:dyDescent="0.45">
      <c r="A4576" t="s">
        <v>7594</v>
      </c>
      <c r="B4576">
        <v>1</v>
      </c>
      <c r="C4576" t="s">
        <v>1774</v>
      </c>
      <c r="G4576" s="3">
        <v>1351.050609671174</v>
      </c>
      <c r="H4576" t="s">
        <v>1755</v>
      </c>
      <c r="I4576" t="s">
        <v>7594</v>
      </c>
      <c r="M4576" t="s">
        <v>1757</v>
      </c>
    </row>
    <row r="4577" spans="1:13" x14ac:dyDescent="0.45">
      <c r="A4577" t="s">
        <v>7595</v>
      </c>
      <c r="B4577">
        <v>1</v>
      </c>
      <c r="C4577" t="s">
        <v>1774</v>
      </c>
      <c r="G4577" s="3">
        <v>692.99097886231891</v>
      </c>
      <c r="H4577" t="s">
        <v>1755</v>
      </c>
      <c r="I4577" t="s">
        <v>7595</v>
      </c>
      <c r="M4577" t="s">
        <v>1757</v>
      </c>
    </row>
    <row r="4578" spans="1:13" x14ac:dyDescent="0.45">
      <c r="A4578" t="s">
        <v>7596</v>
      </c>
      <c r="B4578">
        <v>1</v>
      </c>
      <c r="C4578" t="s">
        <v>1774</v>
      </c>
      <c r="G4578" s="3">
        <v>528.36354720979273</v>
      </c>
      <c r="H4578" t="s">
        <v>1755</v>
      </c>
      <c r="I4578" t="s">
        <v>7596</v>
      </c>
      <c r="M4578" t="s">
        <v>1757</v>
      </c>
    </row>
    <row r="4579" spans="1:13" x14ac:dyDescent="0.45">
      <c r="A4579" t="s">
        <v>7597</v>
      </c>
      <c r="B4579">
        <v>1</v>
      </c>
      <c r="C4579" t="s">
        <v>1774</v>
      </c>
      <c r="G4579" s="3">
        <v>383.55337706733582</v>
      </c>
      <c r="H4579" t="s">
        <v>1755</v>
      </c>
      <c r="I4579" t="s">
        <v>7597</v>
      </c>
      <c r="M4579" t="s">
        <v>1757</v>
      </c>
    </row>
    <row r="4580" spans="1:13" x14ac:dyDescent="0.45">
      <c r="A4580" t="s">
        <v>7598</v>
      </c>
      <c r="B4580">
        <v>1</v>
      </c>
      <c r="C4580" t="s">
        <v>1774</v>
      </c>
      <c r="G4580" s="3">
        <v>1684.737938149397</v>
      </c>
      <c r="H4580" t="s">
        <v>1755</v>
      </c>
      <c r="I4580" t="s">
        <v>7598</v>
      </c>
      <c r="M4580" t="s">
        <v>1757</v>
      </c>
    </row>
    <row r="4581" spans="1:13" x14ac:dyDescent="0.45">
      <c r="A4581" t="s">
        <v>7599</v>
      </c>
      <c r="B4581">
        <v>1</v>
      </c>
      <c r="C4581" t="s">
        <v>1774</v>
      </c>
      <c r="G4581" s="3">
        <v>2383.9845963363241</v>
      </c>
      <c r="H4581" t="s">
        <v>1755</v>
      </c>
      <c r="I4581" t="s">
        <v>7599</v>
      </c>
      <c r="M4581" t="s">
        <v>1757</v>
      </c>
    </row>
    <row r="4582" spans="1:13" x14ac:dyDescent="0.45">
      <c r="A4582" t="s">
        <v>7600</v>
      </c>
      <c r="B4582">
        <v>1</v>
      </c>
      <c r="C4582" t="s">
        <v>1774</v>
      </c>
      <c r="G4582" s="3">
        <v>1159.5283231121259</v>
      </c>
      <c r="H4582" t="s">
        <v>1755</v>
      </c>
      <c r="I4582" t="s">
        <v>7600</v>
      </c>
      <c r="M4582" t="s">
        <v>1757</v>
      </c>
    </row>
    <row r="4583" spans="1:13" x14ac:dyDescent="0.45">
      <c r="A4583" t="s">
        <v>7601</v>
      </c>
      <c r="B4583">
        <v>1</v>
      </c>
      <c r="C4583" t="s">
        <v>1774</v>
      </c>
      <c r="G4583" s="3">
        <v>297.77751129160953</v>
      </c>
      <c r="H4583" t="s">
        <v>1755</v>
      </c>
      <c r="I4583" t="s">
        <v>7601</v>
      </c>
      <c r="M4583" t="s">
        <v>1757</v>
      </c>
    </row>
    <row r="4584" spans="1:13" x14ac:dyDescent="0.45">
      <c r="A4584" t="s">
        <v>7602</v>
      </c>
      <c r="B4584">
        <v>1</v>
      </c>
      <c r="C4584" t="s">
        <v>1774</v>
      </c>
      <c r="G4584" s="3">
        <v>1422.3614400951631</v>
      </c>
      <c r="H4584" t="s">
        <v>1755</v>
      </c>
      <c r="I4584" t="s">
        <v>7602</v>
      </c>
      <c r="M4584" t="s">
        <v>1757</v>
      </c>
    </row>
    <row r="4585" spans="1:13" x14ac:dyDescent="0.45">
      <c r="A4585" t="s">
        <v>7603</v>
      </c>
      <c r="B4585">
        <v>2</v>
      </c>
      <c r="C4585" t="s">
        <v>1774</v>
      </c>
      <c r="G4585" s="3">
        <v>803.49602119652877</v>
      </c>
      <c r="H4585" t="s">
        <v>1755</v>
      </c>
      <c r="I4585" t="s">
        <v>7603</v>
      </c>
      <c r="M4585" t="s">
        <v>1757</v>
      </c>
    </row>
    <row r="4586" spans="1:13" x14ac:dyDescent="0.45">
      <c r="A4586" t="s">
        <v>7604</v>
      </c>
      <c r="B4586">
        <v>1</v>
      </c>
      <c r="C4586" t="s">
        <v>1774</v>
      </c>
      <c r="G4586" s="3">
        <v>690.57089853966056</v>
      </c>
      <c r="H4586" t="s">
        <v>1755</v>
      </c>
      <c r="I4586" t="s">
        <v>7604</v>
      </c>
      <c r="M4586" t="s">
        <v>1757</v>
      </c>
    </row>
    <row r="4587" spans="1:13" x14ac:dyDescent="0.45">
      <c r="A4587" t="s">
        <v>7605</v>
      </c>
      <c r="B4587">
        <v>1</v>
      </c>
      <c r="C4587" t="s">
        <v>1774</v>
      </c>
      <c r="G4587" s="3">
        <v>920.05778746493843</v>
      </c>
      <c r="H4587" t="s">
        <v>1755</v>
      </c>
      <c r="I4587" t="s">
        <v>7605</v>
      </c>
      <c r="M4587" t="s">
        <v>1757</v>
      </c>
    </row>
    <row r="4588" spans="1:13" x14ac:dyDescent="0.45">
      <c r="A4588" t="s">
        <v>7606</v>
      </c>
      <c r="B4588">
        <v>1</v>
      </c>
      <c r="C4588" t="s">
        <v>1774</v>
      </c>
      <c r="G4588" s="3">
        <v>1722.0893665255189</v>
      </c>
      <c r="H4588" t="s">
        <v>1755</v>
      </c>
      <c r="I4588" t="s">
        <v>7606</v>
      </c>
      <c r="M4588" t="s">
        <v>1757</v>
      </c>
    </row>
    <row r="4589" spans="1:13" x14ac:dyDescent="0.45">
      <c r="A4589" t="s">
        <v>7607</v>
      </c>
      <c r="B4589">
        <v>1</v>
      </c>
      <c r="C4589" t="s">
        <v>1774</v>
      </c>
      <c r="G4589" s="3">
        <v>1477.8112858707871</v>
      </c>
      <c r="H4589" t="s">
        <v>1755</v>
      </c>
      <c r="I4589" t="s">
        <v>7607</v>
      </c>
      <c r="M4589" t="s">
        <v>1757</v>
      </c>
    </row>
    <row r="4590" spans="1:13" x14ac:dyDescent="0.45">
      <c r="A4590" t="s">
        <v>7608</v>
      </c>
      <c r="B4590">
        <v>1</v>
      </c>
      <c r="C4590" t="s">
        <v>1774</v>
      </c>
      <c r="G4590" s="3">
        <v>1990.1279392969161</v>
      </c>
      <c r="H4590" t="s">
        <v>1755</v>
      </c>
      <c r="I4590" t="s">
        <v>7608</v>
      </c>
      <c r="M4590" t="s">
        <v>1757</v>
      </c>
    </row>
    <row r="4591" spans="1:13" x14ac:dyDescent="0.45">
      <c r="A4591" t="s">
        <v>7609</v>
      </c>
      <c r="B4591">
        <v>1</v>
      </c>
      <c r="C4591" t="s">
        <v>1774</v>
      </c>
      <c r="G4591" s="3">
        <v>702.87025554335901</v>
      </c>
      <c r="H4591" t="s">
        <v>1755</v>
      </c>
      <c r="I4591" t="s">
        <v>7609</v>
      </c>
      <c r="M4591" t="s">
        <v>1757</v>
      </c>
    </row>
    <row r="4592" spans="1:13" x14ac:dyDescent="0.45">
      <c r="A4592" t="s">
        <v>7610</v>
      </c>
      <c r="B4592">
        <v>1</v>
      </c>
      <c r="C4592" t="s">
        <v>1774</v>
      </c>
      <c r="G4592" s="3">
        <v>1303.4187322694211</v>
      </c>
      <c r="H4592" t="s">
        <v>1755</v>
      </c>
      <c r="I4592" t="s">
        <v>7610</v>
      </c>
      <c r="M4592" t="s">
        <v>1757</v>
      </c>
    </row>
    <row r="4593" spans="1:13" x14ac:dyDescent="0.45">
      <c r="A4593" t="s">
        <v>7611</v>
      </c>
      <c r="B4593">
        <v>1</v>
      </c>
      <c r="C4593" t="s">
        <v>1774</v>
      </c>
      <c r="G4593" s="3">
        <v>398.12604402371988</v>
      </c>
      <c r="H4593" t="s">
        <v>1755</v>
      </c>
      <c r="I4593" t="s">
        <v>7611</v>
      </c>
      <c r="M4593" t="s">
        <v>1757</v>
      </c>
    </row>
    <row r="4594" spans="1:13" x14ac:dyDescent="0.45">
      <c r="A4594" t="s">
        <v>7612</v>
      </c>
      <c r="B4594">
        <v>1</v>
      </c>
      <c r="C4594" t="s">
        <v>1774</v>
      </c>
      <c r="G4594" s="3">
        <v>1089.4829794336781</v>
      </c>
      <c r="H4594" t="s">
        <v>1755</v>
      </c>
      <c r="I4594" t="s">
        <v>7612</v>
      </c>
      <c r="M4594" t="s">
        <v>1757</v>
      </c>
    </row>
    <row r="4595" spans="1:13" x14ac:dyDescent="0.45">
      <c r="A4595" t="s">
        <v>7613</v>
      </c>
      <c r="B4595">
        <v>1</v>
      </c>
      <c r="C4595" t="s">
        <v>1774</v>
      </c>
      <c r="G4595" s="3">
        <v>1712.298152066463</v>
      </c>
      <c r="H4595" t="s">
        <v>1755</v>
      </c>
      <c r="I4595" t="s">
        <v>7613</v>
      </c>
      <c r="M4595" t="s">
        <v>1757</v>
      </c>
    </row>
    <row r="4596" spans="1:13" x14ac:dyDescent="0.45">
      <c r="A4596" t="s">
        <v>7614</v>
      </c>
      <c r="B4596">
        <v>1</v>
      </c>
      <c r="C4596" t="s">
        <v>1774</v>
      </c>
      <c r="G4596" s="3">
        <v>2333.2672796013699</v>
      </c>
      <c r="H4596" t="s">
        <v>1755</v>
      </c>
      <c r="I4596" t="s">
        <v>7614</v>
      </c>
      <c r="M4596" t="s">
        <v>1757</v>
      </c>
    </row>
    <row r="4597" spans="1:13" x14ac:dyDescent="0.45">
      <c r="A4597" t="s">
        <v>7615</v>
      </c>
      <c r="B4597">
        <v>1</v>
      </c>
      <c r="C4597" t="s">
        <v>1774</v>
      </c>
      <c r="G4597" s="3">
        <v>633.18042231662241</v>
      </c>
      <c r="H4597" t="s">
        <v>1755</v>
      </c>
      <c r="I4597" t="s">
        <v>7615</v>
      </c>
      <c r="M4597" t="s">
        <v>1757</v>
      </c>
    </row>
    <row r="4598" spans="1:13" x14ac:dyDescent="0.45">
      <c r="A4598" t="s">
        <v>7616</v>
      </c>
      <c r="B4598">
        <v>1</v>
      </c>
      <c r="C4598" t="s">
        <v>1774</v>
      </c>
      <c r="G4598" s="3">
        <v>940.3936376155774</v>
      </c>
      <c r="H4598" t="s">
        <v>1755</v>
      </c>
      <c r="I4598" t="s">
        <v>7616</v>
      </c>
      <c r="M4598" t="s">
        <v>1757</v>
      </c>
    </row>
    <row r="4599" spans="1:13" x14ac:dyDescent="0.45">
      <c r="A4599" t="s">
        <v>7617</v>
      </c>
      <c r="B4599">
        <v>1</v>
      </c>
      <c r="C4599" t="s">
        <v>1774</v>
      </c>
      <c r="G4599" s="3">
        <v>1118.977300670603</v>
      </c>
      <c r="H4599" t="s">
        <v>1755</v>
      </c>
      <c r="I4599" t="s">
        <v>7617</v>
      </c>
      <c r="M4599" t="s">
        <v>1757</v>
      </c>
    </row>
    <row r="4600" spans="1:13" x14ac:dyDescent="0.45">
      <c r="A4600" t="s">
        <v>7618</v>
      </c>
      <c r="B4600">
        <v>1</v>
      </c>
      <c r="C4600" t="s">
        <v>1774</v>
      </c>
      <c r="G4600" s="3">
        <v>1013.827746058502</v>
      </c>
      <c r="H4600" t="s">
        <v>1755</v>
      </c>
      <c r="I4600" t="s">
        <v>7618</v>
      </c>
      <c r="M4600" t="s">
        <v>1757</v>
      </c>
    </row>
    <row r="4601" spans="1:13" x14ac:dyDescent="0.45">
      <c r="A4601" t="s">
        <v>7619</v>
      </c>
      <c r="B4601">
        <v>1</v>
      </c>
      <c r="C4601" t="s">
        <v>1774</v>
      </c>
      <c r="G4601" s="3">
        <v>852.52710945868682</v>
      </c>
      <c r="H4601" t="s">
        <v>1755</v>
      </c>
      <c r="I4601" t="s">
        <v>7619</v>
      </c>
      <c r="M4601" t="s">
        <v>1757</v>
      </c>
    </row>
    <row r="4602" spans="1:13" x14ac:dyDescent="0.45">
      <c r="A4602" t="s">
        <v>7620</v>
      </c>
      <c r="B4602">
        <v>1</v>
      </c>
      <c r="C4602" t="s">
        <v>1774</v>
      </c>
      <c r="G4602" s="3">
        <v>1068.1817064049969</v>
      </c>
      <c r="H4602" t="s">
        <v>1755</v>
      </c>
      <c r="I4602" t="s">
        <v>7620</v>
      </c>
      <c r="M4602" t="s">
        <v>1757</v>
      </c>
    </row>
    <row r="4603" spans="1:13" x14ac:dyDescent="0.45">
      <c r="A4603" t="s">
        <v>7621</v>
      </c>
      <c r="B4603">
        <v>1</v>
      </c>
      <c r="C4603" t="s">
        <v>1774</v>
      </c>
      <c r="G4603" s="3">
        <v>1964.2311229062061</v>
      </c>
      <c r="H4603" t="s">
        <v>1755</v>
      </c>
      <c r="I4603" t="s">
        <v>7621</v>
      </c>
      <c r="M4603" t="s">
        <v>1757</v>
      </c>
    </row>
    <row r="4604" spans="1:13" x14ac:dyDescent="0.45">
      <c r="A4604" t="s">
        <v>7622</v>
      </c>
      <c r="B4604">
        <v>1</v>
      </c>
      <c r="C4604" t="s">
        <v>1774</v>
      </c>
      <c r="G4604" s="3">
        <v>372.38252113053738</v>
      </c>
      <c r="H4604" t="s">
        <v>1755</v>
      </c>
      <c r="I4604" t="s">
        <v>7622</v>
      </c>
      <c r="M4604" t="s">
        <v>1757</v>
      </c>
    </row>
    <row r="4605" spans="1:13" x14ac:dyDescent="0.45">
      <c r="A4605" t="s">
        <v>7623</v>
      </c>
      <c r="B4605">
        <v>1</v>
      </c>
      <c r="C4605" t="s">
        <v>1774</v>
      </c>
      <c r="G4605" s="3">
        <v>1381.441860946821</v>
      </c>
      <c r="H4605" t="s">
        <v>1755</v>
      </c>
      <c r="I4605" t="s">
        <v>7623</v>
      </c>
      <c r="M4605" t="s">
        <v>1757</v>
      </c>
    </row>
    <row r="4606" spans="1:13" x14ac:dyDescent="0.45">
      <c r="A4606" t="s">
        <v>7624</v>
      </c>
      <c r="B4606">
        <v>1</v>
      </c>
      <c r="C4606" t="s">
        <v>1774</v>
      </c>
      <c r="G4606" s="3">
        <v>991.32295599604674</v>
      </c>
      <c r="H4606" t="s">
        <v>1755</v>
      </c>
      <c r="I4606" t="s">
        <v>7624</v>
      </c>
      <c r="M4606" t="s">
        <v>1757</v>
      </c>
    </row>
    <row r="4607" spans="1:13" x14ac:dyDescent="0.45">
      <c r="A4607" t="s">
        <v>7625</v>
      </c>
      <c r="B4607">
        <v>1</v>
      </c>
      <c r="C4607" t="s">
        <v>1774</v>
      </c>
      <c r="G4607" s="3">
        <v>2045.215751493274</v>
      </c>
      <c r="H4607" t="s">
        <v>1755</v>
      </c>
      <c r="I4607" t="s">
        <v>7625</v>
      </c>
      <c r="M4607" t="s">
        <v>1757</v>
      </c>
    </row>
    <row r="4608" spans="1:13" x14ac:dyDescent="0.45">
      <c r="A4608" t="s">
        <v>7626</v>
      </c>
      <c r="B4608">
        <v>1</v>
      </c>
      <c r="C4608" t="s">
        <v>1774</v>
      </c>
      <c r="G4608" s="3">
        <v>1323.894829662479</v>
      </c>
      <c r="H4608" t="s">
        <v>1755</v>
      </c>
      <c r="I4608" t="s">
        <v>7626</v>
      </c>
      <c r="M4608" t="s">
        <v>1757</v>
      </c>
    </row>
    <row r="4609" spans="1:13" x14ac:dyDescent="0.45">
      <c r="A4609" t="s">
        <v>7627</v>
      </c>
      <c r="B4609">
        <v>1</v>
      </c>
      <c r="C4609" t="s">
        <v>1774</v>
      </c>
      <c r="G4609" s="3">
        <v>996.74367499369919</v>
      </c>
      <c r="H4609" t="s">
        <v>1755</v>
      </c>
      <c r="I4609" t="s">
        <v>7627</v>
      </c>
      <c r="M4609" t="s">
        <v>1757</v>
      </c>
    </row>
    <row r="4610" spans="1:13" x14ac:dyDescent="0.45">
      <c r="A4610" t="s">
        <v>7628</v>
      </c>
      <c r="B4610">
        <v>1</v>
      </c>
      <c r="C4610" t="s">
        <v>1774</v>
      </c>
      <c r="G4610" s="3">
        <v>2471.7434928885682</v>
      </c>
      <c r="H4610" t="s">
        <v>1755</v>
      </c>
      <c r="I4610" t="s">
        <v>7628</v>
      </c>
      <c r="M4610" t="s">
        <v>1757</v>
      </c>
    </row>
    <row r="4611" spans="1:13" x14ac:dyDescent="0.45">
      <c r="A4611" t="s">
        <v>7629</v>
      </c>
      <c r="B4611">
        <v>1</v>
      </c>
      <c r="C4611" t="s">
        <v>1774</v>
      </c>
      <c r="G4611" s="3">
        <v>1755.0800841315679</v>
      </c>
      <c r="H4611" t="s">
        <v>1755</v>
      </c>
      <c r="I4611" t="s">
        <v>7629</v>
      </c>
      <c r="M4611" t="s">
        <v>1757</v>
      </c>
    </row>
    <row r="4612" spans="1:13" x14ac:dyDescent="0.45">
      <c r="A4612" t="s">
        <v>7630</v>
      </c>
      <c r="B4612">
        <v>1</v>
      </c>
      <c r="C4612" t="s">
        <v>1774</v>
      </c>
      <c r="G4612" s="3">
        <v>759.87912880446856</v>
      </c>
      <c r="H4612" t="s">
        <v>1755</v>
      </c>
      <c r="I4612" t="s">
        <v>7630</v>
      </c>
      <c r="M4612" t="s">
        <v>1757</v>
      </c>
    </row>
    <row r="4613" spans="1:13" x14ac:dyDescent="0.45">
      <c r="A4613" t="s">
        <v>7631</v>
      </c>
      <c r="B4613">
        <v>1</v>
      </c>
      <c r="C4613" t="s">
        <v>1774</v>
      </c>
      <c r="G4613" s="3">
        <v>1337.727121641446</v>
      </c>
      <c r="H4613" t="s">
        <v>1755</v>
      </c>
      <c r="I4613" t="s">
        <v>7631</v>
      </c>
      <c r="M4613" t="s">
        <v>1757</v>
      </c>
    </row>
    <row r="4614" spans="1:13" x14ac:dyDescent="0.45">
      <c r="A4614" t="s">
        <v>7632</v>
      </c>
      <c r="B4614">
        <v>1</v>
      </c>
      <c r="C4614" t="s">
        <v>1774</v>
      </c>
      <c r="G4614" s="3">
        <v>1759.157038853027</v>
      </c>
      <c r="H4614" t="s">
        <v>1755</v>
      </c>
      <c r="I4614" t="s">
        <v>7632</v>
      </c>
      <c r="M4614" t="s">
        <v>1757</v>
      </c>
    </row>
    <row r="4615" spans="1:13" x14ac:dyDescent="0.45">
      <c r="A4615" t="s">
        <v>7633</v>
      </c>
      <c r="B4615">
        <v>1</v>
      </c>
      <c r="C4615" t="s">
        <v>1774</v>
      </c>
      <c r="G4615" s="3">
        <v>1853.9380822175119</v>
      </c>
      <c r="H4615" t="s">
        <v>1755</v>
      </c>
      <c r="I4615" t="s">
        <v>7633</v>
      </c>
      <c r="M4615" t="s">
        <v>1757</v>
      </c>
    </row>
    <row r="4616" spans="1:13" x14ac:dyDescent="0.45">
      <c r="A4616" t="s">
        <v>7634</v>
      </c>
      <c r="B4616">
        <v>1</v>
      </c>
      <c r="C4616" t="s">
        <v>1774</v>
      </c>
      <c r="G4616" s="3">
        <v>576.70318395119125</v>
      </c>
      <c r="H4616" t="s">
        <v>1755</v>
      </c>
      <c r="I4616" t="s">
        <v>7634</v>
      </c>
      <c r="M4616" t="s">
        <v>1757</v>
      </c>
    </row>
    <row r="4617" spans="1:13" x14ac:dyDescent="0.45">
      <c r="A4617" t="s">
        <v>7635</v>
      </c>
      <c r="B4617">
        <v>1</v>
      </c>
      <c r="C4617" t="s">
        <v>1774</v>
      </c>
      <c r="G4617" s="3">
        <v>1394.899073091414</v>
      </c>
      <c r="H4617" t="s">
        <v>1755</v>
      </c>
      <c r="I4617" t="s">
        <v>7635</v>
      </c>
      <c r="M4617" t="s">
        <v>1757</v>
      </c>
    </row>
    <row r="4618" spans="1:13" x14ac:dyDescent="0.45">
      <c r="A4618" t="s">
        <v>7636</v>
      </c>
      <c r="B4618">
        <v>1</v>
      </c>
      <c r="C4618" t="s">
        <v>1774</v>
      </c>
      <c r="G4618" s="3">
        <v>402.7476798959662</v>
      </c>
      <c r="H4618" t="s">
        <v>1755</v>
      </c>
      <c r="I4618" t="s">
        <v>7636</v>
      </c>
      <c r="M4618" t="s">
        <v>1757</v>
      </c>
    </row>
    <row r="4619" spans="1:13" x14ac:dyDescent="0.45">
      <c r="A4619" t="s">
        <v>7637</v>
      </c>
      <c r="B4619">
        <v>1</v>
      </c>
      <c r="C4619" t="s">
        <v>1774</v>
      </c>
      <c r="G4619" s="3">
        <v>828.38827594387055</v>
      </c>
      <c r="H4619" t="s">
        <v>1755</v>
      </c>
      <c r="I4619" t="s">
        <v>7637</v>
      </c>
      <c r="M4619" t="s">
        <v>1757</v>
      </c>
    </row>
    <row r="4620" spans="1:13" x14ac:dyDescent="0.45">
      <c r="A4620" t="s">
        <v>7638</v>
      </c>
      <c r="B4620">
        <v>1</v>
      </c>
      <c r="C4620" t="s">
        <v>1774</v>
      </c>
      <c r="G4620" s="3">
        <v>1426.9178446918661</v>
      </c>
      <c r="H4620" t="s">
        <v>1755</v>
      </c>
      <c r="I4620" t="s">
        <v>7638</v>
      </c>
      <c r="M4620" t="s">
        <v>1757</v>
      </c>
    </row>
    <row r="4621" spans="1:13" x14ac:dyDescent="0.45">
      <c r="A4621" t="s">
        <v>7639</v>
      </c>
      <c r="B4621">
        <v>1</v>
      </c>
      <c r="C4621" t="s">
        <v>1774</v>
      </c>
      <c r="G4621" s="3">
        <v>1068.494816527606</v>
      </c>
      <c r="H4621" t="s">
        <v>1755</v>
      </c>
      <c r="I4621" t="s">
        <v>7639</v>
      </c>
      <c r="M4621" t="s">
        <v>1757</v>
      </c>
    </row>
    <row r="4622" spans="1:13" x14ac:dyDescent="0.45">
      <c r="A4622" t="s">
        <v>7640</v>
      </c>
      <c r="B4622">
        <v>1</v>
      </c>
      <c r="C4622" t="s">
        <v>1774</v>
      </c>
      <c r="G4622" s="3">
        <v>1061.2378371234081</v>
      </c>
      <c r="H4622" t="s">
        <v>1755</v>
      </c>
      <c r="I4622" t="s">
        <v>7640</v>
      </c>
      <c r="M4622" t="s">
        <v>1757</v>
      </c>
    </row>
    <row r="4623" spans="1:13" x14ac:dyDescent="0.45">
      <c r="A4623" t="s">
        <v>7641</v>
      </c>
      <c r="B4623">
        <v>1</v>
      </c>
      <c r="C4623" t="s">
        <v>1774</v>
      </c>
      <c r="G4623" s="3">
        <v>2163.170205494534</v>
      </c>
      <c r="H4623" t="s">
        <v>1755</v>
      </c>
      <c r="I4623" t="s">
        <v>7641</v>
      </c>
      <c r="M4623" t="s">
        <v>1757</v>
      </c>
    </row>
    <row r="4624" spans="1:13" x14ac:dyDescent="0.45">
      <c r="A4624" t="s">
        <v>7642</v>
      </c>
      <c r="B4624">
        <v>1</v>
      </c>
      <c r="C4624" t="s">
        <v>1774</v>
      </c>
      <c r="G4624" s="3">
        <v>911.11784115172259</v>
      </c>
      <c r="H4624" t="s">
        <v>1755</v>
      </c>
      <c r="I4624" t="s">
        <v>7642</v>
      </c>
      <c r="M4624" t="s">
        <v>1757</v>
      </c>
    </row>
    <row r="4625" spans="1:13" x14ac:dyDescent="0.45">
      <c r="A4625" t="s">
        <v>7643</v>
      </c>
      <c r="B4625">
        <v>1</v>
      </c>
      <c r="C4625" t="s">
        <v>1774</v>
      </c>
      <c r="G4625" s="3">
        <v>908.3911738340106</v>
      </c>
      <c r="H4625" t="s">
        <v>1755</v>
      </c>
      <c r="I4625" t="s">
        <v>7643</v>
      </c>
      <c r="M4625" t="s">
        <v>1757</v>
      </c>
    </row>
    <row r="4626" spans="1:13" x14ac:dyDescent="0.45">
      <c r="A4626" t="s">
        <v>7644</v>
      </c>
      <c r="B4626">
        <v>1</v>
      </c>
      <c r="C4626" t="s">
        <v>1774</v>
      </c>
      <c r="G4626" s="3">
        <v>1211.390448732865</v>
      </c>
      <c r="H4626" t="s">
        <v>1755</v>
      </c>
      <c r="I4626" t="s">
        <v>7644</v>
      </c>
      <c r="M4626" t="s">
        <v>1757</v>
      </c>
    </row>
    <row r="4627" spans="1:13" x14ac:dyDescent="0.45">
      <c r="A4627" t="s">
        <v>7645</v>
      </c>
      <c r="B4627">
        <v>1</v>
      </c>
      <c r="C4627" t="s">
        <v>1774</v>
      </c>
      <c r="G4627" s="3">
        <v>2202.472049009401</v>
      </c>
      <c r="H4627" t="s">
        <v>1755</v>
      </c>
      <c r="I4627" t="s">
        <v>7645</v>
      </c>
      <c r="M4627" t="s">
        <v>1757</v>
      </c>
    </row>
    <row r="4628" spans="1:13" x14ac:dyDescent="0.45">
      <c r="A4628" t="s">
        <v>7646</v>
      </c>
      <c r="B4628">
        <v>1</v>
      </c>
      <c r="C4628" t="s">
        <v>1774</v>
      </c>
      <c r="G4628" s="3">
        <v>325.27901706068519</v>
      </c>
      <c r="H4628" t="s">
        <v>1755</v>
      </c>
      <c r="I4628" t="s">
        <v>7646</v>
      </c>
      <c r="M4628" t="s">
        <v>1757</v>
      </c>
    </row>
    <row r="4629" spans="1:13" x14ac:dyDescent="0.45">
      <c r="A4629" t="s">
        <v>7647</v>
      </c>
      <c r="B4629">
        <v>1</v>
      </c>
      <c r="C4629" t="s">
        <v>1774</v>
      </c>
      <c r="G4629" s="3">
        <v>875.1591005084515</v>
      </c>
      <c r="H4629" t="s">
        <v>1755</v>
      </c>
      <c r="I4629" t="s">
        <v>7647</v>
      </c>
      <c r="M4629" t="s">
        <v>1757</v>
      </c>
    </row>
    <row r="4630" spans="1:13" x14ac:dyDescent="0.45">
      <c r="A4630" t="s">
        <v>7648</v>
      </c>
      <c r="B4630">
        <v>1</v>
      </c>
      <c r="C4630" t="s">
        <v>1774</v>
      </c>
      <c r="G4630" s="3">
        <v>1768.5862197328181</v>
      </c>
      <c r="H4630" t="s">
        <v>1755</v>
      </c>
      <c r="I4630" t="s">
        <v>7648</v>
      </c>
      <c r="M4630" t="s">
        <v>1757</v>
      </c>
    </row>
    <row r="4631" spans="1:13" x14ac:dyDescent="0.45">
      <c r="A4631" t="s">
        <v>7649</v>
      </c>
      <c r="B4631">
        <v>1</v>
      </c>
      <c r="C4631" t="s">
        <v>1774</v>
      </c>
      <c r="G4631" s="3">
        <v>1659.7608827438489</v>
      </c>
      <c r="H4631" t="s">
        <v>1755</v>
      </c>
      <c r="I4631" t="s">
        <v>7649</v>
      </c>
      <c r="M4631" t="s">
        <v>1757</v>
      </c>
    </row>
    <row r="4632" spans="1:13" x14ac:dyDescent="0.45">
      <c r="A4632" t="s">
        <v>7650</v>
      </c>
      <c r="B4632">
        <v>1</v>
      </c>
      <c r="C4632" t="s">
        <v>1774</v>
      </c>
      <c r="G4632" s="3">
        <v>1180.9698433832241</v>
      </c>
      <c r="H4632" t="s">
        <v>1755</v>
      </c>
      <c r="I4632" t="s">
        <v>7650</v>
      </c>
      <c r="M4632" t="s">
        <v>1757</v>
      </c>
    </row>
    <row r="4633" spans="1:13" x14ac:dyDescent="0.45">
      <c r="A4633" t="s">
        <v>7651</v>
      </c>
      <c r="B4633">
        <v>1</v>
      </c>
      <c r="C4633" t="s">
        <v>1774</v>
      </c>
      <c r="G4633" s="3">
        <v>1555.2147174305239</v>
      </c>
      <c r="H4633" t="s">
        <v>1755</v>
      </c>
      <c r="I4633" t="s">
        <v>7651</v>
      </c>
      <c r="M4633" t="s">
        <v>1757</v>
      </c>
    </row>
    <row r="4634" spans="1:13" x14ac:dyDescent="0.45">
      <c r="A4634" t="s">
        <v>7652</v>
      </c>
      <c r="B4634">
        <v>1</v>
      </c>
      <c r="C4634" t="s">
        <v>1774</v>
      </c>
      <c r="G4634" s="3">
        <v>1581.375720487184</v>
      </c>
      <c r="H4634" t="s">
        <v>1755</v>
      </c>
      <c r="I4634" t="s">
        <v>7652</v>
      </c>
      <c r="M4634" t="s">
        <v>1757</v>
      </c>
    </row>
    <row r="4635" spans="1:13" x14ac:dyDescent="0.45">
      <c r="A4635" t="s">
        <v>7653</v>
      </c>
      <c r="B4635">
        <v>1</v>
      </c>
      <c r="C4635" t="s">
        <v>1774</v>
      </c>
      <c r="G4635" s="3">
        <v>1577.536859921458</v>
      </c>
      <c r="H4635" t="s">
        <v>1755</v>
      </c>
      <c r="I4635" t="s">
        <v>7653</v>
      </c>
      <c r="M4635" t="s">
        <v>1757</v>
      </c>
    </row>
    <row r="4636" spans="1:13" x14ac:dyDescent="0.45">
      <c r="A4636" t="s">
        <v>7654</v>
      </c>
      <c r="B4636">
        <v>1</v>
      </c>
      <c r="C4636" t="s">
        <v>1774</v>
      </c>
      <c r="G4636" s="3">
        <v>499.80855634069178</v>
      </c>
      <c r="H4636" t="s">
        <v>1755</v>
      </c>
      <c r="I4636" t="s">
        <v>7654</v>
      </c>
      <c r="M4636" t="s">
        <v>1757</v>
      </c>
    </row>
    <row r="4637" spans="1:13" x14ac:dyDescent="0.45">
      <c r="A4637" t="s">
        <v>7655</v>
      </c>
      <c r="B4637">
        <v>1</v>
      </c>
      <c r="C4637" t="s">
        <v>1774</v>
      </c>
      <c r="G4637" s="3">
        <v>691.05034841490431</v>
      </c>
      <c r="H4637" t="s">
        <v>1755</v>
      </c>
      <c r="I4637" t="s">
        <v>7655</v>
      </c>
      <c r="M4637" t="s">
        <v>1757</v>
      </c>
    </row>
    <row r="4638" spans="1:13" x14ac:dyDescent="0.45">
      <c r="A4638" t="s">
        <v>7656</v>
      </c>
      <c r="B4638">
        <v>1</v>
      </c>
      <c r="C4638" t="s">
        <v>1774</v>
      </c>
      <c r="G4638" s="3">
        <v>842.87288067827103</v>
      </c>
      <c r="H4638" t="s">
        <v>1755</v>
      </c>
      <c r="I4638" t="s">
        <v>7656</v>
      </c>
      <c r="M4638" t="s">
        <v>1757</v>
      </c>
    </row>
    <row r="4639" spans="1:13" x14ac:dyDescent="0.45">
      <c r="A4639" t="s">
        <v>7657</v>
      </c>
      <c r="B4639">
        <v>1</v>
      </c>
      <c r="C4639" t="s">
        <v>1774</v>
      </c>
      <c r="G4639" s="3">
        <v>1036.042256944789</v>
      </c>
      <c r="H4639" t="s">
        <v>1755</v>
      </c>
      <c r="I4639" t="s">
        <v>7657</v>
      </c>
      <c r="M4639" t="s">
        <v>1757</v>
      </c>
    </row>
    <row r="4640" spans="1:13" x14ac:dyDescent="0.45">
      <c r="A4640" t="s">
        <v>7658</v>
      </c>
      <c r="B4640">
        <v>1</v>
      </c>
      <c r="C4640" t="s">
        <v>1774</v>
      </c>
      <c r="G4640" s="3">
        <v>676.74186812447078</v>
      </c>
      <c r="H4640" t="s">
        <v>1755</v>
      </c>
      <c r="I4640" t="s">
        <v>7658</v>
      </c>
      <c r="M4640" t="s">
        <v>1757</v>
      </c>
    </row>
    <row r="4641" spans="1:13" x14ac:dyDescent="0.45">
      <c r="A4641" t="s">
        <v>7659</v>
      </c>
      <c r="B4641">
        <v>1</v>
      </c>
      <c r="C4641" t="s">
        <v>1774</v>
      </c>
      <c r="G4641" s="3">
        <v>1050.59535451851</v>
      </c>
      <c r="H4641" t="s">
        <v>1755</v>
      </c>
      <c r="I4641" t="s">
        <v>7659</v>
      </c>
      <c r="M4641" t="s">
        <v>1757</v>
      </c>
    </row>
    <row r="4642" spans="1:13" x14ac:dyDescent="0.45">
      <c r="A4642" t="s">
        <v>7660</v>
      </c>
      <c r="B4642">
        <v>1</v>
      </c>
      <c r="C4642" t="s">
        <v>1774</v>
      </c>
      <c r="G4642" s="3">
        <v>689.54676751363002</v>
      </c>
      <c r="H4642" t="s">
        <v>1755</v>
      </c>
      <c r="I4642" t="s">
        <v>7660</v>
      </c>
      <c r="M4642" t="s">
        <v>1757</v>
      </c>
    </row>
    <row r="4643" spans="1:13" x14ac:dyDescent="0.45">
      <c r="A4643" t="s">
        <v>7661</v>
      </c>
      <c r="B4643">
        <v>1</v>
      </c>
      <c r="C4643" t="s">
        <v>1774</v>
      </c>
      <c r="G4643" s="3">
        <v>824.38959875306318</v>
      </c>
      <c r="H4643" t="s">
        <v>1755</v>
      </c>
      <c r="I4643" t="s">
        <v>7661</v>
      </c>
      <c r="M4643" t="s">
        <v>1757</v>
      </c>
    </row>
    <row r="4644" spans="1:13" x14ac:dyDescent="0.45">
      <c r="A4644" t="s">
        <v>7662</v>
      </c>
      <c r="B4644">
        <v>1</v>
      </c>
      <c r="C4644" t="s">
        <v>1774</v>
      </c>
      <c r="G4644" s="3">
        <v>1136.635406960188</v>
      </c>
      <c r="H4644" t="s">
        <v>1755</v>
      </c>
      <c r="I4644" t="s">
        <v>7662</v>
      </c>
      <c r="M4644" t="s">
        <v>1757</v>
      </c>
    </row>
    <row r="4645" spans="1:13" x14ac:dyDescent="0.45">
      <c r="A4645" t="s">
        <v>7663</v>
      </c>
      <c r="B4645">
        <v>1</v>
      </c>
      <c r="C4645" t="s">
        <v>1774</v>
      </c>
      <c r="G4645" s="3">
        <v>285.69765753011438</v>
      </c>
      <c r="H4645" t="s">
        <v>1755</v>
      </c>
      <c r="I4645" t="s">
        <v>7663</v>
      </c>
      <c r="M4645" t="s">
        <v>1757</v>
      </c>
    </row>
    <row r="4646" spans="1:13" x14ac:dyDescent="0.45">
      <c r="A4646" t="s">
        <v>7664</v>
      </c>
      <c r="B4646">
        <v>1</v>
      </c>
      <c r="C4646" t="s">
        <v>1774</v>
      </c>
      <c r="G4646" s="3">
        <v>753.94634429380108</v>
      </c>
      <c r="H4646" t="s">
        <v>1755</v>
      </c>
      <c r="I4646" t="s">
        <v>7664</v>
      </c>
      <c r="M4646" t="s">
        <v>1757</v>
      </c>
    </row>
    <row r="4647" spans="1:13" x14ac:dyDescent="0.45">
      <c r="A4647" t="s">
        <v>7665</v>
      </c>
      <c r="B4647">
        <v>1</v>
      </c>
      <c r="C4647" t="s">
        <v>1774</v>
      </c>
      <c r="G4647" s="3">
        <v>1251.8827630263991</v>
      </c>
      <c r="H4647" t="s">
        <v>1755</v>
      </c>
      <c r="I4647" t="s">
        <v>7665</v>
      </c>
      <c r="M4647" t="s">
        <v>1757</v>
      </c>
    </row>
    <row r="4648" spans="1:13" x14ac:dyDescent="0.45">
      <c r="A4648" t="s">
        <v>7666</v>
      </c>
      <c r="B4648">
        <v>1</v>
      </c>
      <c r="C4648" t="s">
        <v>1774</v>
      </c>
      <c r="G4648" s="3">
        <v>900.17203311554863</v>
      </c>
      <c r="H4648" t="s">
        <v>1755</v>
      </c>
      <c r="I4648" t="s">
        <v>7666</v>
      </c>
      <c r="M4648" t="s">
        <v>1757</v>
      </c>
    </row>
    <row r="4649" spans="1:13" x14ac:dyDescent="0.45">
      <c r="A4649" t="s">
        <v>7667</v>
      </c>
      <c r="B4649">
        <v>1</v>
      </c>
      <c r="C4649" t="s">
        <v>1774</v>
      </c>
      <c r="G4649" s="3">
        <v>397.72813324290553</v>
      </c>
      <c r="H4649" t="s">
        <v>1755</v>
      </c>
      <c r="I4649" t="s">
        <v>7667</v>
      </c>
      <c r="M4649" t="s">
        <v>1757</v>
      </c>
    </row>
    <row r="4650" spans="1:13" x14ac:dyDescent="0.45">
      <c r="A4650" t="s">
        <v>7668</v>
      </c>
      <c r="B4650">
        <v>1</v>
      </c>
      <c r="C4650" t="s">
        <v>1774</v>
      </c>
      <c r="G4650" s="3">
        <v>430.83952870870928</v>
      </c>
      <c r="H4650" t="s">
        <v>1755</v>
      </c>
      <c r="I4650" t="s">
        <v>7668</v>
      </c>
      <c r="M4650" t="s">
        <v>1757</v>
      </c>
    </row>
    <row r="4651" spans="1:13" x14ac:dyDescent="0.45">
      <c r="A4651" t="s">
        <v>7669</v>
      </c>
      <c r="B4651">
        <v>1</v>
      </c>
      <c r="C4651" t="s">
        <v>1774</v>
      </c>
      <c r="G4651" s="3">
        <v>659.54690389124403</v>
      </c>
      <c r="H4651" t="s">
        <v>1755</v>
      </c>
      <c r="I4651" t="s">
        <v>7669</v>
      </c>
      <c r="M4651" t="s">
        <v>1757</v>
      </c>
    </row>
    <row r="4652" spans="1:13" x14ac:dyDescent="0.45">
      <c r="A4652" t="s">
        <v>7670</v>
      </c>
      <c r="B4652">
        <v>1</v>
      </c>
      <c r="C4652" t="s">
        <v>1774</v>
      </c>
      <c r="G4652" s="3">
        <v>1260.0921190535289</v>
      </c>
      <c r="H4652" t="s">
        <v>1755</v>
      </c>
      <c r="I4652" t="s">
        <v>7670</v>
      </c>
      <c r="M4652" t="s">
        <v>1757</v>
      </c>
    </row>
    <row r="4653" spans="1:13" x14ac:dyDescent="0.45">
      <c r="A4653" t="s">
        <v>7671</v>
      </c>
      <c r="B4653">
        <v>1</v>
      </c>
      <c r="C4653" t="s">
        <v>1774</v>
      </c>
      <c r="G4653" s="3">
        <v>1281.1128975973729</v>
      </c>
      <c r="H4653" t="s">
        <v>1755</v>
      </c>
      <c r="I4653" t="s">
        <v>7671</v>
      </c>
      <c r="M4653" t="s">
        <v>1757</v>
      </c>
    </row>
    <row r="4654" spans="1:13" x14ac:dyDescent="0.45">
      <c r="A4654" t="s">
        <v>7672</v>
      </c>
      <c r="B4654">
        <v>1</v>
      </c>
      <c r="C4654" t="s">
        <v>1774</v>
      </c>
      <c r="G4654" s="3">
        <v>444.35544900129122</v>
      </c>
      <c r="H4654" t="s">
        <v>1755</v>
      </c>
      <c r="I4654" t="s">
        <v>7672</v>
      </c>
      <c r="M4654" t="s">
        <v>1757</v>
      </c>
    </row>
    <row r="4655" spans="1:13" x14ac:dyDescent="0.45">
      <c r="A4655" t="s">
        <v>7673</v>
      </c>
      <c r="B4655">
        <v>1</v>
      </c>
      <c r="C4655" t="s">
        <v>1774</v>
      </c>
      <c r="G4655" s="3">
        <v>697.91594016584168</v>
      </c>
      <c r="H4655" t="s">
        <v>1755</v>
      </c>
      <c r="I4655" t="s">
        <v>7673</v>
      </c>
      <c r="M4655" t="s">
        <v>1757</v>
      </c>
    </row>
    <row r="4656" spans="1:13" x14ac:dyDescent="0.45">
      <c r="A4656" t="s">
        <v>7674</v>
      </c>
      <c r="B4656">
        <v>1</v>
      </c>
      <c r="C4656" t="s">
        <v>1774</v>
      </c>
      <c r="G4656" s="3">
        <v>871.5094106418012</v>
      </c>
      <c r="H4656" t="s">
        <v>1755</v>
      </c>
      <c r="I4656" t="s">
        <v>7674</v>
      </c>
      <c r="M4656" t="s">
        <v>1757</v>
      </c>
    </row>
    <row r="4657" spans="1:13" x14ac:dyDescent="0.45">
      <c r="A4657" t="s">
        <v>7675</v>
      </c>
      <c r="B4657">
        <v>2</v>
      </c>
      <c r="C4657" t="s">
        <v>1774</v>
      </c>
      <c r="G4657" s="3">
        <v>532.8449358396208</v>
      </c>
      <c r="H4657" t="s">
        <v>1755</v>
      </c>
      <c r="I4657" t="s">
        <v>7675</v>
      </c>
      <c r="M4657" t="s">
        <v>1757</v>
      </c>
    </row>
    <row r="4658" spans="1:13" x14ac:dyDescent="0.45">
      <c r="A4658" t="s">
        <v>7676</v>
      </c>
      <c r="B4658">
        <v>1</v>
      </c>
      <c r="C4658" t="s">
        <v>1774</v>
      </c>
      <c r="G4658" s="3">
        <v>578.24590361779144</v>
      </c>
      <c r="H4658" t="s">
        <v>1755</v>
      </c>
      <c r="I4658" t="s">
        <v>7676</v>
      </c>
      <c r="M4658" t="s">
        <v>1757</v>
      </c>
    </row>
    <row r="4659" spans="1:13" x14ac:dyDescent="0.45">
      <c r="A4659" t="s">
        <v>7677</v>
      </c>
      <c r="B4659">
        <v>1</v>
      </c>
      <c r="C4659" t="s">
        <v>1774</v>
      </c>
      <c r="G4659" s="3">
        <v>282.92989450881021</v>
      </c>
      <c r="H4659" t="s">
        <v>1755</v>
      </c>
      <c r="I4659" t="s">
        <v>7677</v>
      </c>
      <c r="M4659" t="s">
        <v>1757</v>
      </c>
    </row>
    <row r="4660" spans="1:13" x14ac:dyDescent="0.45">
      <c r="A4660" t="s">
        <v>7678</v>
      </c>
      <c r="B4660">
        <v>1</v>
      </c>
      <c r="C4660" t="s">
        <v>1774</v>
      </c>
      <c r="G4660" s="3">
        <v>1188.879135542855</v>
      </c>
      <c r="H4660" t="s">
        <v>1755</v>
      </c>
      <c r="I4660" t="s">
        <v>7678</v>
      </c>
      <c r="M4660" t="s">
        <v>1757</v>
      </c>
    </row>
    <row r="4661" spans="1:13" x14ac:dyDescent="0.45">
      <c r="A4661" t="s">
        <v>7679</v>
      </c>
      <c r="B4661">
        <v>1</v>
      </c>
      <c r="C4661" t="s">
        <v>1774</v>
      </c>
      <c r="G4661" s="3">
        <v>688.82922348265322</v>
      </c>
      <c r="H4661" t="s">
        <v>1755</v>
      </c>
      <c r="I4661" t="s">
        <v>7679</v>
      </c>
      <c r="M4661" t="s">
        <v>1757</v>
      </c>
    </row>
    <row r="4662" spans="1:13" x14ac:dyDescent="0.45">
      <c r="A4662" t="s">
        <v>7680</v>
      </c>
      <c r="B4662">
        <v>1</v>
      </c>
      <c r="C4662" t="s">
        <v>1774</v>
      </c>
      <c r="G4662" s="3">
        <v>1224.097501208709</v>
      </c>
      <c r="H4662" t="s">
        <v>1755</v>
      </c>
      <c r="I4662" t="s">
        <v>7680</v>
      </c>
      <c r="M4662" t="s">
        <v>1757</v>
      </c>
    </row>
    <row r="4663" spans="1:13" x14ac:dyDescent="0.45">
      <c r="A4663" t="s">
        <v>7681</v>
      </c>
      <c r="B4663">
        <v>4</v>
      </c>
      <c r="C4663" t="s">
        <v>1774</v>
      </c>
      <c r="G4663" s="3">
        <v>863.59685691839286</v>
      </c>
      <c r="H4663" t="s">
        <v>1755</v>
      </c>
      <c r="I4663" t="s">
        <v>7681</v>
      </c>
      <c r="M4663" t="s">
        <v>1757</v>
      </c>
    </row>
    <row r="4664" spans="1:13" x14ac:dyDescent="0.45">
      <c r="A4664" t="s">
        <v>7682</v>
      </c>
      <c r="B4664">
        <v>1</v>
      </c>
      <c r="C4664" t="s">
        <v>1774</v>
      </c>
      <c r="G4664" s="3">
        <v>1481.2196200179269</v>
      </c>
      <c r="H4664" t="s">
        <v>1755</v>
      </c>
      <c r="I4664" t="s">
        <v>7682</v>
      </c>
      <c r="M4664" t="s">
        <v>1757</v>
      </c>
    </row>
    <row r="4665" spans="1:13" x14ac:dyDescent="0.45">
      <c r="A4665" t="s">
        <v>7683</v>
      </c>
      <c r="B4665">
        <v>1</v>
      </c>
      <c r="C4665" t="s">
        <v>1774</v>
      </c>
      <c r="G4665" s="3">
        <v>634.54701753925565</v>
      </c>
      <c r="H4665" t="s">
        <v>1755</v>
      </c>
      <c r="I4665" t="s">
        <v>7683</v>
      </c>
      <c r="M4665" t="s">
        <v>1757</v>
      </c>
    </row>
    <row r="4666" spans="1:13" x14ac:dyDescent="0.45">
      <c r="A4666" t="s">
        <v>7684</v>
      </c>
      <c r="B4666">
        <v>1</v>
      </c>
      <c r="C4666" t="s">
        <v>1774</v>
      </c>
      <c r="G4666" s="3">
        <v>1008.270041382209</v>
      </c>
      <c r="H4666" t="s">
        <v>1755</v>
      </c>
      <c r="I4666" t="s">
        <v>7684</v>
      </c>
      <c r="M4666" t="s">
        <v>1757</v>
      </c>
    </row>
    <row r="4667" spans="1:13" x14ac:dyDescent="0.45">
      <c r="A4667" t="s">
        <v>7685</v>
      </c>
      <c r="B4667">
        <v>1</v>
      </c>
      <c r="C4667" t="s">
        <v>1774</v>
      </c>
      <c r="G4667" s="3">
        <v>602.8935410818458</v>
      </c>
      <c r="H4667" t="s">
        <v>1755</v>
      </c>
      <c r="I4667" t="s">
        <v>7685</v>
      </c>
      <c r="M4667" t="s">
        <v>1757</v>
      </c>
    </row>
    <row r="4668" spans="1:13" x14ac:dyDescent="0.45">
      <c r="A4668" t="s">
        <v>7686</v>
      </c>
      <c r="B4668">
        <v>1</v>
      </c>
      <c r="C4668" t="s">
        <v>1774</v>
      </c>
      <c r="G4668" s="3">
        <v>570.18005639685634</v>
      </c>
      <c r="H4668" t="s">
        <v>1755</v>
      </c>
      <c r="I4668" t="s">
        <v>7686</v>
      </c>
      <c r="M4668" t="s">
        <v>1757</v>
      </c>
    </row>
    <row r="4669" spans="1:13" x14ac:dyDescent="0.45">
      <c r="A4669" t="s">
        <v>7687</v>
      </c>
      <c r="B4669">
        <v>2</v>
      </c>
      <c r="C4669" t="s">
        <v>1774</v>
      </c>
      <c r="G4669" s="3">
        <v>656.67672776733662</v>
      </c>
      <c r="H4669" t="s">
        <v>1755</v>
      </c>
      <c r="I4669" t="s">
        <v>7687</v>
      </c>
      <c r="M4669" t="s">
        <v>1757</v>
      </c>
    </row>
    <row r="4670" spans="1:13" x14ac:dyDescent="0.45">
      <c r="A4670" t="s">
        <v>7688</v>
      </c>
      <c r="B4670">
        <v>1</v>
      </c>
      <c r="C4670" t="s">
        <v>1774</v>
      </c>
      <c r="G4670" s="3">
        <v>819.64076189350749</v>
      </c>
      <c r="H4670" t="s">
        <v>1755</v>
      </c>
      <c r="I4670" t="s">
        <v>7688</v>
      </c>
      <c r="M4670" t="s">
        <v>1757</v>
      </c>
    </row>
    <row r="4671" spans="1:13" x14ac:dyDescent="0.45">
      <c r="A4671" t="s">
        <v>7689</v>
      </c>
      <c r="B4671">
        <v>1</v>
      </c>
      <c r="C4671" t="s">
        <v>1774</v>
      </c>
      <c r="G4671" s="3">
        <v>970.19128428377905</v>
      </c>
      <c r="H4671" t="s">
        <v>1755</v>
      </c>
      <c r="I4671" t="s">
        <v>7689</v>
      </c>
      <c r="M4671" t="s">
        <v>1757</v>
      </c>
    </row>
    <row r="4672" spans="1:13" x14ac:dyDescent="0.45">
      <c r="A4672" t="s">
        <v>7690</v>
      </c>
      <c r="B4672">
        <v>1</v>
      </c>
      <c r="C4672" t="s">
        <v>1774</v>
      </c>
      <c r="G4672" s="3">
        <v>1047.235943828028</v>
      </c>
      <c r="H4672" t="s">
        <v>1755</v>
      </c>
      <c r="I4672" t="s">
        <v>7690</v>
      </c>
      <c r="M4672" t="s">
        <v>1757</v>
      </c>
    </row>
    <row r="4673" spans="1:13" x14ac:dyDescent="0.45">
      <c r="A4673" t="s">
        <v>7691</v>
      </c>
      <c r="B4673">
        <v>1</v>
      </c>
      <c r="C4673" t="s">
        <v>1774</v>
      </c>
      <c r="G4673" s="3">
        <v>1299.0025749151371</v>
      </c>
      <c r="H4673" t="s">
        <v>1755</v>
      </c>
      <c r="I4673" t="s">
        <v>7691</v>
      </c>
      <c r="M4673" t="s">
        <v>1757</v>
      </c>
    </row>
    <row r="4674" spans="1:13" x14ac:dyDescent="0.45">
      <c r="A4674" t="s">
        <v>7692</v>
      </c>
      <c r="B4674">
        <v>1</v>
      </c>
      <c r="C4674" t="s">
        <v>1774</v>
      </c>
      <c r="G4674" s="3">
        <v>947.1711671445313</v>
      </c>
      <c r="H4674" t="s">
        <v>1755</v>
      </c>
      <c r="I4674" t="s">
        <v>7692</v>
      </c>
      <c r="M4674" t="s">
        <v>1757</v>
      </c>
    </row>
    <row r="4675" spans="1:13" x14ac:dyDescent="0.45">
      <c r="A4675" t="s">
        <v>7693</v>
      </c>
      <c r="B4675">
        <v>1</v>
      </c>
      <c r="C4675" t="s">
        <v>1774</v>
      </c>
      <c r="G4675" s="3">
        <v>378.13265806968349</v>
      </c>
      <c r="H4675" t="s">
        <v>1755</v>
      </c>
      <c r="I4675" t="s">
        <v>7693</v>
      </c>
      <c r="M4675" t="s">
        <v>1757</v>
      </c>
    </row>
    <row r="4676" spans="1:13" x14ac:dyDescent="0.45">
      <c r="A4676" t="s">
        <v>7694</v>
      </c>
      <c r="B4676">
        <v>1</v>
      </c>
      <c r="C4676" t="s">
        <v>1774</v>
      </c>
      <c r="G4676" s="3">
        <v>642.91619019146731</v>
      </c>
      <c r="H4676" t="s">
        <v>1755</v>
      </c>
      <c r="I4676" t="s">
        <v>7694</v>
      </c>
      <c r="M4676" t="s">
        <v>1757</v>
      </c>
    </row>
    <row r="4677" spans="1:13" x14ac:dyDescent="0.45">
      <c r="A4677" t="s">
        <v>7695</v>
      </c>
      <c r="B4677">
        <v>1</v>
      </c>
      <c r="C4677" t="s">
        <v>1774</v>
      </c>
      <c r="G4677" s="3">
        <v>1405.903589275576</v>
      </c>
      <c r="H4677" t="s">
        <v>1755</v>
      </c>
      <c r="I4677" t="s">
        <v>7695</v>
      </c>
      <c r="M4677" t="s">
        <v>1757</v>
      </c>
    </row>
    <row r="4678" spans="1:13" x14ac:dyDescent="0.45">
      <c r="A4678" t="s">
        <v>7696</v>
      </c>
      <c r="B4678">
        <v>1</v>
      </c>
      <c r="C4678" t="s">
        <v>1774</v>
      </c>
      <c r="G4678" s="3">
        <v>1593.795755350638</v>
      </c>
      <c r="H4678" t="s">
        <v>1755</v>
      </c>
      <c r="I4678" t="s">
        <v>7696</v>
      </c>
      <c r="M4678" t="s">
        <v>1757</v>
      </c>
    </row>
    <row r="4679" spans="1:13" x14ac:dyDescent="0.45">
      <c r="A4679" t="s">
        <v>7697</v>
      </c>
      <c r="B4679">
        <v>1</v>
      </c>
      <c r="C4679" t="s">
        <v>1774</v>
      </c>
      <c r="G4679" s="3">
        <v>572.83170774769349</v>
      </c>
      <c r="H4679" t="s">
        <v>1755</v>
      </c>
      <c r="I4679" t="s">
        <v>7697</v>
      </c>
      <c r="M4679" t="s">
        <v>1757</v>
      </c>
    </row>
    <row r="4680" spans="1:13" x14ac:dyDescent="0.45">
      <c r="A4680" t="s">
        <v>7698</v>
      </c>
      <c r="B4680">
        <v>1</v>
      </c>
      <c r="C4680" t="s">
        <v>1774</v>
      </c>
      <c r="G4680" s="3">
        <v>948.08440500213828</v>
      </c>
      <c r="H4680" t="s">
        <v>1755</v>
      </c>
      <c r="I4680" t="s">
        <v>7698</v>
      </c>
      <c r="M4680" t="s">
        <v>1757</v>
      </c>
    </row>
    <row r="4681" spans="1:13" x14ac:dyDescent="0.45">
      <c r="A4681" t="s">
        <v>7699</v>
      </c>
      <c r="B4681">
        <v>1</v>
      </c>
      <c r="C4681" t="s">
        <v>1774</v>
      </c>
      <c r="G4681" s="3">
        <v>1206.53724183244</v>
      </c>
      <c r="H4681" t="s">
        <v>1755</v>
      </c>
      <c r="I4681" t="s">
        <v>7699</v>
      </c>
      <c r="M4681" t="s">
        <v>1757</v>
      </c>
    </row>
    <row r="4682" spans="1:13" x14ac:dyDescent="0.45">
      <c r="A4682" t="s">
        <v>7700</v>
      </c>
      <c r="B4682">
        <v>1</v>
      </c>
      <c r="C4682" t="s">
        <v>1774</v>
      </c>
      <c r="G4682" s="3">
        <v>892.69979050205791</v>
      </c>
      <c r="H4682" t="s">
        <v>1755</v>
      </c>
      <c r="I4682" t="s">
        <v>7700</v>
      </c>
      <c r="M4682" t="s">
        <v>1757</v>
      </c>
    </row>
    <row r="4683" spans="1:13" x14ac:dyDescent="0.45">
      <c r="A4683" t="s">
        <v>7701</v>
      </c>
      <c r="B4683">
        <v>1</v>
      </c>
      <c r="C4683" t="s">
        <v>1774</v>
      </c>
      <c r="G4683" s="3">
        <v>1631.6233720382261</v>
      </c>
      <c r="H4683" t="s">
        <v>1755</v>
      </c>
      <c r="I4683" t="s">
        <v>7701</v>
      </c>
      <c r="M4683" t="s">
        <v>1757</v>
      </c>
    </row>
    <row r="4684" spans="1:13" x14ac:dyDescent="0.45">
      <c r="A4684" t="s">
        <v>7702</v>
      </c>
      <c r="B4684">
        <v>1</v>
      </c>
      <c r="C4684" t="s">
        <v>1774</v>
      </c>
      <c r="G4684" s="3">
        <v>617.96522729613639</v>
      </c>
      <c r="H4684" t="s">
        <v>1755</v>
      </c>
      <c r="I4684" t="s">
        <v>7702</v>
      </c>
      <c r="M4684" t="s">
        <v>1757</v>
      </c>
    </row>
    <row r="4685" spans="1:13" x14ac:dyDescent="0.45">
      <c r="A4685" t="s">
        <v>7703</v>
      </c>
      <c r="B4685">
        <v>1</v>
      </c>
      <c r="C4685" t="s">
        <v>1774</v>
      </c>
      <c r="G4685" s="3">
        <v>738.41477758692974</v>
      </c>
      <c r="H4685" t="s">
        <v>1755</v>
      </c>
      <c r="I4685" t="s">
        <v>7703</v>
      </c>
      <c r="M4685" t="s">
        <v>1757</v>
      </c>
    </row>
    <row r="4686" spans="1:13" x14ac:dyDescent="0.45">
      <c r="A4686" t="s">
        <v>7704</v>
      </c>
      <c r="B4686">
        <v>1</v>
      </c>
      <c r="C4686" t="s">
        <v>1774</v>
      </c>
      <c r="G4686" s="3">
        <v>162.94935708917359</v>
      </c>
      <c r="H4686" t="s">
        <v>1755</v>
      </c>
      <c r="I4686" t="s">
        <v>7704</v>
      </c>
      <c r="M4686" t="s">
        <v>1757</v>
      </c>
    </row>
    <row r="4687" spans="1:13" x14ac:dyDescent="0.45">
      <c r="A4687" t="s">
        <v>7705</v>
      </c>
      <c r="B4687">
        <v>1</v>
      </c>
      <c r="C4687" t="s">
        <v>1774</v>
      </c>
      <c r="G4687" s="3">
        <v>529.36158572560589</v>
      </c>
      <c r="H4687" t="s">
        <v>1755</v>
      </c>
      <c r="I4687" t="s">
        <v>7705</v>
      </c>
      <c r="M4687" t="s">
        <v>1757</v>
      </c>
    </row>
    <row r="4688" spans="1:13" x14ac:dyDescent="0.45">
      <c r="A4688" t="s">
        <v>7706</v>
      </c>
      <c r="B4688">
        <v>1</v>
      </c>
      <c r="C4688" t="s">
        <v>1774</v>
      </c>
      <c r="G4688" s="3">
        <v>725.22501367206462</v>
      </c>
      <c r="H4688" t="s">
        <v>1755</v>
      </c>
      <c r="I4688" t="s">
        <v>7706</v>
      </c>
      <c r="M4688" t="s">
        <v>1757</v>
      </c>
    </row>
    <row r="4689" spans="1:13" x14ac:dyDescent="0.45">
      <c r="A4689" t="s">
        <v>7707</v>
      </c>
      <c r="B4689">
        <v>1</v>
      </c>
      <c r="C4689" t="s">
        <v>1774</v>
      </c>
      <c r="G4689" s="3">
        <v>1183.018105435285</v>
      </c>
      <c r="H4689" t="s">
        <v>1755</v>
      </c>
      <c r="I4689" t="s">
        <v>7707</v>
      </c>
      <c r="M4689" t="s">
        <v>1757</v>
      </c>
    </row>
    <row r="4690" spans="1:13" x14ac:dyDescent="0.45">
      <c r="A4690" t="s">
        <v>7708</v>
      </c>
      <c r="B4690">
        <v>1</v>
      </c>
      <c r="C4690" t="s">
        <v>1774</v>
      </c>
      <c r="G4690" s="3">
        <v>1417.97789837865</v>
      </c>
      <c r="H4690" t="s">
        <v>1755</v>
      </c>
      <c r="I4690" t="s">
        <v>7708</v>
      </c>
      <c r="M4690" t="s">
        <v>1757</v>
      </c>
    </row>
    <row r="4691" spans="1:13" x14ac:dyDescent="0.45">
      <c r="A4691" t="s">
        <v>7709</v>
      </c>
      <c r="B4691">
        <v>1</v>
      </c>
      <c r="C4691" t="s">
        <v>1774</v>
      </c>
      <c r="G4691" s="3">
        <v>1032.865493825828</v>
      </c>
      <c r="H4691" t="s">
        <v>1755</v>
      </c>
      <c r="I4691" t="s">
        <v>7709</v>
      </c>
      <c r="M4691" t="s">
        <v>1757</v>
      </c>
    </row>
    <row r="4692" spans="1:13" x14ac:dyDescent="0.45">
      <c r="A4692" t="s">
        <v>7710</v>
      </c>
      <c r="B4692">
        <v>1</v>
      </c>
      <c r="C4692" t="s">
        <v>1774</v>
      </c>
      <c r="G4692" s="3">
        <v>486.67750057381568</v>
      </c>
      <c r="H4692" t="s">
        <v>1755</v>
      </c>
      <c r="I4692" t="s">
        <v>7710</v>
      </c>
      <c r="M4692" t="s">
        <v>1757</v>
      </c>
    </row>
    <row r="4693" spans="1:13" x14ac:dyDescent="0.45">
      <c r="A4693" t="s">
        <v>7711</v>
      </c>
      <c r="B4693">
        <v>1</v>
      </c>
      <c r="C4693" t="s">
        <v>1774</v>
      </c>
      <c r="G4693" s="3">
        <v>958.90301205100252</v>
      </c>
      <c r="H4693" t="s">
        <v>1755</v>
      </c>
      <c r="I4693" t="s">
        <v>7711</v>
      </c>
      <c r="M4693" t="s">
        <v>1757</v>
      </c>
    </row>
    <row r="4694" spans="1:13" x14ac:dyDescent="0.45">
      <c r="A4694" t="s">
        <v>7712</v>
      </c>
      <c r="B4694">
        <v>1</v>
      </c>
      <c r="C4694" t="s">
        <v>1774</v>
      </c>
      <c r="G4694" s="3">
        <v>634.2404305442019</v>
      </c>
      <c r="H4694" t="s">
        <v>1755</v>
      </c>
      <c r="I4694" t="s">
        <v>7712</v>
      </c>
      <c r="M4694" t="s">
        <v>1757</v>
      </c>
    </row>
    <row r="4695" spans="1:13" x14ac:dyDescent="0.45">
      <c r="A4695" t="s">
        <v>7713</v>
      </c>
      <c r="B4695">
        <v>1</v>
      </c>
      <c r="C4695" t="s">
        <v>1774</v>
      </c>
      <c r="G4695" s="3">
        <v>343.00561618959028</v>
      </c>
      <c r="H4695" t="s">
        <v>1755</v>
      </c>
      <c r="I4695" t="s">
        <v>7713</v>
      </c>
      <c r="M4695" t="s">
        <v>1757</v>
      </c>
    </row>
    <row r="4696" spans="1:13" x14ac:dyDescent="0.45">
      <c r="A4696" t="s">
        <v>7714</v>
      </c>
      <c r="B4696">
        <v>1</v>
      </c>
      <c r="C4696" t="s">
        <v>1774</v>
      </c>
      <c r="G4696" s="3">
        <v>2460.0605714387539</v>
      </c>
      <c r="H4696" t="s">
        <v>1755</v>
      </c>
      <c r="I4696" t="s">
        <v>7714</v>
      </c>
      <c r="M4696" t="s">
        <v>1757</v>
      </c>
    </row>
    <row r="4697" spans="1:13" x14ac:dyDescent="0.45">
      <c r="A4697" t="s">
        <v>7715</v>
      </c>
      <c r="B4697">
        <v>1</v>
      </c>
      <c r="C4697" t="s">
        <v>1774</v>
      </c>
      <c r="G4697" s="3">
        <v>804.59516818943416</v>
      </c>
      <c r="H4697" t="s">
        <v>1755</v>
      </c>
      <c r="I4697" t="s">
        <v>7715</v>
      </c>
      <c r="M4697" t="s">
        <v>1757</v>
      </c>
    </row>
    <row r="4698" spans="1:13" x14ac:dyDescent="0.45">
      <c r="A4698" t="s">
        <v>7716</v>
      </c>
      <c r="B4698">
        <v>2</v>
      </c>
      <c r="C4698" t="s">
        <v>1774</v>
      </c>
      <c r="G4698" s="3">
        <v>293.4122343322486</v>
      </c>
      <c r="H4698" t="s">
        <v>1755</v>
      </c>
      <c r="I4698" t="s">
        <v>7716</v>
      </c>
      <c r="M4698" t="s">
        <v>1757</v>
      </c>
    </row>
    <row r="4699" spans="1:13" x14ac:dyDescent="0.45">
      <c r="A4699" t="s">
        <v>7717</v>
      </c>
      <c r="B4699">
        <v>1</v>
      </c>
      <c r="C4699" t="s">
        <v>1774</v>
      </c>
      <c r="G4699" s="3">
        <v>162.38543271210131</v>
      </c>
      <c r="H4699" t="s">
        <v>1755</v>
      </c>
      <c r="I4699" t="s">
        <v>7717</v>
      </c>
      <c r="M4699" t="s">
        <v>1757</v>
      </c>
    </row>
    <row r="4700" spans="1:13" x14ac:dyDescent="0.45">
      <c r="A4700" t="s">
        <v>7718</v>
      </c>
      <c r="B4700">
        <v>1</v>
      </c>
      <c r="C4700" t="s">
        <v>1774</v>
      </c>
      <c r="G4700" s="3">
        <v>1299.7494730201081</v>
      </c>
      <c r="H4700" t="s">
        <v>1755</v>
      </c>
      <c r="I4700" t="s">
        <v>7718</v>
      </c>
      <c r="M4700" t="s">
        <v>1757</v>
      </c>
    </row>
    <row r="4701" spans="1:13" x14ac:dyDescent="0.45">
      <c r="A4701" t="s">
        <v>7719</v>
      </c>
      <c r="B4701">
        <v>1</v>
      </c>
      <c r="C4701" t="s">
        <v>1774</v>
      </c>
      <c r="G4701" s="3">
        <v>899.09571706908332</v>
      </c>
      <c r="H4701" t="s">
        <v>1755</v>
      </c>
      <c r="I4701" t="s">
        <v>7719</v>
      </c>
      <c r="M4701" t="s">
        <v>1757</v>
      </c>
    </row>
    <row r="4702" spans="1:13" x14ac:dyDescent="0.45">
      <c r="A4702" t="s">
        <v>7720</v>
      </c>
      <c r="B4702">
        <v>1</v>
      </c>
      <c r="C4702" t="s">
        <v>1774</v>
      </c>
      <c r="G4702" s="3">
        <v>884.21972468142269</v>
      </c>
      <c r="H4702" t="s">
        <v>1755</v>
      </c>
      <c r="I4702" t="s">
        <v>7720</v>
      </c>
      <c r="M4702" t="s">
        <v>1757</v>
      </c>
    </row>
    <row r="4703" spans="1:13" x14ac:dyDescent="0.45">
      <c r="A4703" t="s">
        <v>7721</v>
      </c>
      <c r="B4703">
        <v>2</v>
      </c>
      <c r="C4703" t="s">
        <v>1774</v>
      </c>
      <c r="G4703" s="3">
        <v>328.07417721771782</v>
      </c>
      <c r="H4703" t="s">
        <v>1755</v>
      </c>
      <c r="I4703" t="s">
        <v>7721</v>
      </c>
      <c r="M4703" t="s">
        <v>1757</v>
      </c>
    </row>
    <row r="4704" spans="1:13" x14ac:dyDescent="0.45">
      <c r="A4704" t="s">
        <v>7722</v>
      </c>
      <c r="B4704">
        <v>1</v>
      </c>
      <c r="C4704" t="s">
        <v>1774</v>
      </c>
      <c r="G4704" s="3">
        <v>462.77349965095561</v>
      </c>
      <c r="H4704" t="s">
        <v>1755</v>
      </c>
      <c r="I4704" t="s">
        <v>7722</v>
      </c>
      <c r="M4704" t="s">
        <v>1757</v>
      </c>
    </row>
    <row r="4705" spans="1:13" x14ac:dyDescent="0.45">
      <c r="A4705" t="s">
        <v>7723</v>
      </c>
      <c r="B4705">
        <v>1</v>
      </c>
      <c r="C4705" t="s">
        <v>1774</v>
      </c>
      <c r="G4705" s="3">
        <v>973.22453859654479</v>
      </c>
      <c r="H4705" t="s">
        <v>1755</v>
      </c>
      <c r="I4705" t="s">
        <v>7723</v>
      </c>
      <c r="M4705" t="s">
        <v>1757</v>
      </c>
    </row>
    <row r="4706" spans="1:13" x14ac:dyDescent="0.45">
      <c r="A4706" t="s">
        <v>7724</v>
      </c>
      <c r="B4706">
        <v>1</v>
      </c>
      <c r="C4706" t="s">
        <v>1774</v>
      </c>
      <c r="G4706" s="3">
        <v>1708.263597674106</v>
      </c>
      <c r="H4706" t="s">
        <v>1755</v>
      </c>
      <c r="I4706" t="s">
        <v>7724</v>
      </c>
      <c r="M4706" t="s">
        <v>1757</v>
      </c>
    </row>
    <row r="4707" spans="1:13" x14ac:dyDescent="0.45">
      <c r="A4707" t="s">
        <v>7725</v>
      </c>
      <c r="B4707">
        <v>1</v>
      </c>
      <c r="C4707" t="s">
        <v>1774</v>
      </c>
      <c r="G4707" s="3">
        <v>948.93893471175613</v>
      </c>
      <c r="H4707" t="s">
        <v>1755</v>
      </c>
      <c r="I4707" t="s">
        <v>7725</v>
      </c>
      <c r="M4707" t="s">
        <v>1757</v>
      </c>
    </row>
    <row r="4708" spans="1:13" x14ac:dyDescent="0.45">
      <c r="A4708" t="s">
        <v>7726</v>
      </c>
      <c r="B4708">
        <v>1</v>
      </c>
      <c r="C4708" t="s">
        <v>1774</v>
      </c>
      <c r="G4708" s="3">
        <v>1521.300977275537</v>
      </c>
      <c r="H4708" t="s">
        <v>1755</v>
      </c>
      <c r="I4708" t="s">
        <v>7726</v>
      </c>
      <c r="M4708" t="s">
        <v>1757</v>
      </c>
    </row>
    <row r="4709" spans="1:13" x14ac:dyDescent="0.45">
      <c r="A4709" t="s">
        <v>7727</v>
      </c>
      <c r="B4709">
        <v>1</v>
      </c>
      <c r="C4709" t="s">
        <v>1774</v>
      </c>
      <c r="G4709" s="3">
        <v>489.04539587603932</v>
      </c>
      <c r="H4709" t="s">
        <v>1755</v>
      </c>
      <c r="I4709" t="s">
        <v>7727</v>
      </c>
      <c r="M4709" t="s">
        <v>1757</v>
      </c>
    </row>
    <row r="4710" spans="1:13" x14ac:dyDescent="0.45">
      <c r="A4710" t="s">
        <v>7728</v>
      </c>
      <c r="B4710">
        <v>1</v>
      </c>
      <c r="C4710" t="s">
        <v>1774</v>
      </c>
      <c r="G4710" s="3">
        <v>1878.298702069176</v>
      </c>
      <c r="H4710" t="s">
        <v>1755</v>
      </c>
      <c r="I4710" t="s">
        <v>7728</v>
      </c>
      <c r="M4710" t="s">
        <v>1757</v>
      </c>
    </row>
    <row r="4711" spans="1:13" x14ac:dyDescent="0.45">
      <c r="A4711" t="s">
        <v>7729</v>
      </c>
      <c r="B4711">
        <v>1</v>
      </c>
      <c r="C4711" t="s">
        <v>1774</v>
      </c>
      <c r="G4711" s="3">
        <v>1207.7048816646659</v>
      </c>
      <c r="H4711" t="s">
        <v>1755</v>
      </c>
      <c r="I4711" t="s">
        <v>7729</v>
      </c>
      <c r="M4711" t="s">
        <v>1757</v>
      </c>
    </row>
    <row r="4712" spans="1:13" x14ac:dyDescent="0.45">
      <c r="A4712" t="s">
        <v>7730</v>
      </c>
      <c r="B4712">
        <v>1</v>
      </c>
      <c r="C4712" t="s">
        <v>1774</v>
      </c>
      <c r="G4712" s="3">
        <v>688.8781469393108</v>
      </c>
      <c r="H4712" t="s">
        <v>1755</v>
      </c>
      <c r="I4712" t="s">
        <v>7730</v>
      </c>
      <c r="M4712" t="s">
        <v>1757</v>
      </c>
    </row>
    <row r="4713" spans="1:13" x14ac:dyDescent="0.45">
      <c r="A4713" t="s">
        <v>7731</v>
      </c>
      <c r="B4713">
        <v>1</v>
      </c>
      <c r="C4713" t="s">
        <v>1774</v>
      </c>
      <c r="G4713" s="3">
        <v>680.67531403973464</v>
      </c>
      <c r="H4713" t="s">
        <v>1755</v>
      </c>
      <c r="I4713" t="s">
        <v>7731</v>
      </c>
      <c r="M4713" t="s">
        <v>1757</v>
      </c>
    </row>
    <row r="4714" spans="1:13" x14ac:dyDescent="0.45">
      <c r="A4714" t="s">
        <v>7732</v>
      </c>
      <c r="B4714">
        <v>1</v>
      </c>
      <c r="C4714" t="s">
        <v>1774</v>
      </c>
      <c r="G4714" s="3">
        <v>448.60852816671752</v>
      </c>
      <c r="H4714" t="s">
        <v>1755</v>
      </c>
      <c r="I4714" t="s">
        <v>7732</v>
      </c>
      <c r="M4714" t="s">
        <v>1757</v>
      </c>
    </row>
    <row r="4715" spans="1:13" x14ac:dyDescent="0.45">
      <c r="A4715" t="s">
        <v>7733</v>
      </c>
      <c r="B4715">
        <v>1</v>
      </c>
      <c r="C4715" t="s">
        <v>1774</v>
      </c>
      <c r="G4715" s="3">
        <v>1149.583815155542</v>
      </c>
      <c r="H4715" t="s">
        <v>1755</v>
      </c>
      <c r="I4715" t="s">
        <v>7733</v>
      </c>
      <c r="M4715" t="s">
        <v>1757</v>
      </c>
    </row>
    <row r="4716" spans="1:13" x14ac:dyDescent="0.45">
      <c r="A4716" t="s">
        <v>7734</v>
      </c>
      <c r="B4716">
        <v>1</v>
      </c>
      <c r="C4716" t="s">
        <v>1774</v>
      </c>
      <c r="G4716" s="3">
        <v>492.71791668912988</v>
      </c>
      <c r="H4716" t="s">
        <v>1755</v>
      </c>
      <c r="I4716" t="s">
        <v>7734</v>
      </c>
      <c r="M4716" t="s">
        <v>1757</v>
      </c>
    </row>
    <row r="4717" spans="1:13" x14ac:dyDescent="0.45">
      <c r="A4717" t="s">
        <v>7735</v>
      </c>
      <c r="B4717">
        <v>1</v>
      </c>
      <c r="C4717" t="s">
        <v>1774</v>
      </c>
      <c r="G4717" s="3">
        <v>918.91950170670702</v>
      </c>
      <c r="H4717" t="s">
        <v>1755</v>
      </c>
      <c r="I4717" t="s">
        <v>7735</v>
      </c>
      <c r="M4717" t="s">
        <v>1757</v>
      </c>
    </row>
    <row r="4718" spans="1:13" x14ac:dyDescent="0.45">
      <c r="A4718" t="s">
        <v>7736</v>
      </c>
      <c r="B4718">
        <v>1</v>
      </c>
      <c r="C4718" t="s">
        <v>1774</v>
      </c>
      <c r="G4718" s="3">
        <v>517.47970888538498</v>
      </c>
      <c r="H4718" t="s">
        <v>1755</v>
      </c>
      <c r="I4718" t="s">
        <v>7736</v>
      </c>
      <c r="M4718" t="s">
        <v>1757</v>
      </c>
    </row>
    <row r="4719" spans="1:13" x14ac:dyDescent="0.45">
      <c r="A4719" t="s">
        <v>7737</v>
      </c>
      <c r="B4719">
        <v>1</v>
      </c>
      <c r="C4719" t="s">
        <v>1774</v>
      </c>
      <c r="G4719" s="3">
        <v>62.766837953320952</v>
      </c>
      <c r="H4719" t="s">
        <v>1755</v>
      </c>
      <c r="I4719" t="s">
        <v>7737</v>
      </c>
      <c r="M4719" t="s">
        <v>1757</v>
      </c>
    </row>
    <row r="4720" spans="1:13" x14ac:dyDescent="0.45">
      <c r="A4720" t="s">
        <v>7738</v>
      </c>
      <c r="B4720">
        <v>1</v>
      </c>
      <c r="C4720" t="s">
        <v>1774</v>
      </c>
      <c r="G4720" s="3">
        <v>80.677715435635918</v>
      </c>
      <c r="H4720" t="s">
        <v>1755</v>
      </c>
      <c r="I4720" t="s">
        <v>7738</v>
      </c>
      <c r="M4720" t="s">
        <v>1757</v>
      </c>
    </row>
    <row r="4721" spans="1:13" x14ac:dyDescent="0.45">
      <c r="A4721" t="s">
        <v>7739</v>
      </c>
      <c r="B4721">
        <v>1</v>
      </c>
      <c r="C4721" t="s">
        <v>1774</v>
      </c>
      <c r="H4721" t="s">
        <v>1755</v>
      </c>
      <c r="I4721" t="s">
        <v>7739</v>
      </c>
      <c r="M4721" t="s">
        <v>1757</v>
      </c>
    </row>
    <row r="4722" spans="1:13" x14ac:dyDescent="0.45">
      <c r="A4722" t="s">
        <v>7740</v>
      </c>
      <c r="B4722">
        <v>1</v>
      </c>
      <c r="C4722" t="s">
        <v>1774</v>
      </c>
      <c r="H4722" t="s">
        <v>1755</v>
      </c>
      <c r="I4722" t="s">
        <v>7740</v>
      </c>
      <c r="M4722" t="s">
        <v>1757</v>
      </c>
    </row>
    <row r="4723" spans="1:13" x14ac:dyDescent="0.45">
      <c r="A4723" t="s">
        <v>7741</v>
      </c>
      <c r="B4723">
        <v>2</v>
      </c>
      <c r="C4723" t="s">
        <v>1774</v>
      </c>
      <c r="G4723" s="3">
        <v>750.1824996949498</v>
      </c>
      <c r="H4723" t="s">
        <v>1755</v>
      </c>
      <c r="I4723" t="s">
        <v>7741</v>
      </c>
      <c r="M4723" t="s">
        <v>1757</v>
      </c>
    </row>
    <row r="4724" spans="1:13" x14ac:dyDescent="0.45">
      <c r="A4724" t="s">
        <v>7742</v>
      </c>
      <c r="B4724">
        <v>2</v>
      </c>
      <c r="C4724" t="s">
        <v>1774</v>
      </c>
      <c r="G4724" s="3">
        <v>440.00778448632701</v>
      </c>
      <c r="H4724" t="s">
        <v>1755</v>
      </c>
      <c r="I4724" t="s">
        <v>7742</v>
      </c>
      <c r="M4724" t="s">
        <v>1757</v>
      </c>
    </row>
    <row r="4725" spans="1:13" x14ac:dyDescent="0.45">
      <c r="A4725" t="s">
        <v>7743</v>
      </c>
      <c r="B4725">
        <v>1</v>
      </c>
      <c r="C4725" t="s">
        <v>1774</v>
      </c>
      <c r="G4725" s="3">
        <v>7651.661236872571</v>
      </c>
      <c r="H4725" t="s">
        <v>1755</v>
      </c>
      <c r="I4725" t="s">
        <v>7743</v>
      </c>
      <c r="M4725" t="s">
        <v>1757</v>
      </c>
    </row>
    <row r="4726" spans="1:13" x14ac:dyDescent="0.45">
      <c r="A4726" t="s">
        <v>7744</v>
      </c>
      <c r="B4726">
        <v>1</v>
      </c>
      <c r="C4726" t="s">
        <v>1774</v>
      </c>
      <c r="H4726" t="s">
        <v>1755</v>
      </c>
      <c r="I4726" t="s">
        <v>7744</v>
      </c>
      <c r="M4726" t="s">
        <v>1757</v>
      </c>
    </row>
    <row r="4727" spans="1:13" x14ac:dyDescent="0.45">
      <c r="A4727" t="s">
        <v>7745</v>
      </c>
      <c r="B4727">
        <v>1</v>
      </c>
      <c r="C4727" t="s">
        <v>1774</v>
      </c>
      <c r="G4727" s="3">
        <v>995.75542116921747</v>
      </c>
      <c r="H4727" t="s">
        <v>1755</v>
      </c>
      <c r="I4727" t="s">
        <v>7745</v>
      </c>
      <c r="M4727" t="s">
        <v>1757</v>
      </c>
    </row>
    <row r="4728" spans="1:13" x14ac:dyDescent="0.45">
      <c r="A4728" t="s">
        <v>7746</v>
      </c>
      <c r="B4728">
        <v>1</v>
      </c>
      <c r="C4728" t="s">
        <v>1774</v>
      </c>
      <c r="G4728" s="3">
        <v>1844.548040103047</v>
      </c>
      <c r="H4728" t="s">
        <v>1755</v>
      </c>
      <c r="I4728" t="s">
        <v>7746</v>
      </c>
      <c r="M4728" t="s">
        <v>1757</v>
      </c>
    </row>
    <row r="4729" spans="1:13" x14ac:dyDescent="0.45">
      <c r="A4729" t="s">
        <v>301</v>
      </c>
      <c r="B4729">
        <v>3</v>
      </c>
      <c r="C4729" t="s">
        <v>1751</v>
      </c>
      <c r="D4729" t="s">
        <v>303</v>
      </c>
      <c r="E4729" t="s">
        <v>301</v>
      </c>
      <c r="F4729" s="3">
        <v>13.99928404435806</v>
      </c>
      <c r="G4729" s="3">
        <v>14.0440326993808</v>
      </c>
      <c r="H4729" t="s">
        <v>73</v>
      </c>
      <c r="I4729" t="s">
        <v>301</v>
      </c>
      <c r="J4729" s="3">
        <v>18.394719251118321</v>
      </c>
      <c r="K4729" s="3">
        <v>0.31964959694329659</v>
      </c>
    </row>
    <row r="4730" spans="1:13" x14ac:dyDescent="0.45">
      <c r="A4730" t="s">
        <v>7747</v>
      </c>
      <c r="B4730">
        <v>1</v>
      </c>
      <c r="C4730" t="s">
        <v>1774</v>
      </c>
      <c r="G4730" s="3">
        <v>31.256902917744149</v>
      </c>
      <c r="H4730" t="s">
        <v>1755</v>
      </c>
      <c r="I4730" t="s">
        <v>7747</v>
      </c>
      <c r="M4730" t="s">
        <v>1757</v>
      </c>
    </row>
    <row r="4731" spans="1:13" x14ac:dyDescent="0.45">
      <c r="A4731" t="s">
        <v>7748</v>
      </c>
      <c r="B4731">
        <v>1</v>
      </c>
      <c r="C4731" t="s">
        <v>1774</v>
      </c>
      <c r="G4731" s="3">
        <v>93.059263846518917</v>
      </c>
      <c r="H4731" t="s">
        <v>1755</v>
      </c>
      <c r="I4731" t="s">
        <v>7748</v>
      </c>
      <c r="M4731" t="s">
        <v>1757</v>
      </c>
    </row>
    <row r="4732" spans="1:13" x14ac:dyDescent="0.45">
      <c r="A4732" t="s">
        <v>7749</v>
      </c>
      <c r="B4732">
        <v>1</v>
      </c>
      <c r="C4732" t="s">
        <v>1774</v>
      </c>
      <c r="G4732" s="3">
        <v>145.22438874215709</v>
      </c>
      <c r="H4732" t="s">
        <v>1755</v>
      </c>
      <c r="I4732" t="s">
        <v>7749</v>
      </c>
      <c r="M4732" t="s">
        <v>1757</v>
      </c>
    </row>
    <row r="4733" spans="1:13" x14ac:dyDescent="0.45">
      <c r="A4733" t="s">
        <v>7750</v>
      </c>
      <c r="B4733">
        <v>1</v>
      </c>
      <c r="C4733" t="s">
        <v>1774</v>
      </c>
      <c r="G4733" s="3">
        <v>517.34272320674393</v>
      </c>
      <c r="H4733" t="s">
        <v>1755</v>
      </c>
      <c r="I4733" t="s">
        <v>7750</v>
      </c>
      <c r="M4733" t="s">
        <v>1757</v>
      </c>
    </row>
    <row r="4734" spans="1:13" x14ac:dyDescent="0.45">
      <c r="A4734" t="s">
        <v>7751</v>
      </c>
      <c r="B4734">
        <v>1</v>
      </c>
      <c r="C4734" t="s">
        <v>1774</v>
      </c>
      <c r="G4734" s="3">
        <v>533.43854044706518</v>
      </c>
      <c r="H4734" t="s">
        <v>1755</v>
      </c>
      <c r="I4734" t="s">
        <v>7751</v>
      </c>
      <c r="M4734" t="s">
        <v>1757</v>
      </c>
    </row>
    <row r="4735" spans="1:13" x14ac:dyDescent="0.45">
      <c r="A4735" t="s">
        <v>7752</v>
      </c>
      <c r="B4735">
        <v>1</v>
      </c>
      <c r="C4735" t="s">
        <v>1774</v>
      </c>
      <c r="G4735" s="3">
        <v>503.1712285949514</v>
      </c>
      <c r="H4735" t="s">
        <v>1755</v>
      </c>
      <c r="I4735" t="s">
        <v>7752</v>
      </c>
      <c r="M4735" t="s">
        <v>1757</v>
      </c>
    </row>
    <row r="4736" spans="1:13" x14ac:dyDescent="0.45">
      <c r="A4736" t="s">
        <v>7753</v>
      </c>
      <c r="B4736">
        <v>3</v>
      </c>
      <c r="C4736" t="s">
        <v>1774</v>
      </c>
      <c r="G4736" s="3">
        <v>493.79423273559507</v>
      </c>
      <c r="H4736" t="s">
        <v>1755</v>
      </c>
      <c r="I4736" t="s">
        <v>7753</v>
      </c>
      <c r="M4736" t="s">
        <v>1757</v>
      </c>
    </row>
    <row r="4737" spans="1:13" x14ac:dyDescent="0.45">
      <c r="A4737" t="s">
        <v>7754</v>
      </c>
      <c r="B4737">
        <v>1</v>
      </c>
      <c r="C4737" t="s">
        <v>1774</v>
      </c>
      <c r="G4737" s="3">
        <v>694.88594741685313</v>
      </c>
      <c r="H4737" t="s">
        <v>1755</v>
      </c>
      <c r="I4737" t="s">
        <v>7754</v>
      </c>
      <c r="M4737" t="s">
        <v>1757</v>
      </c>
    </row>
    <row r="4738" spans="1:13" x14ac:dyDescent="0.45">
      <c r="A4738" t="s">
        <v>7755</v>
      </c>
      <c r="B4738">
        <v>1</v>
      </c>
      <c r="C4738" t="s">
        <v>1774</v>
      </c>
      <c r="G4738" s="3">
        <v>889.28167166358639</v>
      </c>
      <c r="H4738" t="s">
        <v>1755</v>
      </c>
      <c r="I4738" t="s">
        <v>7755</v>
      </c>
      <c r="M4738" t="s">
        <v>1757</v>
      </c>
    </row>
    <row r="4739" spans="1:13" x14ac:dyDescent="0.45">
      <c r="A4739" t="s">
        <v>7756</v>
      </c>
      <c r="B4739">
        <v>1</v>
      </c>
      <c r="C4739" t="s">
        <v>1774</v>
      </c>
      <c r="G4739" s="3">
        <v>900.87979245519398</v>
      </c>
      <c r="H4739" t="s">
        <v>1755</v>
      </c>
      <c r="I4739" t="s">
        <v>7756</v>
      </c>
      <c r="M4739" t="s">
        <v>1757</v>
      </c>
    </row>
    <row r="4740" spans="1:13" x14ac:dyDescent="0.45">
      <c r="A4740" t="s">
        <v>7757</v>
      </c>
      <c r="B4740">
        <v>1</v>
      </c>
      <c r="C4740" t="s">
        <v>1774</v>
      </c>
      <c r="G4740" s="3">
        <v>768.02977668361007</v>
      </c>
      <c r="H4740" t="s">
        <v>1755</v>
      </c>
      <c r="I4740" t="s">
        <v>7757</v>
      </c>
      <c r="M4740" t="s">
        <v>1757</v>
      </c>
    </row>
    <row r="4741" spans="1:13" x14ac:dyDescent="0.45">
      <c r="A4741" t="s">
        <v>7758</v>
      </c>
      <c r="B4741">
        <v>1</v>
      </c>
      <c r="C4741" t="s">
        <v>1774</v>
      </c>
      <c r="G4741" s="3">
        <v>763.69189685997731</v>
      </c>
      <c r="H4741" t="s">
        <v>1755</v>
      </c>
      <c r="I4741" t="s">
        <v>7758</v>
      </c>
      <c r="M4741" t="s">
        <v>1757</v>
      </c>
    </row>
    <row r="4742" spans="1:13" x14ac:dyDescent="0.45">
      <c r="A4742" t="s">
        <v>235</v>
      </c>
      <c r="B4742">
        <v>3</v>
      </c>
      <c r="C4742" t="s">
        <v>1751</v>
      </c>
      <c r="D4742" t="s">
        <v>234</v>
      </c>
      <c r="E4742" t="s">
        <v>232</v>
      </c>
      <c r="F4742" s="3">
        <v>12.03484418137011</v>
      </c>
      <c r="G4742" s="3">
        <v>12.107153050309909</v>
      </c>
      <c r="H4742" t="s">
        <v>73</v>
      </c>
      <c r="I4742" t="s">
        <v>235</v>
      </c>
      <c r="J4742" s="3">
        <v>21.47364881111848</v>
      </c>
      <c r="K4742" s="3">
        <v>0.60082929076668801</v>
      </c>
    </row>
    <row r="4743" spans="1:13" x14ac:dyDescent="0.45">
      <c r="A4743" t="s">
        <v>7759</v>
      </c>
      <c r="B4743">
        <v>1</v>
      </c>
      <c r="C4743" t="s">
        <v>1774</v>
      </c>
      <c r="G4743" s="3">
        <v>608.90134155938813</v>
      </c>
      <c r="H4743" t="s">
        <v>1755</v>
      </c>
      <c r="I4743" t="s">
        <v>7759</v>
      </c>
      <c r="M4743" t="s">
        <v>1757</v>
      </c>
    </row>
    <row r="4744" spans="1:13" x14ac:dyDescent="0.45">
      <c r="A4744" t="s">
        <v>7760</v>
      </c>
      <c r="B4744">
        <v>1</v>
      </c>
      <c r="C4744" t="s">
        <v>1774</v>
      </c>
      <c r="G4744" s="3">
        <v>658.27163245437157</v>
      </c>
      <c r="H4744" t="s">
        <v>1755</v>
      </c>
      <c r="I4744" t="s">
        <v>7760</v>
      </c>
      <c r="M4744" t="s">
        <v>1757</v>
      </c>
    </row>
    <row r="4745" spans="1:13" x14ac:dyDescent="0.45">
      <c r="A4745" t="s">
        <v>7761</v>
      </c>
      <c r="B4745">
        <v>1</v>
      </c>
      <c r="C4745" t="s">
        <v>1774</v>
      </c>
      <c r="G4745" s="3">
        <v>65.916823633671484</v>
      </c>
      <c r="H4745" t="s">
        <v>1755</v>
      </c>
      <c r="I4745" t="s">
        <v>7761</v>
      </c>
      <c r="M4745" t="s">
        <v>1757</v>
      </c>
    </row>
    <row r="4746" spans="1:13" x14ac:dyDescent="0.45">
      <c r="A4746" t="s">
        <v>7762</v>
      </c>
      <c r="B4746">
        <v>1</v>
      </c>
      <c r="C4746" t="s">
        <v>1774</v>
      </c>
      <c r="G4746" s="3">
        <v>66.644184971617591</v>
      </c>
      <c r="H4746" t="s">
        <v>1755</v>
      </c>
      <c r="I4746" t="s">
        <v>7762</v>
      </c>
      <c r="M4746" t="s">
        <v>1757</v>
      </c>
    </row>
    <row r="4747" spans="1:13" x14ac:dyDescent="0.45">
      <c r="A4747" t="s">
        <v>7763</v>
      </c>
      <c r="B4747">
        <v>1</v>
      </c>
      <c r="C4747" t="s">
        <v>1774</v>
      </c>
      <c r="G4747" s="3">
        <v>319.93820637557371</v>
      </c>
      <c r="H4747" t="s">
        <v>1755</v>
      </c>
      <c r="I4747" t="s">
        <v>7763</v>
      </c>
      <c r="M4747" t="s">
        <v>1757</v>
      </c>
    </row>
    <row r="4748" spans="1:13" x14ac:dyDescent="0.45">
      <c r="A4748" t="s">
        <v>7764</v>
      </c>
      <c r="B4748">
        <v>1</v>
      </c>
      <c r="C4748" t="s">
        <v>1761</v>
      </c>
      <c r="D4748" t="s">
        <v>7765</v>
      </c>
      <c r="E4748" t="s">
        <v>7766</v>
      </c>
      <c r="F4748" s="3">
        <v>303.40142571257928</v>
      </c>
      <c r="G4748" s="3">
        <v>290.43312197818392</v>
      </c>
      <c r="H4748" t="s">
        <v>73</v>
      </c>
      <c r="I4748" t="s">
        <v>7764</v>
      </c>
      <c r="J4748" s="3">
        <v>1.0543205852360009</v>
      </c>
      <c r="K4748" s="3">
        <v>4.2743054697049043</v>
      </c>
    </row>
    <row r="4749" spans="1:13" x14ac:dyDescent="0.45">
      <c r="A4749" t="s">
        <v>7767</v>
      </c>
      <c r="B4749">
        <v>3</v>
      </c>
      <c r="C4749" t="s">
        <v>1761</v>
      </c>
      <c r="D4749" t="s">
        <v>7768</v>
      </c>
      <c r="E4749" t="s">
        <v>7769</v>
      </c>
      <c r="F4749" s="3">
        <v>63.405125984512622</v>
      </c>
      <c r="G4749" s="3">
        <v>64.396967529149236</v>
      </c>
      <c r="H4749" t="s">
        <v>73</v>
      </c>
      <c r="I4749" t="s">
        <v>7767</v>
      </c>
      <c r="J4749" s="3">
        <v>1.322198249782758</v>
      </c>
      <c r="K4749" s="3">
        <v>1.564292364751201</v>
      </c>
    </row>
    <row r="4750" spans="1:13" x14ac:dyDescent="0.45">
      <c r="A4750" t="s">
        <v>7770</v>
      </c>
      <c r="B4750">
        <v>1</v>
      </c>
      <c r="C4750" t="s">
        <v>1761</v>
      </c>
      <c r="D4750" t="s">
        <v>7771</v>
      </c>
      <c r="E4750" t="s">
        <v>7772</v>
      </c>
      <c r="F4750" s="3">
        <v>130.93384705249801</v>
      </c>
      <c r="G4750" s="3">
        <v>126.4662222218096</v>
      </c>
      <c r="H4750" t="s">
        <v>73</v>
      </c>
      <c r="I4750" t="s">
        <v>7770</v>
      </c>
      <c r="J4750" s="3">
        <v>0.17362603009895061</v>
      </c>
      <c r="K4750" s="3">
        <v>3.4121237031224672</v>
      </c>
    </row>
    <row r="4751" spans="1:13" x14ac:dyDescent="0.45">
      <c r="A4751" t="s">
        <v>7773</v>
      </c>
      <c r="B4751">
        <v>1</v>
      </c>
      <c r="C4751" t="s">
        <v>1761</v>
      </c>
      <c r="D4751" t="s">
        <v>7774</v>
      </c>
      <c r="E4751" t="s">
        <v>7775</v>
      </c>
      <c r="F4751" s="3">
        <v>221.4233247989867</v>
      </c>
      <c r="G4751" s="3">
        <v>227.87991645226739</v>
      </c>
      <c r="H4751" t="s">
        <v>73</v>
      </c>
      <c r="I4751" t="s">
        <v>7773</v>
      </c>
      <c r="J4751" s="3">
        <v>1.6066111618488861</v>
      </c>
      <c r="K4751" s="3">
        <v>2.9159491933120019</v>
      </c>
    </row>
    <row r="4752" spans="1:13" x14ac:dyDescent="0.45">
      <c r="A4752" t="s">
        <v>125</v>
      </c>
      <c r="B4752">
        <v>1</v>
      </c>
      <c r="C4752" t="s">
        <v>1751</v>
      </c>
      <c r="D4752" t="s">
        <v>124</v>
      </c>
      <c r="E4752" t="s">
        <v>122</v>
      </c>
      <c r="F4752" s="3">
        <v>10.48951526374818</v>
      </c>
      <c r="G4752" s="3">
        <v>10.44548415275642</v>
      </c>
      <c r="H4752" t="s">
        <v>73</v>
      </c>
      <c r="I4752" t="s">
        <v>125</v>
      </c>
      <c r="J4752" s="3">
        <v>15.235402929081379</v>
      </c>
      <c r="K4752" s="3">
        <v>0.41976306706881222</v>
      </c>
    </row>
    <row r="4753" spans="1:13" x14ac:dyDescent="0.45">
      <c r="A4753" t="s">
        <v>212</v>
      </c>
      <c r="B4753">
        <v>1</v>
      </c>
      <c r="C4753" t="s">
        <v>1751</v>
      </c>
      <c r="D4753" t="s">
        <v>211</v>
      </c>
      <c r="E4753" t="s">
        <v>209</v>
      </c>
      <c r="F4753" s="3">
        <v>11.814688626411311</v>
      </c>
      <c r="G4753" s="3">
        <v>11.86742811268811</v>
      </c>
      <c r="H4753" t="s">
        <v>47</v>
      </c>
      <c r="I4753" t="s">
        <v>7776</v>
      </c>
      <c r="J4753" s="3">
        <v>86.56720462350998</v>
      </c>
      <c r="K4753" s="3">
        <v>0.44638913427562499</v>
      </c>
    </row>
    <row r="4754" spans="1:13" x14ac:dyDescent="0.45">
      <c r="A4754" t="s">
        <v>7777</v>
      </c>
      <c r="B4754">
        <v>1</v>
      </c>
      <c r="C4754" t="s">
        <v>1761</v>
      </c>
      <c r="D4754" t="s">
        <v>7778</v>
      </c>
      <c r="E4754" t="s">
        <v>7779</v>
      </c>
      <c r="F4754" s="3">
        <v>146.65295367655651</v>
      </c>
      <c r="G4754" s="3">
        <v>155.01729921437791</v>
      </c>
      <c r="H4754" t="s">
        <v>73</v>
      </c>
      <c r="I4754" t="s">
        <v>7777</v>
      </c>
      <c r="J4754" s="3">
        <v>1.8266941921057129</v>
      </c>
      <c r="K4754" s="3">
        <v>5.7034961302375269</v>
      </c>
    </row>
    <row r="4755" spans="1:13" x14ac:dyDescent="0.45">
      <c r="A4755" t="s">
        <v>7780</v>
      </c>
      <c r="B4755">
        <v>1</v>
      </c>
      <c r="C4755" t="s">
        <v>1761</v>
      </c>
      <c r="D4755" t="s">
        <v>7781</v>
      </c>
      <c r="E4755" t="s">
        <v>7782</v>
      </c>
      <c r="F4755" s="3">
        <v>45.995877011126012</v>
      </c>
      <c r="G4755" s="3">
        <v>45.995877011126012</v>
      </c>
      <c r="H4755" t="s">
        <v>73</v>
      </c>
      <c r="I4755" t="s">
        <v>7780</v>
      </c>
      <c r="J4755" s="3">
        <v>3.1804344724961489</v>
      </c>
      <c r="K4755" s="3">
        <v>0</v>
      </c>
    </row>
    <row r="4756" spans="1:13" x14ac:dyDescent="0.45">
      <c r="A4756" t="s">
        <v>7783</v>
      </c>
      <c r="B4756">
        <v>2</v>
      </c>
      <c r="C4756" t="s">
        <v>1761</v>
      </c>
      <c r="D4756" t="s">
        <v>7784</v>
      </c>
      <c r="E4756" t="s">
        <v>7785</v>
      </c>
      <c r="F4756" s="3">
        <v>163.15972795280081</v>
      </c>
      <c r="G4756" s="3">
        <v>154.60366769615749</v>
      </c>
      <c r="H4756" t="s">
        <v>73</v>
      </c>
      <c r="I4756" t="s">
        <v>7783</v>
      </c>
      <c r="J4756" s="3">
        <v>1.0124106482135149</v>
      </c>
      <c r="K4756" s="3">
        <v>5.2439780109945033</v>
      </c>
    </row>
    <row r="4757" spans="1:13" x14ac:dyDescent="0.45">
      <c r="A4757" t="s">
        <v>7786</v>
      </c>
      <c r="B4757">
        <v>1</v>
      </c>
      <c r="C4757" t="s">
        <v>1761</v>
      </c>
      <c r="D4757" t="s">
        <v>7787</v>
      </c>
      <c r="E4757" t="s">
        <v>7788</v>
      </c>
      <c r="F4757" s="3">
        <v>137.96806165071499</v>
      </c>
      <c r="G4757" s="3">
        <v>134.7374827294307</v>
      </c>
      <c r="H4757" t="s">
        <v>73</v>
      </c>
      <c r="I4757" t="s">
        <v>7786</v>
      </c>
      <c r="J4757" s="3">
        <v>11.753835088509179</v>
      </c>
      <c r="K4757" s="3">
        <v>2.3415411383128708</v>
      </c>
    </row>
    <row r="4758" spans="1:13" x14ac:dyDescent="0.45">
      <c r="A4758" t="s">
        <v>7789</v>
      </c>
      <c r="B4758">
        <v>1</v>
      </c>
      <c r="C4758" t="s">
        <v>1761</v>
      </c>
      <c r="D4758" t="s">
        <v>7790</v>
      </c>
      <c r="E4758" t="s">
        <v>7791</v>
      </c>
      <c r="F4758" s="3">
        <v>130.09823441278769</v>
      </c>
      <c r="G4758" s="3">
        <v>130.09823441278769</v>
      </c>
      <c r="H4758" t="s">
        <v>73</v>
      </c>
      <c r="I4758" t="s">
        <v>7789</v>
      </c>
      <c r="J4758" s="3">
        <v>0.52537741815426453</v>
      </c>
      <c r="K4758" s="3">
        <v>0</v>
      </c>
    </row>
    <row r="4759" spans="1:13" x14ac:dyDescent="0.45">
      <c r="A4759" t="s">
        <v>7792</v>
      </c>
      <c r="B4759">
        <v>2</v>
      </c>
      <c r="C4759" t="s">
        <v>1761</v>
      </c>
      <c r="D4759" t="s">
        <v>7793</v>
      </c>
      <c r="E4759" t="s">
        <v>7794</v>
      </c>
      <c r="F4759" s="3">
        <v>101.196539314174</v>
      </c>
      <c r="G4759" s="3">
        <v>102.17931371151001</v>
      </c>
      <c r="H4759" t="s">
        <v>73</v>
      </c>
      <c r="I4759" t="s">
        <v>7792</v>
      </c>
      <c r="J4759" s="3">
        <v>0.31581107305165779</v>
      </c>
      <c r="K4759" s="3">
        <v>0.97115415605762878</v>
      </c>
    </row>
    <row r="4760" spans="1:13" x14ac:dyDescent="0.45">
      <c r="A4760" t="s">
        <v>7795</v>
      </c>
      <c r="B4760">
        <v>1</v>
      </c>
      <c r="C4760" t="s">
        <v>1761</v>
      </c>
      <c r="D4760" t="s">
        <v>7796</v>
      </c>
      <c r="E4760" t="s">
        <v>7797</v>
      </c>
      <c r="F4760" s="3">
        <v>168.38214387280129</v>
      </c>
      <c r="G4760" s="3">
        <v>163.1359185372275</v>
      </c>
      <c r="H4760" t="s">
        <v>73</v>
      </c>
      <c r="I4760" t="s">
        <v>7795</v>
      </c>
      <c r="J4760" s="3">
        <v>1.4771784071403371</v>
      </c>
      <c r="K4760" s="3">
        <v>3.1156660765270341</v>
      </c>
    </row>
    <row r="4761" spans="1:13" x14ac:dyDescent="0.45">
      <c r="A4761" t="s">
        <v>7798</v>
      </c>
      <c r="B4761">
        <v>1</v>
      </c>
      <c r="C4761" t="s">
        <v>1761</v>
      </c>
      <c r="D4761" t="s">
        <v>7799</v>
      </c>
      <c r="E4761" t="s">
        <v>7800</v>
      </c>
      <c r="F4761" s="3">
        <v>99.468236668652935</v>
      </c>
      <c r="G4761" s="3">
        <v>98.059241116916596</v>
      </c>
      <c r="H4761" t="s">
        <v>73</v>
      </c>
      <c r="I4761" t="s">
        <v>7798</v>
      </c>
      <c r="J4761" s="3">
        <v>5.4026060821647492</v>
      </c>
      <c r="K4761" s="3">
        <v>1.416528128904055</v>
      </c>
    </row>
    <row r="4762" spans="1:13" x14ac:dyDescent="0.45">
      <c r="A4762" t="s">
        <v>7801</v>
      </c>
      <c r="B4762">
        <v>1</v>
      </c>
      <c r="C4762" t="s">
        <v>1761</v>
      </c>
      <c r="D4762" t="s">
        <v>7802</v>
      </c>
      <c r="E4762" t="s">
        <v>7803</v>
      </c>
      <c r="F4762" s="3">
        <v>124.1083725360197</v>
      </c>
      <c r="G4762" s="3">
        <v>106.3533978022534</v>
      </c>
      <c r="H4762" t="s">
        <v>73</v>
      </c>
      <c r="I4762" t="s">
        <v>7801</v>
      </c>
      <c r="J4762" s="3">
        <v>3.6681854799229519</v>
      </c>
      <c r="K4762" s="3">
        <v>14.30602494494347</v>
      </c>
    </row>
    <row r="4763" spans="1:13" x14ac:dyDescent="0.45">
      <c r="A4763" t="s">
        <v>7804</v>
      </c>
      <c r="B4763">
        <v>1</v>
      </c>
      <c r="C4763" t="s">
        <v>1761</v>
      </c>
      <c r="D4763" t="s">
        <v>7805</v>
      </c>
      <c r="E4763" t="s">
        <v>7806</v>
      </c>
      <c r="F4763" s="3">
        <v>474.06438113475389</v>
      </c>
      <c r="H4763" t="s">
        <v>73</v>
      </c>
      <c r="I4763" t="s">
        <v>7804</v>
      </c>
      <c r="J4763" s="3">
        <v>0.40817993808418279</v>
      </c>
    </row>
    <row r="4764" spans="1:13" x14ac:dyDescent="0.45">
      <c r="A4764" t="s">
        <v>7807</v>
      </c>
      <c r="B4764">
        <v>1</v>
      </c>
      <c r="C4764" t="s">
        <v>1774</v>
      </c>
      <c r="G4764" s="3">
        <v>69.144825919571872</v>
      </c>
      <c r="H4764" t="s">
        <v>1755</v>
      </c>
      <c r="I4764" t="s">
        <v>7807</v>
      </c>
      <c r="M4764" t="s">
        <v>1757</v>
      </c>
    </row>
    <row r="4765" spans="1:13" x14ac:dyDescent="0.45">
      <c r="A4765" t="s">
        <v>7808</v>
      </c>
      <c r="B4765">
        <v>2</v>
      </c>
      <c r="C4765" t="s">
        <v>1761</v>
      </c>
      <c r="D4765" t="s">
        <v>7809</v>
      </c>
      <c r="E4765" t="s">
        <v>7810</v>
      </c>
      <c r="F4765" s="3">
        <v>150.71914523755109</v>
      </c>
      <c r="G4765" s="3">
        <v>150.71914523755109</v>
      </c>
      <c r="H4765" t="s">
        <v>73</v>
      </c>
      <c r="I4765" t="s">
        <v>7808</v>
      </c>
      <c r="J4765" s="3">
        <v>1.8098741514369281</v>
      </c>
      <c r="K4765" s="3">
        <v>0</v>
      </c>
    </row>
    <row r="4766" spans="1:13" x14ac:dyDescent="0.45">
      <c r="A4766" t="s">
        <v>7811</v>
      </c>
      <c r="B4766">
        <v>1</v>
      </c>
      <c r="C4766" t="s">
        <v>1761</v>
      </c>
      <c r="D4766" t="s">
        <v>7812</v>
      </c>
      <c r="E4766" t="s">
        <v>7813</v>
      </c>
      <c r="F4766" s="3">
        <v>273.39177739886168</v>
      </c>
      <c r="G4766" s="3">
        <v>250.34328465475261</v>
      </c>
      <c r="H4766" t="s">
        <v>73</v>
      </c>
      <c r="I4766" t="s">
        <v>7811</v>
      </c>
      <c r="J4766" s="3">
        <v>0.88783029824675175</v>
      </c>
      <c r="K4766" s="3">
        <v>8.4305727712076592</v>
      </c>
    </row>
    <row r="4767" spans="1:13" x14ac:dyDescent="0.45">
      <c r="A4767" t="s">
        <v>7814</v>
      </c>
      <c r="B4767">
        <v>1</v>
      </c>
      <c r="C4767" t="s">
        <v>1761</v>
      </c>
      <c r="D4767" t="s">
        <v>7815</v>
      </c>
      <c r="E4767" t="s">
        <v>7816</v>
      </c>
      <c r="F4767" s="3">
        <v>269.99714181958592</v>
      </c>
      <c r="G4767" s="3">
        <v>276.54244800760551</v>
      </c>
      <c r="H4767" t="s">
        <v>73</v>
      </c>
      <c r="I4767" t="s">
        <v>7814</v>
      </c>
      <c r="J4767" s="3">
        <v>2.0927066073458289</v>
      </c>
      <c r="K4767" s="3">
        <v>2.4242131394091828</v>
      </c>
    </row>
    <row r="4768" spans="1:13" x14ac:dyDescent="0.45">
      <c r="A4768" t="s">
        <v>7817</v>
      </c>
      <c r="B4768">
        <v>1</v>
      </c>
      <c r="C4768" t="s">
        <v>1761</v>
      </c>
      <c r="D4768" t="s">
        <v>7818</v>
      </c>
      <c r="E4768" t="s">
        <v>7819</v>
      </c>
      <c r="F4768" s="3">
        <v>179.10844866677189</v>
      </c>
      <c r="G4768" s="3">
        <v>179.10844866677189</v>
      </c>
      <c r="H4768" t="s">
        <v>73</v>
      </c>
      <c r="I4768" t="s">
        <v>7817</v>
      </c>
      <c r="J4768" s="3">
        <v>3.1473685253656649</v>
      </c>
      <c r="K4768" s="3">
        <v>0</v>
      </c>
    </row>
    <row r="4769" spans="1:13" x14ac:dyDescent="0.45">
      <c r="A4769" t="s">
        <v>7820</v>
      </c>
      <c r="B4769">
        <v>1</v>
      </c>
      <c r="C4769" t="s">
        <v>1774</v>
      </c>
      <c r="G4769" s="3">
        <v>74.098815140711494</v>
      </c>
      <c r="H4769" t="s">
        <v>1755</v>
      </c>
      <c r="I4769" t="s">
        <v>7820</v>
      </c>
      <c r="M4769" t="s">
        <v>1757</v>
      </c>
    </row>
    <row r="4770" spans="1:13" x14ac:dyDescent="0.45">
      <c r="A4770" t="s">
        <v>7821</v>
      </c>
      <c r="B4770">
        <v>3</v>
      </c>
      <c r="C4770" t="s">
        <v>1761</v>
      </c>
      <c r="D4770" t="s">
        <v>7822</v>
      </c>
      <c r="E4770" t="s">
        <v>7823</v>
      </c>
      <c r="F4770" s="3">
        <v>56.214356324991577</v>
      </c>
      <c r="G4770" s="3">
        <v>56.970060652161273</v>
      </c>
      <c r="H4770" t="s">
        <v>73</v>
      </c>
      <c r="I4770" t="s">
        <v>7821</v>
      </c>
      <c r="J4770" s="3">
        <v>12.4248650914245</v>
      </c>
      <c r="K4770" s="3">
        <v>1.344326212330436</v>
      </c>
    </row>
    <row r="4771" spans="1:13" x14ac:dyDescent="0.45">
      <c r="A4771" t="s">
        <v>7824</v>
      </c>
      <c r="B4771">
        <v>1</v>
      </c>
      <c r="C4771" t="s">
        <v>1761</v>
      </c>
      <c r="D4771" t="s">
        <v>7825</v>
      </c>
      <c r="E4771" t="s">
        <v>7826</v>
      </c>
      <c r="F4771" s="3">
        <v>50.93812460266782</v>
      </c>
      <c r="G4771" s="3">
        <v>51.050322396602382</v>
      </c>
      <c r="H4771" t="s">
        <v>73</v>
      </c>
      <c r="I4771" t="s">
        <v>7824</v>
      </c>
      <c r="J4771" s="3">
        <v>7.5807097046267229</v>
      </c>
      <c r="K4771" s="3">
        <v>0.2202629068300809</v>
      </c>
    </row>
    <row r="4772" spans="1:13" x14ac:dyDescent="0.45">
      <c r="A4772" t="s">
        <v>225</v>
      </c>
      <c r="B4772">
        <v>3</v>
      </c>
      <c r="C4772" t="s">
        <v>1751</v>
      </c>
      <c r="D4772" t="s">
        <v>224</v>
      </c>
      <c r="E4772" t="s">
        <v>222</v>
      </c>
      <c r="F4772" s="3">
        <v>11.90536009941656</v>
      </c>
      <c r="G4772" s="3">
        <v>11.75154475168535</v>
      </c>
      <c r="H4772" t="s">
        <v>73</v>
      </c>
      <c r="I4772" t="s">
        <v>225</v>
      </c>
      <c r="J4772" s="3">
        <v>30.33332520410605</v>
      </c>
      <c r="K4772" s="3">
        <v>1.291984000876661</v>
      </c>
    </row>
    <row r="4773" spans="1:13" x14ac:dyDescent="0.45">
      <c r="A4773" t="s">
        <v>7827</v>
      </c>
      <c r="B4773">
        <v>1</v>
      </c>
      <c r="C4773" t="s">
        <v>1761</v>
      </c>
      <c r="D4773" t="s">
        <v>7828</v>
      </c>
      <c r="E4773" t="s">
        <v>7829</v>
      </c>
      <c r="F4773" s="3">
        <v>321.02006708046008</v>
      </c>
      <c r="G4773" s="3">
        <v>367.04660279109152</v>
      </c>
      <c r="H4773" t="s">
        <v>73</v>
      </c>
      <c r="I4773" t="s">
        <v>7827</v>
      </c>
      <c r="J4773" s="3">
        <v>0.90366075484314534</v>
      </c>
      <c r="K4773" s="3">
        <v>14.337588341197179</v>
      </c>
    </row>
    <row r="4774" spans="1:13" x14ac:dyDescent="0.45">
      <c r="A4774" t="s">
        <v>7830</v>
      </c>
      <c r="B4774">
        <v>3</v>
      </c>
      <c r="C4774" t="s">
        <v>1761</v>
      </c>
      <c r="D4774" t="s">
        <v>7831</v>
      </c>
      <c r="E4774" t="s">
        <v>7832</v>
      </c>
      <c r="F4774" s="3">
        <v>44.003713856032142</v>
      </c>
      <c r="G4774" s="3">
        <v>43.722567058440312</v>
      </c>
      <c r="H4774" t="s">
        <v>73</v>
      </c>
      <c r="I4774" t="s">
        <v>7830</v>
      </c>
      <c r="J4774" s="3">
        <v>6.6615806226793328</v>
      </c>
      <c r="K4774" s="3">
        <v>0.6389160662930996</v>
      </c>
    </row>
    <row r="4775" spans="1:13" x14ac:dyDescent="0.45">
      <c r="A4775" t="s">
        <v>7833</v>
      </c>
      <c r="B4775">
        <v>1</v>
      </c>
      <c r="C4775" t="s">
        <v>1761</v>
      </c>
      <c r="D4775" t="s">
        <v>7834</v>
      </c>
      <c r="E4775" t="s">
        <v>7835</v>
      </c>
      <c r="F4775" s="3">
        <v>181.50047954094649</v>
      </c>
      <c r="G4775" s="3">
        <v>171.54944845680859</v>
      </c>
      <c r="H4775" t="s">
        <v>73</v>
      </c>
      <c r="I4775" t="s">
        <v>7833</v>
      </c>
      <c r="J4775" s="3">
        <v>0.66567411051306324</v>
      </c>
      <c r="K4775" s="3">
        <v>5.4826472686497194</v>
      </c>
    </row>
    <row r="4776" spans="1:13" x14ac:dyDescent="0.45">
      <c r="A4776" t="s">
        <v>7836</v>
      </c>
      <c r="B4776">
        <v>1</v>
      </c>
      <c r="C4776" t="s">
        <v>1761</v>
      </c>
      <c r="D4776" t="s">
        <v>7837</v>
      </c>
      <c r="E4776" t="s">
        <v>7838</v>
      </c>
      <c r="F4776" s="3">
        <v>183.5431969345864</v>
      </c>
      <c r="G4776" s="3">
        <v>183.25357007117401</v>
      </c>
      <c r="H4776" t="s">
        <v>73</v>
      </c>
      <c r="I4776" t="s">
        <v>7836</v>
      </c>
      <c r="J4776" s="3">
        <v>2.0033242087051781</v>
      </c>
      <c r="K4776" s="3">
        <v>0.15779765649155941</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P262"/>
  <sheetViews>
    <sheetView workbookViewId="0">
      <pane xSplit="1" ySplit="1" topLeftCell="B2" activePane="bottomRight" state="frozen"/>
      <selection pane="topRight"/>
      <selection pane="bottomLeft"/>
      <selection pane="bottomRight"/>
    </sheetView>
  </sheetViews>
  <sheetFormatPr defaultRowHeight="14.25" x14ac:dyDescent="0.45"/>
  <cols>
    <col min="1" max="1" width="16" customWidth="1"/>
    <col min="2" max="2" width="17" customWidth="1"/>
    <col min="3" max="7" width="16" customWidth="1"/>
    <col min="8" max="8" width="17" customWidth="1"/>
    <col min="9" max="11" width="16" customWidth="1"/>
    <col min="12" max="12" width="17" customWidth="1"/>
    <col min="13" max="39" width="16" customWidth="1"/>
    <col min="40" max="41" width="17" customWidth="1"/>
    <col min="42" max="94" width="16" customWidth="1"/>
  </cols>
  <sheetData>
    <row r="1" spans="1:94" ht="34.049999999999997" customHeight="1" x14ac:dyDescent="0.45">
      <c r="A1" s="1" t="s">
        <v>8</v>
      </c>
      <c r="B1" s="1" t="s">
        <v>7839</v>
      </c>
      <c r="C1" s="1" t="s">
        <v>7840</v>
      </c>
      <c r="D1" s="1" t="s">
        <v>7841</v>
      </c>
      <c r="E1" s="1" t="s">
        <v>7842</v>
      </c>
      <c r="F1" s="1" t="s">
        <v>7843</v>
      </c>
      <c r="G1" s="1" t="s">
        <v>7844</v>
      </c>
      <c r="H1" s="1" t="s">
        <v>7845</v>
      </c>
      <c r="I1" s="1" t="s">
        <v>7846</v>
      </c>
      <c r="J1" s="1" t="s">
        <v>7847</v>
      </c>
      <c r="K1" s="1" t="s">
        <v>7848</v>
      </c>
      <c r="L1" s="1" t="s">
        <v>7849</v>
      </c>
      <c r="M1" s="1" t="s">
        <v>7850</v>
      </c>
      <c r="N1" s="1" t="s">
        <v>7851</v>
      </c>
      <c r="O1" s="1" t="s">
        <v>7852</v>
      </c>
      <c r="P1" s="1" t="s">
        <v>7853</v>
      </c>
      <c r="Q1" s="1" t="s">
        <v>7854</v>
      </c>
      <c r="R1" s="1" t="s">
        <v>7855</v>
      </c>
      <c r="S1" s="1" t="s">
        <v>7856</v>
      </c>
      <c r="T1" s="1" t="s">
        <v>7857</v>
      </c>
      <c r="U1" s="1" t="s">
        <v>7858</v>
      </c>
      <c r="V1" s="1" t="s">
        <v>7859</v>
      </c>
      <c r="W1" s="1" t="s">
        <v>7860</v>
      </c>
      <c r="X1" s="1" t="s">
        <v>7861</v>
      </c>
      <c r="Y1" s="1" t="s">
        <v>7862</v>
      </c>
      <c r="Z1" s="1" t="s">
        <v>7863</v>
      </c>
      <c r="AA1" s="1" t="s">
        <v>7864</v>
      </c>
      <c r="AB1" s="1" t="s">
        <v>7865</v>
      </c>
      <c r="AC1" s="1" t="s">
        <v>7866</v>
      </c>
      <c r="AD1" s="1" t="s">
        <v>7867</v>
      </c>
      <c r="AE1" s="1" t="s">
        <v>7868</v>
      </c>
      <c r="AF1" s="1" t="s">
        <v>7869</v>
      </c>
      <c r="AG1" s="1" t="s">
        <v>7870</v>
      </c>
      <c r="AH1" s="1" t="s">
        <v>7871</v>
      </c>
      <c r="AI1" s="1" t="s">
        <v>7872</v>
      </c>
      <c r="AJ1" s="1" t="s">
        <v>7873</v>
      </c>
      <c r="AK1" s="1" t="s">
        <v>7874</v>
      </c>
      <c r="AL1" s="1" t="s">
        <v>7875</v>
      </c>
      <c r="AM1" s="1" t="s">
        <v>7876</v>
      </c>
      <c r="AN1" s="1" t="s">
        <v>7877</v>
      </c>
      <c r="AO1" s="1" t="s">
        <v>7878</v>
      </c>
      <c r="AP1" s="1" t="s">
        <v>7879</v>
      </c>
      <c r="AQ1" s="1" t="s">
        <v>7880</v>
      </c>
      <c r="AR1" s="1" t="s">
        <v>7881</v>
      </c>
      <c r="AS1" s="1" t="s">
        <v>7882</v>
      </c>
      <c r="AT1" s="1" t="s">
        <v>7883</v>
      </c>
      <c r="AU1" s="1" t="s">
        <v>7884</v>
      </c>
      <c r="AV1" s="1" t="s">
        <v>7885</v>
      </c>
      <c r="AW1" s="1" t="s">
        <v>7886</v>
      </c>
      <c r="AX1" s="1" t="s">
        <v>7887</v>
      </c>
      <c r="AY1" s="1" t="s">
        <v>7888</v>
      </c>
      <c r="AZ1" s="1" t="s">
        <v>7889</v>
      </c>
      <c r="BA1" s="1" t="s">
        <v>7890</v>
      </c>
      <c r="BB1" s="1" t="s">
        <v>7891</v>
      </c>
      <c r="BC1" s="1" t="s">
        <v>7892</v>
      </c>
      <c r="BD1" s="1" t="s">
        <v>7893</v>
      </c>
      <c r="BE1" s="1" t="s">
        <v>7894</v>
      </c>
      <c r="BF1" s="1" t="s">
        <v>7895</v>
      </c>
      <c r="BG1" s="1" t="s">
        <v>7896</v>
      </c>
      <c r="BH1" s="1" t="s">
        <v>7897</v>
      </c>
      <c r="BI1" s="1" t="s">
        <v>7898</v>
      </c>
      <c r="BJ1" s="1" t="s">
        <v>7899</v>
      </c>
      <c r="BK1" s="1" t="s">
        <v>7900</v>
      </c>
      <c r="BL1" s="1" t="s">
        <v>7901</v>
      </c>
      <c r="BM1" s="1" t="s">
        <v>7902</v>
      </c>
      <c r="BN1" s="1" t="s">
        <v>7903</v>
      </c>
      <c r="BO1" s="1" t="s">
        <v>7904</v>
      </c>
      <c r="BP1" s="1" t="s">
        <v>7905</v>
      </c>
      <c r="BQ1" s="1" t="s">
        <v>7906</v>
      </c>
      <c r="BR1" s="1" t="s">
        <v>7907</v>
      </c>
      <c r="BS1" s="1" t="s">
        <v>7908</v>
      </c>
      <c r="BT1" s="1" t="s">
        <v>7909</v>
      </c>
      <c r="BU1" s="1" t="s">
        <v>7910</v>
      </c>
      <c r="BV1" s="1" t="s">
        <v>7911</v>
      </c>
      <c r="BW1" s="1" t="s">
        <v>7912</v>
      </c>
      <c r="BX1" s="1" t="s">
        <v>7913</v>
      </c>
      <c r="BY1" s="1" t="s">
        <v>7914</v>
      </c>
      <c r="BZ1" s="1" t="s">
        <v>7915</v>
      </c>
      <c r="CA1" s="1" t="s">
        <v>7916</v>
      </c>
      <c r="CB1" s="1" t="s">
        <v>7917</v>
      </c>
      <c r="CC1" s="1" t="s">
        <v>7918</v>
      </c>
      <c r="CD1" s="1" t="s">
        <v>7919</v>
      </c>
      <c r="CE1" s="1" t="s">
        <v>7920</v>
      </c>
      <c r="CF1" s="1" t="s">
        <v>7921</v>
      </c>
      <c r="CG1" s="1" t="s">
        <v>7922</v>
      </c>
      <c r="CH1" s="1" t="s">
        <v>7923</v>
      </c>
      <c r="CI1" s="1" t="s">
        <v>7924</v>
      </c>
      <c r="CJ1" s="1" t="s">
        <v>7925</v>
      </c>
      <c r="CK1" s="1" t="s">
        <v>7926</v>
      </c>
      <c r="CL1" s="1" t="s">
        <v>7927</v>
      </c>
      <c r="CM1" s="1" t="s">
        <v>7928</v>
      </c>
      <c r="CN1" s="1" t="s">
        <v>7929</v>
      </c>
      <c r="CO1" s="1" t="s">
        <v>7930</v>
      </c>
      <c r="CP1" s="1" t="s">
        <v>7931</v>
      </c>
    </row>
    <row r="2" spans="1:94" x14ac:dyDescent="0.45">
      <c r="A2" t="s">
        <v>1158</v>
      </c>
      <c r="B2">
        <v>1</v>
      </c>
      <c r="C2" t="s">
        <v>1425</v>
      </c>
      <c r="D2" t="s">
        <v>1159</v>
      </c>
      <c r="E2" s="3">
        <v>1</v>
      </c>
      <c r="F2" s="3">
        <v>1</v>
      </c>
      <c r="G2" s="3">
        <v>3</v>
      </c>
      <c r="H2" t="s">
        <v>1427</v>
      </c>
      <c r="I2" s="3">
        <v>2009</v>
      </c>
      <c r="J2" t="s">
        <v>7932</v>
      </c>
      <c r="K2" t="s">
        <v>1429</v>
      </c>
      <c r="L2" s="3">
        <v>0</v>
      </c>
      <c r="M2" t="s">
        <v>7933</v>
      </c>
      <c r="N2" s="3">
        <v>4.2149999999999999</v>
      </c>
      <c r="O2" s="3">
        <v>5.9999999999999995E-4</v>
      </c>
      <c r="P2" s="3">
        <v>-5.9999999999999995E-4</v>
      </c>
      <c r="Q2" s="3">
        <v>0</v>
      </c>
      <c r="R2" s="3">
        <v>5.0201000000000003E-2</v>
      </c>
      <c r="S2" s="3">
        <v>5.0000000000000004E-6</v>
      </c>
      <c r="T2" s="3">
        <v>-5.0000000000000004E-6</v>
      </c>
      <c r="U2" s="3">
        <v>0</v>
      </c>
      <c r="AD2" s="3">
        <v>5.0999999999999996</v>
      </c>
      <c r="AE2" s="3">
        <v>0.5</v>
      </c>
      <c r="AF2" s="3">
        <v>-0.5</v>
      </c>
      <c r="AG2" s="3">
        <v>0</v>
      </c>
      <c r="AH2" s="3">
        <v>1.6E-2</v>
      </c>
      <c r="AI2" s="3">
        <v>2E-3</v>
      </c>
      <c r="AJ2" s="3">
        <v>-2E-3</v>
      </c>
      <c r="AK2" s="3">
        <v>0</v>
      </c>
      <c r="AL2" t="s">
        <v>1426</v>
      </c>
      <c r="AM2" s="3">
        <v>0.12</v>
      </c>
      <c r="AN2" s="3">
        <v>0.11</v>
      </c>
      <c r="AO2" s="3">
        <v>-0.11</v>
      </c>
      <c r="AP2" s="3">
        <v>0</v>
      </c>
      <c r="AY2" s="3">
        <v>0</v>
      </c>
      <c r="AZ2" t="s">
        <v>7933</v>
      </c>
      <c r="BA2" t="s">
        <v>7934</v>
      </c>
      <c r="BB2" s="3">
        <v>5577</v>
      </c>
      <c r="BC2" s="3">
        <v>33</v>
      </c>
      <c r="BD2" s="3">
        <v>-33</v>
      </c>
      <c r="BE2" s="3">
        <v>0</v>
      </c>
      <c r="BF2" s="3">
        <v>0.96299999999999997</v>
      </c>
      <c r="BG2" s="3">
        <v>1.0999999999999999E-2</v>
      </c>
      <c r="BH2" s="3">
        <v>-1.0999999999999999E-2</v>
      </c>
      <c r="BI2" s="3">
        <v>0</v>
      </c>
      <c r="BJ2" s="3">
        <v>0.94199999999999995</v>
      </c>
      <c r="BK2" s="3">
        <v>3.4000000000000002E-2</v>
      </c>
      <c r="BL2" s="3">
        <v>-2.9000000000000001E-2</v>
      </c>
      <c r="BM2" s="3">
        <v>0</v>
      </c>
      <c r="BN2" s="3">
        <v>-0.01</v>
      </c>
      <c r="BQ2" s="3">
        <v>0</v>
      </c>
      <c r="BR2" t="s">
        <v>7935</v>
      </c>
      <c r="BS2" s="3">
        <v>4.34</v>
      </c>
      <c r="BT2" s="3">
        <v>0.03</v>
      </c>
      <c r="BU2" s="3">
        <v>-0.03</v>
      </c>
      <c r="BV2" s="3">
        <v>0</v>
      </c>
      <c r="BW2" t="s">
        <v>7936</v>
      </c>
      <c r="BX2" t="s">
        <v>7937</v>
      </c>
      <c r="BY2" s="3">
        <v>199.59645499999999</v>
      </c>
      <c r="BZ2" t="s">
        <v>7938</v>
      </c>
      <c r="CA2" s="3">
        <v>-18.3157745</v>
      </c>
      <c r="CB2" s="3">
        <v>8.5033200000000004</v>
      </c>
      <c r="CC2" s="3">
        <v>1.737E-2</v>
      </c>
      <c r="CD2" s="3">
        <v>-1.7299999999999999E-2</v>
      </c>
      <c r="CE2" s="3">
        <v>4.6955</v>
      </c>
      <c r="CF2" s="3">
        <v>4.6199999999999998E-2</v>
      </c>
      <c r="CG2" s="3">
        <v>-4.6199999999999998E-2</v>
      </c>
      <c r="CH2" s="3">
        <v>2.956</v>
      </c>
      <c r="CI2" s="3">
        <v>0.23599999999999999</v>
      </c>
      <c r="CJ2" s="3">
        <v>-0.23599999999999999</v>
      </c>
      <c r="CK2" s="3">
        <v>4.5405199999999999</v>
      </c>
      <c r="CL2" s="3">
        <v>5.5700999999999997E-3</v>
      </c>
      <c r="CM2" s="3">
        <v>-5.5700999999999997E-3</v>
      </c>
      <c r="CN2" t="s">
        <v>1433</v>
      </c>
      <c r="CO2" t="s">
        <v>7939</v>
      </c>
      <c r="CP2" t="s">
        <v>1433</v>
      </c>
    </row>
    <row r="3" spans="1:94" x14ac:dyDescent="0.45">
      <c r="A3" t="s">
        <v>1158</v>
      </c>
      <c r="B3">
        <v>0</v>
      </c>
      <c r="C3" t="s">
        <v>1425</v>
      </c>
      <c r="D3" t="s">
        <v>1159</v>
      </c>
      <c r="E3" s="3">
        <v>0</v>
      </c>
      <c r="F3" s="3">
        <v>1</v>
      </c>
      <c r="G3" s="3">
        <v>3</v>
      </c>
      <c r="H3" t="s">
        <v>1427</v>
      </c>
      <c r="I3" s="3">
        <v>2009</v>
      </c>
      <c r="J3" t="s">
        <v>7932</v>
      </c>
      <c r="K3" t="s">
        <v>1429</v>
      </c>
      <c r="L3" s="3">
        <v>0</v>
      </c>
      <c r="M3" t="s">
        <v>7940</v>
      </c>
      <c r="N3" s="3">
        <v>4.2150109999999996</v>
      </c>
      <c r="O3" s="3">
        <v>9.2E-5</v>
      </c>
      <c r="P3" s="3">
        <v>-9.0000000000000006E-5</v>
      </c>
      <c r="Q3" s="3">
        <v>0</v>
      </c>
      <c r="R3" s="3">
        <v>4.931E-2</v>
      </c>
      <c r="S3" s="3">
        <v>7.2000000000000005E-4</v>
      </c>
      <c r="T3" s="3">
        <v>-7.3999999999999999E-4</v>
      </c>
      <c r="U3" s="3">
        <v>0</v>
      </c>
      <c r="AD3" s="3">
        <v>5.8</v>
      </c>
      <c r="AE3" s="3">
        <v>0.3</v>
      </c>
      <c r="AF3" s="3">
        <v>-0.28999999999999998</v>
      </c>
      <c r="AG3" s="3">
        <v>0</v>
      </c>
      <c r="AH3" s="3">
        <v>1.8248839999999999E-2</v>
      </c>
      <c r="AI3" s="3">
        <v>9.4390999999999995E-4</v>
      </c>
      <c r="AJ3" s="3">
        <v>-9.1244000000000004E-4</v>
      </c>
      <c r="AK3" s="3">
        <v>0</v>
      </c>
      <c r="AL3" t="s">
        <v>1426</v>
      </c>
      <c r="AM3" s="3">
        <v>3.5999999999999997E-2</v>
      </c>
      <c r="AN3" s="3">
        <v>3.6999999999999998E-2</v>
      </c>
      <c r="AO3" s="3">
        <v>-2.5000000000000001E-2</v>
      </c>
      <c r="AP3" s="3">
        <v>0</v>
      </c>
      <c r="AY3" s="3">
        <v>0</v>
      </c>
      <c r="AZ3" t="s">
        <v>7940</v>
      </c>
      <c r="BB3" s="3">
        <v>5552</v>
      </c>
      <c r="BE3" s="3">
        <v>0</v>
      </c>
      <c r="BW3" t="s">
        <v>7936</v>
      </c>
      <c r="BX3" t="s">
        <v>7937</v>
      </c>
      <c r="BY3" s="3">
        <v>199.59645499999999</v>
      </c>
      <c r="BZ3" t="s">
        <v>7938</v>
      </c>
      <c r="CA3" s="3">
        <v>-18.3157745</v>
      </c>
      <c r="CB3" s="3">
        <v>8.5033200000000004</v>
      </c>
      <c r="CC3" s="3">
        <v>1.737E-2</v>
      </c>
      <c r="CD3" s="3">
        <v>-1.7299999999999999E-2</v>
      </c>
      <c r="CE3" s="3">
        <v>4.6955</v>
      </c>
      <c r="CF3" s="3">
        <v>4.6199999999999998E-2</v>
      </c>
      <c r="CG3" s="3">
        <v>-4.6199999999999998E-2</v>
      </c>
      <c r="CH3" s="3">
        <v>2.956</v>
      </c>
      <c r="CI3" s="3">
        <v>0.23599999999999999</v>
      </c>
      <c r="CJ3" s="3">
        <v>-0.23599999999999999</v>
      </c>
      <c r="CK3" s="3">
        <v>4.5405199999999999</v>
      </c>
      <c r="CL3" s="3">
        <v>5.5700999999999997E-3</v>
      </c>
      <c r="CM3" s="3">
        <v>-5.5700999999999997E-3</v>
      </c>
      <c r="CN3" t="s">
        <v>1513</v>
      </c>
      <c r="CO3" t="s">
        <v>7941</v>
      </c>
      <c r="CP3" t="s">
        <v>1513</v>
      </c>
    </row>
    <row r="4" spans="1:94" x14ac:dyDescent="0.45">
      <c r="A4" t="s">
        <v>1158</v>
      </c>
      <c r="B4">
        <v>0</v>
      </c>
      <c r="C4" t="s">
        <v>1425</v>
      </c>
      <c r="D4" t="s">
        <v>1159</v>
      </c>
      <c r="E4" s="3">
        <v>0</v>
      </c>
      <c r="F4" s="3">
        <v>1</v>
      </c>
      <c r="G4" s="3">
        <v>3</v>
      </c>
      <c r="H4" t="s">
        <v>1427</v>
      </c>
      <c r="I4" s="3">
        <v>2009</v>
      </c>
      <c r="J4" t="s">
        <v>7932</v>
      </c>
      <c r="K4" t="s">
        <v>1429</v>
      </c>
      <c r="L4" s="3">
        <v>0</v>
      </c>
      <c r="M4" t="s">
        <v>7942</v>
      </c>
      <c r="N4" s="3">
        <v>4.2148700000000003</v>
      </c>
      <c r="O4" s="3">
        <v>1.6000000000000001E-4</v>
      </c>
      <c r="P4" s="3">
        <v>-1.6000000000000001E-4</v>
      </c>
      <c r="Q4" s="3">
        <v>0</v>
      </c>
      <c r="R4" s="3">
        <v>4.956E-2</v>
      </c>
      <c r="S4" s="3">
        <v>6.4999999999999997E-4</v>
      </c>
      <c r="T4" s="3">
        <v>-6.7000000000000002E-4</v>
      </c>
      <c r="U4" s="3">
        <v>0</v>
      </c>
      <c r="AD4" s="3">
        <v>5.1170373500000004</v>
      </c>
      <c r="AE4" s="3">
        <v>0.54030829000000002</v>
      </c>
      <c r="AF4" s="3">
        <v>-0.50852545000000005</v>
      </c>
      <c r="AG4" s="3">
        <v>0</v>
      </c>
      <c r="AH4" s="3">
        <v>1.61E-2</v>
      </c>
      <c r="AI4" s="3">
        <v>1.6999999999999999E-3</v>
      </c>
      <c r="AJ4" s="3">
        <v>-1.6000000000000001E-3</v>
      </c>
      <c r="AK4" s="3">
        <v>0</v>
      </c>
      <c r="AL4" t="s">
        <v>1426</v>
      </c>
      <c r="AM4" s="3">
        <v>9.9000000000000005E-2</v>
      </c>
      <c r="AN4" s="3">
        <v>9.0999999999999998E-2</v>
      </c>
      <c r="AO4" s="3">
        <v>-7.0000000000000007E-2</v>
      </c>
      <c r="AP4" s="3">
        <v>0</v>
      </c>
      <c r="AY4" s="3">
        <v>0</v>
      </c>
      <c r="AZ4" t="s">
        <v>7942</v>
      </c>
      <c r="BB4" s="3">
        <v>5585.57</v>
      </c>
      <c r="BC4" s="3">
        <v>78.88</v>
      </c>
      <c r="BD4" s="3">
        <v>-78.88</v>
      </c>
      <c r="BE4" s="3">
        <v>0</v>
      </c>
      <c r="BF4" s="3">
        <v>1.03251</v>
      </c>
      <c r="BG4" s="3">
        <v>2.3198E-2</v>
      </c>
      <c r="BH4" s="3">
        <v>-2.3198E-2</v>
      </c>
      <c r="BI4" s="3">
        <v>0</v>
      </c>
      <c r="BJ4" s="3">
        <v>0.914072</v>
      </c>
      <c r="BK4" s="3">
        <v>3.6797999999999997E-2</v>
      </c>
      <c r="BL4" s="3">
        <v>-3.6797999999999997E-2</v>
      </c>
      <c r="BM4" s="3">
        <v>0</v>
      </c>
      <c r="BN4" s="3">
        <v>2.75E-2</v>
      </c>
      <c r="BO4" s="3">
        <v>0.06</v>
      </c>
      <c r="BP4" s="3">
        <v>-0.06</v>
      </c>
      <c r="BQ4" s="3">
        <v>0</v>
      </c>
      <c r="BR4" t="s">
        <v>7935</v>
      </c>
      <c r="BS4" s="3">
        <v>4.3687750000000003</v>
      </c>
      <c r="BT4" s="3">
        <v>2.8303999999999999E-2</v>
      </c>
      <c r="BU4" s="3">
        <v>-2.8303999999999999E-2</v>
      </c>
      <c r="BV4" s="3">
        <v>0</v>
      </c>
      <c r="BW4" t="s">
        <v>7936</v>
      </c>
      <c r="BX4" t="s">
        <v>7937</v>
      </c>
      <c r="BY4" s="3">
        <v>199.59645499999999</v>
      </c>
      <c r="BZ4" t="s">
        <v>7938</v>
      </c>
      <c r="CA4" s="3">
        <v>-18.3157745</v>
      </c>
      <c r="CB4" s="3">
        <v>8.5033200000000004</v>
      </c>
      <c r="CC4" s="3">
        <v>1.737E-2</v>
      </c>
      <c r="CD4" s="3">
        <v>-1.7299999999999999E-2</v>
      </c>
      <c r="CE4" s="3">
        <v>4.6955</v>
      </c>
      <c r="CF4" s="3">
        <v>4.6199999999999998E-2</v>
      </c>
      <c r="CG4" s="3">
        <v>-4.6199999999999998E-2</v>
      </c>
      <c r="CH4" s="3">
        <v>2.956</v>
      </c>
      <c r="CI4" s="3">
        <v>0.23599999999999999</v>
      </c>
      <c r="CJ4" s="3">
        <v>-0.23599999999999999</v>
      </c>
      <c r="CK4" s="3">
        <v>4.5405199999999999</v>
      </c>
      <c r="CL4" s="3">
        <v>5.5700999999999997E-3</v>
      </c>
      <c r="CM4" s="3">
        <v>-5.5700999999999997E-3</v>
      </c>
      <c r="CN4" t="s">
        <v>7943</v>
      </c>
      <c r="CO4" t="s">
        <v>7944</v>
      </c>
      <c r="CP4" t="s">
        <v>7943</v>
      </c>
    </row>
    <row r="5" spans="1:94" x14ac:dyDescent="0.45">
      <c r="A5" t="s">
        <v>1158</v>
      </c>
      <c r="B5">
        <v>0</v>
      </c>
      <c r="C5" t="s">
        <v>1434</v>
      </c>
      <c r="D5" t="s">
        <v>1159</v>
      </c>
      <c r="E5" s="3">
        <v>0</v>
      </c>
      <c r="F5" s="3">
        <v>1</v>
      </c>
      <c r="G5" s="3">
        <v>3</v>
      </c>
      <c r="H5" t="s">
        <v>1427</v>
      </c>
      <c r="I5" s="3">
        <v>2009</v>
      </c>
      <c r="J5" t="s">
        <v>7932</v>
      </c>
      <c r="K5" t="s">
        <v>1429</v>
      </c>
      <c r="L5" s="3">
        <v>0</v>
      </c>
      <c r="M5" t="s">
        <v>7940</v>
      </c>
      <c r="N5" s="3">
        <v>38.086399999999998</v>
      </c>
      <c r="O5" s="3">
        <v>5.1999999999999998E-3</v>
      </c>
      <c r="P5" s="3">
        <v>-5.3E-3</v>
      </c>
      <c r="Q5" s="3">
        <v>0</v>
      </c>
      <c r="R5" s="3">
        <v>0.21390000000000001</v>
      </c>
      <c r="S5" s="3">
        <v>3.0999999999999999E-3</v>
      </c>
      <c r="T5" s="3">
        <v>-3.2000000000000002E-3</v>
      </c>
      <c r="U5" s="3">
        <v>0</v>
      </c>
      <c r="AD5" s="3">
        <v>17.84</v>
      </c>
      <c r="AE5" s="3">
        <v>0.77</v>
      </c>
      <c r="AF5" s="3">
        <v>-0.75</v>
      </c>
      <c r="AG5" s="3">
        <v>0</v>
      </c>
      <c r="AH5" s="3">
        <v>5.6130920000000001E-2</v>
      </c>
      <c r="AI5" s="3">
        <v>2.4226899999999999E-3</v>
      </c>
      <c r="AJ5" s="3">
        <v>-2.3597599999999998E-3</v>
      </c>
      <c r="AK5" s="3">
        <v>0</v>
      </c>
      <c r="AL5" t="s">
        <v>1426</v>
      </c>
      <c r="AM5" s="3">
        <v>2.1999999999999999E-2</v>
      </c>
      <c r="AN5" s="3">
        <v>2.4E-2</v>
      </c>
      <c r="AO5" s="3">
        <v>-1.4999999999999999E-2</v>
      </c>
      <c r="AP5" s="3">
        <v>0</v>
      </c>
      <c r="AY5" s="3">
        <v>0</v>
      </c>
      <c r="AZ5" t="s">
        <v>7940</v>
      </c>
      <c r="BB5" s="3">
        <v>5552</v>
      </c>
      <c r="BE5" s="3">
        <v>0</v>
      </c>
      <c r="BW5" t="s">
        <v>7936</v>
      </c>
      <c r="BX5" t="s">
        <v>7937</v>
      </c>
      <c r="BY5" s="3">
        <v>199.59645499999999</v>
      </c>
      <c r="BZ5" t="s">
        <v>7938</v>
      </c>
      <c r="CA5" s="3">
        <v>-18.3157745</v>
      </c>
      <c r="CB5" s="3">
        <v>8.5033200000000004</v>
      </c>
      <c r="CC5" s="3">
        <v>1.737E-2</v>
      </c>
      <c r="CD5" s="3">
        <v>-1.7299999999999999E-2</v>
      </c>
      <c r="CE5" s="3">
        <v>4.6955</v>
      </c>
      <c r="CF5" s="3">
        <v>4.6199999999999998E-2</v>
      </c>
      <c r="CG5" s="3">
        <v>-4.6199999999999998E-2</v>
      </c>
      <c r="CH5" s="3">
        <v>2.956</v>
      </c>
      <c r="CI5" s="3">
        <v>0.23599999999999999</v>
      </c>
      <c r="CJ5" s="3">
        <v>-0.23599999999999999</v>
      </c>
      <c r="CK5" s="3">
        <v>4.5405199999999999</v>
      </c>
      <c r="CL5" s="3">
        <v>5.5700999999999997E-3</v>
      </c>
      <c r="CM5" s="3">
        <v>-5.5700999999999997E-3</v>
      </c>
      <c r="CN5" t="s">
        <v>1513</v>
      </c>
      <c r="CO5" t="s">
        <v>7941</v>
      </c>
      <c r="CP5" t="s">
        <v>1513</v>
      </c>
    </row>
    <row r="6" spans="1:94" x14ac:dyDescent="0.45">
      <c r="A6" t="s">
        <v>1158</v>
      </c>
      <c r="B6">
        <v>0</v>
      </c>
      <c r="C6" t="s">
        <v>1434</v>
      </c>
      <c r="D6" t="s">
        <v>1159</v>
      </c>
      <c r="E6" s="3">
        <v>0</v>
      </c>
      <c r="F6" s="3">
        <v>1</v>
      </c>
      <c r="G6" s="3">
        <v>3</v>
      </c>
      <c r="H6" t="s">
        <v>1427</v>
      </c>
      <c r="I6" s="3">
        <v>2009</v>
      </c>
      <c r="J6" t="s">
        <v>7932</v>
      </c>
      <c r="K6" t="s">
        <v>1429</v>
      </c>
      <c r="L6" s="3">
        <v>0</v>
      </c>
      <c r="M6" t="s">
        <v>7942</v>
      </c>
      <c r="N6" s="3">
        <v>38.095700000000001</v>
      </c>
      <c r="O6" s="3">
        <v>8.3000000000000001E-3</v>
      </c>
      <c r="P6" s="3">
        <v>-8.3000000000000001E-3</v>
      </c>
      <c r="Q6" s="3">
        <v>0</v>
      </c>
      <c r="R6" s="3">
        <v>0.21510000000000001</v>
      </c>
      <c r="S6" s="3">
        <v>2.8E-3</v>
      </c>
      <c r="T6" s="3">
        <v>-2.8999999999999998E-3</v>
      </c>
      <c r="U6" s="3">
        <v>0</v>
      </c>
      <c r="AD6" s="3">
        <v>16.113900229999999</v>
      </c>
      <c r="AE6" s="3">
        <v>1.11239942</v>
      </c>
      <c r="AF6" s="3">
        <v>-1.1759651099999999</v>
      </c>
      <c r="AG6" s="3">
        <v>0</v>
      </c>
      <c r="AH6" s="3">
        <v>5.0700000000000002E-2</v>
      </c>
      <c r="AI6" s="3">
        <v>3.5000000000000001E-3</v>
      </c>
      <c r="AJ6" s="3">
        <v>-3.7000000000000002E-3</v>
      </c>
      <c r="AK6" s="3">
        <v>0</v>
      </c>
      <c r="AL6" t="s">
        <v>1426</v>
      </c>
      <c r="AM6" s="3">
        <v>6.8000000000000005E-2</v>
      </c>
      <c r="AN6" s="3">
        <v>6.7000000000000004E-2</v>
      </c>
      <c r="AO6" s="3">
        <v>-4.7E-2</v>
      </c>
      <c r="AP6" s="3">
        <v>0</v>
      </c>
      <c r="AY6" s="3">
        <v>0</v>
      </c>
      <c r="AZ6" t="s">
        <v>7942</v>
      </c>
      <c r="BB6" s="3">
        <v>5585.57</v>
      </c>
      <c r="BC6" s="3">
        <v>78.88</v>
      </c>
      <c r="BD6" s="3">
        <v>-78.88</v>
      </c>
      <c r="BE6" s="3">
        <v>0</v>
      </c>
      <c r="BF6" s="3">
        <v>1.03251</v>
      </c>
      <c r="BG6" s="3">
        <v>2.3198E-2</v>
      </c>
      <c r="BH6" s="3">
        <v>-2.3198E-2</v>
      </c>
      <c r="BI6" s="3">
        <v>0</v>
      </c>
      <c r="BJ6" s="3">
        <v>0.914072</v>
      </c>
      <c r="BK6" s="3">
        <v>3.6797999999999997E-2</v>
      </c>
      <c r="BL6" s="3">
        <v>-3.6797999999999997E-2</v>
      </c>
      <c r="BM6" s="3">
        <v>0</v>
      </c>
      <c r="BN6" s="3">
        <v>2.75E-2</v>
      </c>
      <c r="BO6" s="3">
        <v>0.06</v>
      </c>
      <c r="BP6" s="3">
        <v>-0.06</v>
      </c>
      <c r="BQ6" s="3">
        <v>0</v>
      </c>
      <c r="BR6" t="s">
        <v>7935</v>
      </c>
      <c r="BS6" s="3">
        <v>4.3687750000000003</v>
      </c>
      <c r="BT6" s="3">
        <v>2.8303999999999999E-2</v>
      </c>
      <c r="BU6" s="3">
        <v>-2.8303999999999999E-2</v>
      </c>
      <c r="BV6" s="3">
        <v>0</v>
      </c>
      <c r="BW6" t="s">
        <v>7936</v>
      </c>
      <c r="BX6" t="s">
        <v>7937</v>
      </c>
      <c r="BY6" s="3">
        <v>199.59645499999999</v>
      </c>
      <c r="BZ6" t="s">
        <v>7938</v>
      </c>
      <c r="CA6" s="3">
        <v>-18.3157745</v>
      </c>
      <c r="CB6" s="3">
        <v>8.5033200000000004</v>
      </c>
      <c r="CC6" s="3">
        <v>1.737E-2</v>
      </c>
      <c r="CD6" s="3">
        <v>-1.7299999999999999E-2</v>
      </c>
      <c r="CE6" s="3">
        <v>4.6955</v>
      </c>
      <c r="CF6" s="3">
        <v>4.6199999999999998E-2</v>
      </c>
      <c r="CG6" s="3">
        <v>-4.6199999999999998E-2</v>
      </c>
      <c r="CH6" s="3">
        <v>2.956</v>
      </c>
      <c r="CI6" s="3">
        <v>0.23599999999999999</v>
      </c>
      <c r="CJ6" s="3">
        <v>-0.23599999999999999</v>
      </c>
      <c r="CK6" s="3">
        <v>4.5405199999999999</v>
      </c>
      <c r="CL6" s="3">
        <v>5.5700999999999997E-3</v>
      </c>
      <c r="CM6" s="3">
        <v>-5.5700999999999997E-3</v>
      </c>
      <c r="CN6" t="s">
        <v>7943</v>
      </c>
      <c r="CO6" t="s">
        <v>7944</v>
      </c>
      <c r="CP6" t="s">
        <v>7943</v>
      </c>
    </row>
    <row r="7" spans="1:94" x14ac:dyDescent="0.45">
      <c r="A7" t="s">
        <v>1158</v>
      </c>
      <c r="B7">
        <v>1</v>
      </c>
      <c r="C7" t="s">
        <v>1434</v>
      </c>
      <c r="D7" t="s">
        <v>1159</v>
      </c>
      <c r="E7" s="3">
        <v>1</v>
      </c>
      <c r="F7" s="3">
        <v>1</v>
      </c>
      <c r="G7" s="3">
        <v>3</v>
      </c>
      <c r="H7" t="s">
        <v>1427</v>
      </c>
      <c r="I7" s="3">
        <v>2009</v>
      </c>
      <c r="J7" t="s">
        <v>7932</v>
      </c>
      <c r="K7" t="s">
        <v>1429</v>
      </c>
      <c r="L7" s="3">
        <v>0</v>
      </c>
      <c r="M7" t="s">
        <v>7933</v>
      </c>
      <c r="N7" s="3">
        <v>38.021000000000001</v>
      </c>
      <c r="O7" s="3">
        <v>3.4000000000000002E-2</v>
      </c>
      <c r="P7" s="3">
        <v>-3.4000000000000002E-2</v>
      </c>
      <c r="Q7" s="3">
        <v>0</v>
      </c>
      <c r="R7" s="3">
        <v>0.2175</v>
      </c>
      <c r="S7" s="3">
        <v>1E-4</v>
      </c>
      <c r="T7" s="3">
        <v>-1E-4</v>
      </c>
      <c r="U7" s="3">
        <v>0</v>
      </c>
      <c r="AD7" s="3">
        <v>18.2</v>
      </c>
      <c r="AE7" s="3">
        <v>1.1000000000000001</v>
      </c>
      <c r="AF7" s="3">
        <v>-1.1000000000000001</v>
      </c>
      <c r="AG7" s="3">
        <v>0</v>
      </c>
      <c r="AH7" s="3">
        <v>5.7000000000000002E-2</v>
      </c>
      <c r="AI7" s="3">
        <v>3.0000000000000001E-3</v>
      </c>
      <c r="AJ7" s="3">
        <v>-3.0000000000000001E-3</v>
      </c>
      <c r="AK7" s="3">
        <v>0</v>
      </c>
      <c r="AL7" t="s">
        <v>1426</v>
      </c>
      <c r="AM7" s="3">
        <v>0.14000000000000001</v>
      </c>
      <c r="AN7" s="3">
        <v>0.06</v>
      </c>
      <c r="AO7" s="3">
        <v>-0.06</v>
      </c>
      <c r="AP7" s="3">
        <v>0</v>
      </c>
      <c r="AY7" s="3">
        <v>0</v>
      </c>
      <c r="AZ7" t="s">
        <v>7933</v>
      </c>
      <c r="BA7" t="s">
        <v>7934</v>
      </c>
      <c r="BB7" s="3">
        <v>5577</v>
      </c>
      <c r="BC7" s="3">
        <v>33</v>
      </c>
      <c r="BD7" s="3">
        <v>-33</v>
      </c>
      <c r="BE7" s="3">
        <v>0</v>
      </c>
      <c r="BF7" s="3">
        <v>0.96299999999999997</v>
      </c>
      <c r="BG7" s="3">
        <v>1.0999999999999999E-2</v>
      </c>
      <c r="BH7" s="3">
        <v>-1.0999999999999999E-2</v>
      </c>
      <c r="BI7" s="3">
        <v>0</v>
      </c>
      <c r="BJ7" s="3">
        <v>0.94199999999999995</v>
      </c>
      <c r="BK7" s="3">
        <v>3.4000000000000002E-2</v>
      </c>
      <c r="BL7" s="3">
        <v>-2.9000000000000001E-2</v>
      </c>
      <c r="BM7" s="3">
        <v>0</v>
      </c>
      <c r="BN7" s="3">
        <v>-0.01</v>
      </c>
      <c r="BQ7" s="3">
        <v>0</v>
      </c>
      <c r="BR7" t="s">
        <v>7935</v>
      </c>
      <c r="BS7" s="3">
        <v>4.34</v>
      </c>
      <c r="BT7" s="3">
        <v>0.03</v>
      </c>
      <c r="BU7" s="3">
        <v>-0.03</v>
      </c>
      <c r="BV7" s="3">
        <v>0</v>
      </c>
      <c r="BW7" t="s">
        <v>7936</v>
      </c>
      <c r="BX7" t="s">
        <v>7937</v>
      </c>
      <c r="BY7" s="3">
        <v>199.59645499999999</v>
      </c>
      <c r="BZ7" t="s">
        <v>7938</v>
      </c>
      <c r="CA7" s="3">
        <v>-18.3157745</v>
      </c>
      <c r="CB7" s="3">
        <v>8.5033200000000004</v>
      </c>
      <c r="CC7" s="3">
        <v>1.737E-2</v>
      </c>
      <c r="CD7" s="3">
        <v>-1.7299999999999999E-2</v>
      </c>
      <c r="CE7" s="3">
        <v>4.6955</v>
      </c>
      <c r="CF7" s="3">
        <v>4.6199999999999998E-2</v>
      </c>
      <c r="CG7" s="3">
        <v>-4.6199999999999998E-2</v>
      </c>
      <c r="CH7" s="3">
        <v>2.956</v>
      </c>
      <c r="CI7" s="3">
        <v>0.23599999999999999</v>
      </c>
      <c r="CJ7" s="3">
        <v>-0.23599999999999999</v>
      </c>
      <c r="CK7" s="3">
        <v>4.5405199999999999</v>
      </c>
      <c r="CL7" s="3">
        <v>5.5700999999999997E-3</v>
      </c>
      <c r="CM7" s="3">
        <v>-5.5700999999999997E-3</v>
      </c>
      <c r="CN7" t="s">
        <v>1433</v>
      </c>
      <c r="CO7" t="s">
        <v>7939</v>
      </c>
      <c r="CP7" t="s">
        <v>1433</v>
      </c>
    </row>
    <row r="8" spans="1:94" x14ac:dyDescent="0.45">
      <c r="A8" t="s">
        <v>1158</v>
      </c>
      <c r="B8">
        <v>1</v>
      </c>
      <c r="C8" t="s">
        <v>1435</v>
      </c>
      <c r="D8" t="s">
        <v>1159</v>
      </c>
      <c r="E8" s="3">
        <v>1</v>
      </c>
      <c r="F8" s="3">
        <v>1</v>
      </c>
      <c r="G8" s="3">
        <v>3</v>
      </c>
      <c r="H8" t="s">
        <v>1427</v>
      </c>
      <c r="I8" s="3">
        <v>2009</v>
      </c>
      <c r="J8" t="s">
        <v>7932</v>
      </c>
      <c r="K8" t="s">
        <v>1429</v>
      </c>
      <c r="L8" s="3">
        <v>0</v>
      </c>
      <c r="M8" t="s">
        <v>7933</v>
      </c>
      <c r="N8" s="3">
        <v>123.01</v>
      </c>
      <c r="O8" s="3">
        <v>0.55000000000000004</v>
      </c>
      <c r="P8" s="3">
        <v>-0.55000000000000004</v>
      </c>
      <c r="Q8" s="3">
        <v>0</v>
      </c>
      <c r="R8" s="3">
        <v>0.47599999999999998</v>
      </c>
      <c r="S8" s="3">
        <v>1E-3</v>
      </c>
      <c r="T8" s="3">
        <v>-1E-3</v>
      </c>
      <c r="U8" s="3">
        <v>0</v>
      </c>
      <c r="AD8" s="3">
        <v>22.9</v>
      </c>
      <c r="AE8" s="3">
        <v>2.6</v>
      </c>
      <c r="AF8" s="3">
        <v>-2.6</v>
      </c>
      <c r="AG8" s="3">
        <v>0</v>
      </c>
      <c r="AH8" s="3">
        <v>7.1999999999999995E-2</v>
      </c>
      <c r="AI8" s="3">
        <v>8.0000000000000002E-3</v>
      </c>
      <c r="AJ8" s="3">
        <v>-8.0000000000000002E-3</v>
      </c>
      <c r="AK8" s="3">
        <v>0</v>
      </c>
      <c r="AL8" t="s">
        <v>1426</v>
      </c>
      <c r="AM8" s="3">
        <v>0.35</v>
      </c>
      <c r="AN8" s="3">
        <v>0.09</v>
      </c>
      <c r="AO8" s="3">
        <v>-0.09</v>
      </c>
      <c r="AP8" s="3">
        <v>0</v>
      </c>
      <c r="AY8" s="3">
        <v>0</v>
      </c>
      <c r="AZ8" t="s">
        <v>7933</v>
      </c>
      <c r="BA8" t="s">
        <v>7934</v>
      </c>
      <c r="BB8" s="3">
        <v>5577</v>
      </c>
      <c r="BC8" s="3">
        <v>33</v>
      </c>
      <c r="BD8" s="3">
        <v>-33</v>
      </c>
      <c r="BE8" s="3">
        <v>0</v>
      </c>
      <c r="BF8" s="3">
        <v>0.96299999999999997</v>
      </c>
      <c r="BG8" s="3">
        <v>1.0999999999999999E-2</v>
      </c>
      <c r="BH8" s="3">
        <v>-1.0999999999999999E-2</v>
      </c>
      <c r="BI8" s="3">
        <v>0</v>
      </c>
      <c r="BJ8" s="3">
        <v>0.94199999999999995</v>
      </c>
      <c r="BK8" s="3">
        <v>3.4000000000000002E-2</v>
      </c>
      <c r="BL8" s="3">
        <v>-2.9000000000000001E-2</v>
      </c>
      <c r="BM8" s="3">
        <v>0</v>
      </c>
      <c r="BN8" s="3">
        <v>-0.01</v>
      </c>
      <c r="BQ8" s="3">
        <v>0</v>
      </c>
      <c r="BR8" t="s">
        <v>7935</v>
      </c>
      <c r="BS8" s="3">
        <v>4.34</v>
      </c>
      <c r="BT8" s="3">
        <v>0.03</v>
      </c>
      <c r="BU8" s="3">
        <v>-0.03</v>
      </c>
      <c r="BV8" s="3">
        <v>0</v>
      </c>
      <c r="BW8" t="s">
        <v>7936</v>
      </c>
      <c r="BX8" t="s">
        <v>7937</v>
      </c>
      <c r="BY8" s="3">
        <v>199.59645499999999</v>
      </c>
      <c r="BZ8" t="s">
        <v>7938</v>
      </c>
      <c r="CA8" s="3">
        <v>-18.3157745</v>
      </c>
      <c r="CB8" s="3">
        <v>8.5033200000000004</v>
      </c>
      <c r="CC8" s="3">
        <v>1.737E-2</v>
      </c>
      <c r="CD8" s="3">
        <v>-1.7299999999999999E-2</v>
      </c>
      <c r="CE8" s="3">
        <v>4.6955</v>
      </c>
      <c r="CF8" s="3">
        <v>4.6199999999999998E-2</v>
      </c>
      <c r="CG8" s="3">
        <v>-4.6199999999999998E-2</v>
      </c>
      <c r="CH8" s="3">
        <v>2.956</v>
      </c>
      <c r="CI8" s="3">
        <v>0.23599999999999999</v>
      </c>
      <c r="CJ8" s="3">
        <v>-0.23599999999999999</v>
      </c>
      <c r="CK8" s="3">
        <v>4.5405199999999999</v>
      </c>
      <c r="CL8" s="3">
        <v>5.5700999999999997E-3</v>
      </c>
      <c r="CM8" s="3">
        <v>-5.5700999999999997E-3</v>
      </c>
      <c r="CN8" t="s">
        <v>1433</v>
      </c>
      <c r="CO8" t="s">
        <v>7939</v>
      </c>
      <c r="CP8" t="s">
        <v>1433</v>
      </c>
    </row>
    <row r="9" spans="1:94" x14ac:dyDescent="0.45">
      <c r="A9" t="s">
        <v>1158</v>
      </c>
      <c r="B9">
        <v>0</v>
      </c>
      <c r="C9" t="s">
        <v>1435</v>
      </c>
      <c r="D9" t="s">
        <v>1159</v>
      </c>
      <c r="E9" s="3">
        <v>0</v>
      </c>
      <c r="F9" s="3">
        <v>1</v>
      </c>
      <c r="G9" s="3">
        <v>3</v>
      </c>
      <c r="H9" t="s">
        <v>1427</v>
      </c>
      <c r="I9" s="3">
        <v>2009</v>
      </c>
      <c r="J9" t="s">
        <v>7932</v>
      </c>
      <c r="K9" t="s">
        <v>1429</v>
      </c>
      <c r="L9" s="3">
        <v>0</v>
      </c>
      <c r="M9" t="s">
        <v>7940</v>
      </c>
      <c r="N9" s="3">
        <v>123.15</v>
      </c>
      <c r="O9" s="3">
        <v>0.15</v>
      </c>
      <c r="P9" s="3">
        <v>-0.16</v>
      </c>
      <c r="Q9" s="3">
        <v>0</v>
      </c>
      <c r="R9" s="3">
        <v>0.4677</v>
      </c>
      <c r="S9" s="3">
        <v>6.7999999999999996E-3</v>
      </c>
      <c r="T9" s="3">
        <v>-7.1000000000000004E-3</v>
      </c>
      <c r="U9" s="3">
        <v>0</v>
      </c>
      <c r="AD9" s="3">
        <v>10.92</v>
      </c>
      <c r="AE9" s="3">
        <v>1</v>
      </c>
      <c r="AF9" s="3">
        <v>-0.93</v>
      </c>
      <c r="AG9" s="3">
        <v>0</v>
      </c>
      <c r="AH9" s="3">
        <v>3.4358159999999999E-2</v>
      </c>
      <c r="AI9" s="3">
        <v>3.14635E-3</v>
      </c>
      <c r="AJ9" s="3">
        <v>-2.92611E-3</v>
      </c>
      <c r="AK9" s="3">
        <v>0</v>
      </c>
      <c r="AL9" t="s">
        <v>1426</v>
      </c>
      <c r="AM9" s="3">
        <v>0.105</v>
      </c>
      <c r="AN9" s="3">
        <v>0.1</v>
      </c>
      <c r="AO9" s="3">
        <v>-7.1999999999999995E-2</v>
      </c>
      <c r="AP9" s="3">
        <v>0</v>
      </c>
      <c r="AY9" s="3">
        <v>0</v>
      </c>
      <c r="AZ9" t="s">
        <v>7940</v>
      </c>
      <c r="BB9" s="3">
        <v>5552</v>
      </c>
      <c r="BE9" s="3">
        <v>0</v>
      </c>
      <c r="BW9" t="s">
        <v>7936</v>
      </c>
      <c r="BX9" t="s">
        <v>7937</v>
      </c>
      <c r="BY9" s="3">
        <v>199.59645499999999</v>
      </c>
      <c r="BZ9" t="s">
        <v>7938</v>
      </c>
      <c r="CA9" s="3">
        <v>-18.3157745</v>
      </c>
      <c r="CB9" s="3">
        <v>8.5033200000000004</v>
      </c>
      <c r="CC9" s="3">
        <v>1.737E-2</v>
      </c>
      <c r="CD9" s="3">
        <v>-1.7299999999999999E-2</v>
      </c>
      <c r="CE9" s="3">
        <v>4.6955</v>
      </c>
      <c r="CF9" s="3">
        <v>4.6199999999999998E-2</v>
      </c>
      <c r="CG9" s="3">
        <v>-4.6199999999999998E-2</v>
      </c>
      <c r="CH9" s="3">
        <v>2.956</v>
      </c>
      <c r="CI9" s="3">
        <v>0.23599999999999999</v>
      </c>
      <c r="CJ9" s="3">
        <v>-0.23599999999999999</v>
      </c>
      <c r="CK9" s="3">
        <v>4.5405199999999999</v>
      </c>
      <c r="CL9" s="3">
        <v>5.5700999999999997E-3</v>
      </c>
      <c r="CM9" s="3">
        <v>-5.5700999999999997E-3</v>
      </c>
      <c r="CN9" t="s">
        <v>1513</v>
      </c>
      <c r="CO9" t="s">
        <v>7941</v>
      </c>
      <c r="CP9" t="s">
        <v>1513</v>
      </c>
    </row>
    <row r="10" spans="1:94" x14ac:dyDescent="0.45">
      <c r="A10" t="s">
        <v>71</v>
      </c>
      <c r="B10">
        <v>1</v>
      </c>
      <c r="C10" t="s">
        <v>1436</v>
      </c>
      <c r="D10" t="s">
        <v>72</v>
      </c>
      <c r="E10" s="3">
        <v>1</v>
      </c>
      <c r="F10" s="3">
        <v>1</v>
      </c>
      <c r="G10" s="3">
        <v>4</v>
      </c>
      <c r="H10" t="s">
        <v>1427</v>
      </c>
      <c r="I10" s="3">
        <v>2024</v>
      </c>
      <c r="J10" t="s">
        <v>7945</v>
      </c>
      <c r="K10" t="s">
        <v>1429</v>
      </c>
      <c r="L10" s="3">
        <v>0</v>
      </c>
      <c r="M10" t="s">
        <v>7946</v>
      </c>
      <c r="N10" s="3">
        <v>3.1541999999999999</v>
      </c>
      <c r="O10" s="3">
        <v>4.0000000000000002E-4</v>
      </c>
      <c r="P10" s="3">
        <v>-4.0000000000000002E-4</v>
      </c>
      <c r="Q10" s="3">
        <v>0</v>
      </c>
      <c r="R10" s="3">
        <v>2.29E-2</v>
      </c>
      <c r="S10" s="3">
        <v>2.9999999999999997E-4</v>
      </c>
      <c r="T10" s="3">
        <v>-2.9999999999999997E-4</v>
      </c>
      <c r="U10" s="3">
        <v>0</v>
      </c>
      <c r="AD10" s="3">
        <v>0.29899999999999999</v>
      </c>
      <c r="AE10" s="3">
        <v>2.5999999999999999E-2</v>
      </c>
      <c r="AF10" s="3">
        <v>-2.5999999999999999E-2</v>
      </c>
      <c r="AG10" s="3">
        <v>0</v>
      </c>
      <c r="AH10" s="3">
        <v>9.4076000000000001E-4</v>
      </c>
      <c r="AI10" s="3">
        <v>8.1810000000000004E-5</v>
      </c>
      <c r="AJ10" s="3">
        <v>-8.1810000000000004E-5</v>
      </c>
      <c r="AK10" s="3">
        <v>0</v>
      </c>
      <c r="AL10" t="s">
        <v>1426</v>
      </c>
      <c r="AM10" s="3">
        <v>0.03</v>
      </c>
      <c r="AN10" s="3">
        <v>0.03</v>
      </c>
      <c r="AO10" s="3">
        <v>-0.02</v>
      </c>
      <c r="AP10" s="3">
        <v>0</v>
      </c>
      <c r="AU10" s="3">
        <v>438</v>
      </c>
      <c r="AX10" s="3">
        <v>0</v>
      </c>
      <c r="AY10" s="3">
        <v>0</v>
      </c>
      <c r="AZ10" t="s">
        <v>7947</v>
      </c>
      <c r="BA10" t="s">
        <v>7948</v>
      </c>
      <c r="BB10" s="3">
        <v>3195</v>
      </c>
      <c r="BC10" s="3">
        <v>28</v>
      </c>
      <c r="BD10" s="3">
        <v>-28</v>
      </c>
      <c r="BE10" s="3">
        <v>0</v>
      </c>
      <c r="BF10" s="3">
        <v>0.185</v>
      </c>
      <c r="BG10" s="3">
        <v>6.0000000000000001E-3</v>
      </c>
      <c r="BH10" s="3">
        <v>-6.0000000000000001E-3</v>
      </c>
      <c r="BI10" s="3">
        <v>0</v>
      </c>
      <c r="BJ10" s="3">
        <v>0.16200000000000001</v>
      </c>
      <c r="BK10" s="3">
        <v>7.0000000000000001E-3</v>
      </c>
      <c r="BL10" s="3">
        <v>-7.0000000000000001E-3</v>
      </c>
      <c r="BM10" s="3">
        <v>0</v>
      </c>
      <c r="BN10" s="3">
        <v>-0.56000000000000005</v>
      </c>
      <c r="BO10" s="3">
        <v>7.0000000000000007E-2</v>
      </c>
      <c r="BP10" s="3">
        <v>-7.0000000000000007E-2</v>
      </c>
      <c r="BQ10" s="3">
        <v>0</v>
      </c>
      <c r="BR10" t="s">
        <v>7935</v>
      </c>
      <c r="BS10" s="3">
        <v>4.9000000000000004</v>
      </c>
      <c r="BT10" s="3">
        <v>0.09</v>
      </c>
      <c r="BU10" s="3">
        <v>-0.09</v>
      </c>
      <c r="BV10" s="3">
        <v>0</v>
      </c>
      <c r="BW10" t="s">
        <v>7936</v>
      </c>
      <c r="BX10" t="s">
        <v>7949</v>
      </c>
      <c r="BY10" s="3">
        <v>269.4486144</v>
      </c>
      <c r="BZ10" t="s">
        <v>7950</v>
      </c>
      <c r="CA10" s="3">
        <v>4.7379807999999999</v>
      </c>
      <c r="CB10" s="3">
        <v>1.8265499999999999</v>
      </c>
      <c r="CC10" s="3">
        <v>9.7499999999999996E-4</v>
      </c>
      <c r="CD10" s="3">
        <v>-9.7499999999999996E-4</v>
      </c>
      <c r="CE10" s="3">
        <v>9.5399999999999991</v>
      </c>
      <c r="CF10" s="3">
        <v>0.1</v>
      </c>
      <c r="CG10" s="3">
        <v>-0.1</v>
      </c>
      <c r="CH10" s="3">
        <v>4.524</v>
      </c>
      <c r="CI10" s="3">
        <v>0.02</v>
      </c>
      <c r="CJ10" s="3">
        <v>-0.02</v>
      </c>
      <c r="CK10" s="3">
        <v>8.1951099999999997</v>
      </c>
      <c r="CL10" s="3">
        <v>1.9980000000000002E-3</v>
      </c>
      <c r="CM10" s="3">
        <v>-1.9980000000000002E-3</v>
      </c>
      <c r="CN10" t="s">
        <v>1440</v>
      </c>
      <c r="CO10" t="s">
        <v>7951</v>
      </c>
      <c r="CP10" t="s">
        <v>1440</v>
      </c>
    </row>
    <row r="11" spans="1:94" x14ac:dyDescent="0.45">
      <c r="A11" t="s">
        <v>71</v>
      </c>
      <c r="B11">
        <v>0</v>
      </c>
      <c r="C11" t="s">
        <v>1436</v>
      </c>
      <c r="D11" t="s">
        <v>72</v>
      </c>
      <c r="E11" s="3">
        <v>0</v>
      </c>
      <c r="F11" s="3">
        <v>1</v>
      </c>
      <c r="G11" s="3">
        <v>4</v>
      </c>
      <c r="H11" t="s">
        <v>1427</v>
      </c>
      <c r="I11" s="3">
        <v>2024</v>
      </c>
      <c r="J11" t="s">
        <v>7945</v>
      </c>
      <c r="K11" t="s">
        <v>1429</v>
      </c>
      <c r="L11" s="3">
        <v>0</v>
      </c>
      <c r="M11" t="s">
        <v>7947</v>
      </c>
      <c r="N11" s="3">
        <v>3.1533000000000002</v>
      </c>
      <c r="O11" s="3">
        <v>5.9999999999999995E-4</v>
      </c>
      <c r="P11" s="3">
        <v>-5.9999999999999995E-4</v>
      </c>
      <c r="Q11" s="3">
        <v>0</v>
      </c>
      <c r="R11" s="3">
        <v>2.2939999999999999E-2</v>
      </c>
      <c r="S11" s="3">
        <v>3.3E-4</v>
      </c>
      <c r="T11" s="3">
        <v>-3.3E-4</v>
      </c>
      <c r="U11" s="3">
        <v>0</v>
      </c>
      <c r="AD11" s="3">
        <v>0.37</v>
      </c>
      <c r="AE11" s="3">
        <v>0.05</v>
      </c>
      <c r="AF11" s="3">
        <v>-0.05</v>
      </c>
      <c r="AG11" s="3">
        <v>0</v>
      </c>
      <c r="AH11" s="3">
        <v>1.1641500000000001E-3</v>
      </c>
      <c r="AI11" s="3">
        <v>1.5731999999999999E-4</v>
      </c>
      <c r="AJ11" s="3">
        <v>-1.5731999999999999E-4</v>
      </c>
      <c r="AK11" s="3">
        <v>0</v>
      </c>
      <c r="AL11" t="s">
        <v>1426</v>
      </c>
      <c r="AM11" s="3">
        <v>0.16</v>
      </c>
      <c r="AP11" s="3">
        <v>1</v>
      </c>
      <c r="AQ11" s="3">
        <v>6.76</v>
      </c>
      <c r="AR11" s="3">
        <v>0.05</v>
      </c>
      <c r="AS11" s="3">
        <v>-0.05</v>
      </c>
      <c r="AT11" s="3">
        <v>0</v>
      </c>
      <c r="AU11" s="3">
        <v>400</v>
      </c>
      <c r="AV11" s="3">
        <v>7</v>
      </c>
      <c r="AW11" s="3">
        <v>-7</v>
      </c>
      <c r="AX11" s="3">
        <v>0</v>
      </c>
      <c r="AY11" s="3">
        <v>0</v>
      </c>
      <c r="AZ11" t="s">
        <v>7947</v>
      </c>
      <c r="BA11" t="s">
        <v>7948</v>
      </c>
      <c r="BB11" s="3">
        <v>3195</v>
      </c>
      <c r="BC11" s="3">
        <v>28</v>
      </c>
      <c r="BD11" s="3">
        <v>-28</v>
      </c>
      <c r="BE11" s="3">
        <v>0</v>
      </c>
      <c r="BF11" s="3">
        <v>0.185</v>
      </c>
      <c r="BG11" s="3">
        <v>6.0000000000000001E-3</v>
      </c>
      <c r="BH11" s="3">
        <v>-6.0000000000000001E-3</v>
      </c>
      <c r="BI11" s="3">
        <v>0</v>
      </c>
      <c r="BJ11" s="3">
        <v>0.16200000000000001</v>
      </c>
      <c r="BK11" s="3">
        <v>7.0000000000000001E-3</v>
      </c>
      <c r="BL11" s="3">
        <v>-7.0000000000000001E-3</v>
      </c>
      <c r="BM11" s="3">
        <v>0</v>
      </c>
      <c r="BN11" s="3">
        <v>-0.56000000000000005</v>
      </c>
      <c r="BO11" s="3">
        <v>7.0000000000000007E-2</v>
      </c>
      <c r="BP11" s="3">
        <v>-7.0000000000000007E-2</v>
      </c>
      <c r="BQ11" s="3">
        <v>0</v>
      </c>
      <c r="BR11" t="s">
        <v>7935</v>
      </c>
      <c r="BS11" s="3">
        <v>4.9000000000000004</v>
      </c>
      <c r="BT11" s="3">
        <v>0.09</v>
      </c>
      <c r="BU11" s="3">
        <v>-0.09</v>
      </c>
      <c r="BV11" s="3">
        <v>0</v>
      </c>
      <c r="BW11" t="s">
        <v>7936</v>
      </c>
      <c r="BX11" t="s">
        <v>7949</v>
      </c>
      <c r="BY11" s="3">
        <v>269.4486144</v>
      </c>
      <c r="BZ11" t="s">
        <v>7950</v>
      </c>
      <c r="CA11" s="3">
        <v>4.7379807999999999</v>
      </c>
      <c r="CB11" s="3">
        <v>1.8265499999999999</v>
      </c>
      <c r="CC11" s="3">
        <v>9.7499999999999996E-4</v>
      </c>
      <c r="CD11" s="3">
        <v>-9.7499999999999996E-4</v>
      </c>
      <c r="CE11" s="3">
        <v>9.5399999999999991</v>
      </c>
      <c r="CF11" s="3">
        <v>0.1</v>
      </c>
      <c r="CG11" s="3">
        <v>-0.1</v>
      </c>
      <c r="CH11" s="3">
        <v>4.524</v>
      </c>
      <c r="CI11" s="3">
        <v>0.02</v>
      </c>
      <c r="CJ11" s="3">
        <v>-0.02</v>
      </c>
      <c r="CK11" s="3">
        <v>8.1951099999999997</v>
      </c>
      <c r="CL11" s="3">
        <v>1.9980000000000002E-3</v>
      </c>
      <c r="CM11" s="3">
        <v>-1.9980000000000002E-3</v>
      </c>
      <c r="CN11" t="s">
        <v>7952</v>
      </c>
      <c r="CO11" t="s">
        <v>7953</v>
      </c>
      <c r="CP11" t="s">
        <v>7952</v>
      </c>
    </row>
    <row r="12" spans="1:94" x14ac:dyDescent="0.45">
      <c r="A12" t="s">
        <v>71</v>
      </c>
      <c r="B12">
        <v>1</v>
      </c>
      <c r="C12" t="s">
        <v>1441</v>
      </c>
      <c r="D12" t="s">
        <v>72</v>
      </c>
      <c r="E12" s="3">
        <v>1</v>
      </c>
      <c r="F12" s="3">
        <v>1</v>
      </c>
      <c r="G12" s="3">
        <v>4</v>
      </c>
      <c r="H12" t="s">
        <v>1427</v>
      </c>
      <c r="I12" s="3">
        <v>2025</v>
      </c>
      <c r="J12" t="s">
        <v>7954</v>
      </c>
      <c r="K12" t="s">
        <v>1429</v>
      </c>
      <c r="L12" s="3">
        <v>0</v>
      </c>
      <c r="M12" t="s">
        <v>7946</v>
      </c>
      <c r="N12" s="3">
        <v>4.1243999999999996</v>
      </c>
      <c r="O12" s="3">
        <v>5.9999999999999995E-4</v>
      </c>
      <c r="P12" s="3">
        <v>-5.9999999999999995E-4</v>
      </c>
      <c r="Q12" s="3">
        <v>0</v>
      </c>
      <c r="R12" s="3">
        <v>2.7400000000000001E-2</v>
      </c>
      <c r="S12" s="3">
        <v>4.0000000000000002E-4</v>
      </c>
      <c r="T12" s="3">
        <v>-4.0000000000000002E-4</v>
      </c>
      <c r="U12" s="3">
        <v>0</v>
      </c>
      <c r="AD12" s="3">
        <v>0.33500000000000002</v>
      </c>
      <c r="AE12" s="3">
        <v>0.03</v>
      </c>
      <c r="AF12" s="3">
        <v>-0.03</v>
      </c>
      <c r="AG12" s="3">
        <v>0</v>
      </c>
      <c r="AH12" s="3">
        <v>1.0540300000000001E-3</v>
      </c>
      <c r="AI12" s="3">
        <v>9.4389999999999996E-5</v>
      </c>
      <c r="AJ12" s="3">
        <v>-9.4389999999999996E-5</v>
      </c>
      <c r="AK12" s="3">
        <v>0</v>
      </c>
      <c r="AL12" t="s">
        <v>1426</v>
      </c>
      <c r="AM12" s="3">
        <v>0.08</v>
      </c>
      <c r="AN12" s="3">
        <v>0.06</v>
      </c>
      <c r="AO12" s="3">
        <v>-0.05</v>
      </c>
      <c r="AP12" s="3">
        <v>0</v>
      </c>
      <c r="AU12" s="3">
        <v>400</v>
      </c>
      <c r="AX12" s="3">
        <v>0</v>
      </c>
      <c r="AY12" s="3">
        <v>0</v>
      </c>
      <c r="AZ12" t="s">
        <v>7947</v>
      </c>
      <c r="BA12" t="s">
        <v>7948</v>
      </c>
      <c r="BB12" s="3">
        <v>3195</v>
      </c>
      <c r="BC12" s="3">
        <v>28</v>
      </c>
      <c r="BD12" s="3">
        <v>-28</v>
      </c>
      <c r="BE12" s="3">
        <v>0</v>
      </c>
      <c r="BF12" s="3">
        <v>0.185</v>
      </c>
      <c r="BG12" s="3">
        <v>6.0000000000000001E-3</v>
      </c>
      <c r="BH12" s="3">
        <v>-6.0000000000000001E-3</v>
      </c>
      <c r="BI12" s="3">
        <v>0</v>
      </c>
      <c r="BJ12" s="3">
        <v>0.16200000000000001</v>
      </c>
      <c r="BK12" s="3">
        <v>7.0000000000000001E-3</v>
      </c>
      <c r="BL12" s="3">
        <v>-7.0000000000000001E-3</v>
      </c>
      <c r="BM12" s="3">
        <v>0</v>
      </c>
      <c r="BN12" s="3">
        <v>-0.56000000000000005</v>
      </c>
      <c r="BO12" s="3">
        <v>7.0000000000000007E-2</v>
      </c>
      <c r="BP12" s="3">
        <v>-7.0000000000000007E-2</v>
      </c>
      <c r="BQ12" s="3">
        <v>0</v>
      </c>
      <c r="BR12" t="s">
        <v>7935</v>
      </c>
      <c r="BS12" s="3">
        <v>4.9000000000000004</v>
      </c>
      <c r="BT12" s="3">
        <v>0.09</v>
      </c>
      <c r="BU12" s="3">
        <v>-0.09</v>
      </c>
      <c r="BV12" s="3">
        <v>0</v>
      </c>
      <c r="BW12" t="s">
        <v>7936</v>
      </c>
      <c r="BX12" t="s">
        <v>7949</v>
      </c>
      <c r="BY12" s="3">
        <v>269.4486144</v>
      </c>
      <c r="BZ12" t="s">
        <v>7950</v>
      </c>
      <c r="CA12" s="3">
        <v>4.7379807999999999</v>
      </c>
      <c r="CB12" s="3">
        <v>1.8265499999999999</v>
      </c>
      <c r="CC12" s="3">
        <v>9.7499999999999996E-4</v>
      </c>
      <c r="CD12" s="3">
        <v>-9.7499999999999996E-4</v>
      </c>
      <c r="CE12" s="3">
        <v>9.5399999999999991</v>
      </c>
      <c r="CF12" s="3">
        <v>0.1</v>
      </c>
      <c r="CG12" s="3">
        <v>-0.1</v>
      </c>
      <c r="CH12" s="3">
        <v>4.524</v>
      </c>
      <c r="CI12" s="3">
        <v>0.02</v>
      </c>
      <c r="CJ12" s="3">
        <v>-0.02</v>
      </c>
      <c r="CK12" s="3">
        <v>8.1951099999999997</v>
      </c>
      <c r="CL12" s="3">
        <v>1.9980000000000002E-3</v>
      </c>
      <c r="CM12" s="3">
        <v>-1.9980000000000002E-3</v>
      </c>
      <c r="CN12" t="s">
        <v>1440</v>
      </c>
      <c r="CO12" t="s">
        <v>7951</v>
      </c>
      <c r="CP12" t="s">
        <v>1440</v>
      </c>
    </row>
    <row r="13" spans="1:94" x14ac:dyDescent="0.45">
      <c r="A13" t="s">
        <v>71</v>
      </c>
      <c r="B13">
        <v>1</v>
      </c>
      <c r="C13" t="s">
        <v>1442</v>
      </c>
      <c r="D13" t="s">
        <v>72</v>
      </c>
      <c r="E13" s="3">
        <v>1</v>
      </c>
      <c r="F13" s="3">
        <v>1</v>
      </c>
      <c r="G13" s="3">
        <v>4</v>
      </c>
      <c r="H13" t="s">
        <v>1427</v>
      </c>
      <c r="I13" s="3">
        <v>2025</v>
      </c>
      <c r="J13" t="s">
        <v>7954</v>
      </c>
      <c r="K13" t="s">
        <v>1429</v>
      </c>
      <c r="L13" s="3">
        <v>0</v>
      </c>
      <c r="M13" t="s">
        <v>7946</v>
      </c>
      <c r="N13" s="3">
        <v>2.3401999999999998</v>
      </c>
      <c r="O13" s="3">
        <v>2.9999999999999997E-4</v>
      </c>
      <c r="P13" s="3">
        <v>-2.9999999999999997E-4</v>
      </c>
      <c r="Q13" s="3">
        <v>0</v>
      </c>
      <c r="R13" s="3">
        <v>1.8800000000000001E-2</v>
      </c>
      <c r="S13" s="3">
        <v>2.9999999999999997E-4</v>
      </c>
      <c r="T13" s="3">
        <v>-2.9999999999999997E-4</v>
      </c>
      <c r="U13" s="3">
        <v>0</v>
      </c>
      <c r="AD13" s="3">
        <v>0.26300000000000001</v>
      </c>
      <c r="AE13" s="3">
        <v>2.4E-2</v>
      </c>
      <c r="AF13" s="3">
        <v>-2.4E-2</v>
      </c>
      <c r="AG13" s="3">
        <v>0</v>
      </c>
      <c r="AH13" s="3">
        <v>8.2748999999999995E-4</v>
      </c>
      <c r="AI13" s="3">
        <v>7.551E-5</v>
      </c>
      <c r="AJ13" s="3">
        <v>-7.551E-5</v>
      </c>
      <c r="AK13" s="3">
        <v>0</v>
      </c>
      <c r="AL13" t="s">
        <v>1426</v>
      </c>
      <c r="AM13" s="3">
        <v>0.04</v>
      </c>
      <c r="AN13" s="3">
        <v>0.05</v>
      </c>
      <c r="AO13" s="3">
        <v>-0.03</v>
      </c>
      <c r="AP13" s="3">
        <v>0</v>
      </c>
      <c r="AU13" s="3">
        <v>483</v>
      </c>
      <c r="AX13" s="3">
        <v>0</v>
      </c>
      <c r="AY13" s="3">
        <v>0</v>
      </c>
      <c r="AZ13" t="s">
        <v>7947</v>
      </c>
      <c r="BA13" t="s">
        <v>7948</v>
      </c>
      <c r="BB13" s="3">
        <v>3195</v>
      </c>
      <c r="BC13" s="3">
        <v>28</v>
      </c>
      <c r="BD13" s="3">
        <v>-28</v>
      </c>
      <c r="BE13" s="3">
        <v>0</v>
      </c>
      <c r="BF13" s="3">
        <v>0.185</v>
      </c>
      <c r="BG13" s="3">
        <v>6.0000000000000001E-3</v>
      </c>
      <c r="BH13" s="3">
        <v>-6.0000000000000001E-3</v>
      </c>
      <c r="BI13" s="3">
        <v>0</v>
      </c>
      <c r="BJ13" s="3">
        <v>0.16200000000000001</v>
      </c>
      <c r="BK13" s="3">
        <v>7.0000000000000001E-3</v>
      </c>
      <c r="BL13" s="3">
        <v>-7.0000000000000001E-3</v>
      </c>
      <c r="BM13" s="3">
        <v>0</v>
      </c>
      <c r="BN13" s="3">
        <v>-0.56000000000000005</v>
      </c>
      <c r="BO13" s="3">
        <v>7.0000000000000007E-2</v>
      </c>
      <c r="BP13" s="3">
        <v>-7.0000000000000007E-2</v>
      </c>
      <c r="BQ13" s="3">
        <v>0</v>
      </c>
      <c r="BR13" t="s">
        <v>7935</v>
      </c>
      <c r="BS13" s="3">
        <v>4.9000000000000004</v>
      </c>
      <c r="BT13" s="3">
        <v>0.09</v>
      </c>
      <c r="BU13" s="3">
        <v>-0.09</v>
      </c>
      <c r="BV13" s="3">
        <v>0</v>
      </c>
      <c r="BW13" t="s">
        <v>7936</v>
      </c>
      <c r="BX13" t="s">
        <v>7949</v>
      </c>
      <c r="BY13" s="3">
        <v>269.4486144</v>
      </c>
      <c r="BZ13" t="s">
        <v>7950</v>
      </c>
      <c r="CA13" s="3">
        <v>4.7379807999999999</v>
      </c>
      <c r="CB13" s="3">
        <v>1.8265499999999999</v>
      </c>
      <c r="CC13" s="3">
        <v>9.7499999999999996E-4</v>
      </c>
      <c r="CD13" s="3">
        <v>-9.7499999999999996E-4</v>
      </c>
      <c r="CE13" s="3">
        <v>9.5399999999999991</v>
      </c>
      <c r="CF13" s="3">
        <v>0.1</v>
      </c>
      <c r="CG13" s="3">
        <v>-0.1</v>
      </c>
      <c r="CH13" s="3">
        <v>4.524</v>
      </c>
      <c r="CI13" s="3">
        <v>0.02</v>
      </c>
      <c r="CJ13" s="3">
        <v>-0.02</v>
      </c>
      <c r="CK13" s="3">
        <v>8.1951099999999997</v>
      </c>
      <c r="CL13" s="3">
        <v>1.9980000000000002E-3</v>
      </c>
      <c r="CM13" s="3">
        <v>-1.9980000000000002E-3</v>
      </c>
      <c r="CN13" t="s">
        <v>1440</v>
      </c>
      <c r="CO13" t="s">
        <v>7951</v>
      </c>
      <c r="CP13" t="s">
        <v>1440</v>
      </c>
    </row>
    <row r="14" spans="1:94" x14ac:dyDescent="0.45">
      <c r="A14" t="s">
        <v>71</v>
      </c>
      <c r="B14">
        <v>1</v>
      </c>
      <c r="C14" t="s">
        <v>1443</v>
      </c>
      <c r="D14" t="s">
        <v>72</v>
      </c>
      <c r="E14" s="3">
        <v>1</v>
      </c>
      <c r="F14" s="3">
        <v>1</v>
      </c>
      <c r="G14" s="3">
        <v>4</v>
      </c>
      <c r="H14" t="s">
        <v>1427</v>
      </c>
      <c r="I14" s="3">
        <v>2025</v>
      </c>
      <c r="J14" t="s">
        <v>7954</v>
      </c>
      <c r="K14" t="s">
        <v>1429</v>
      </c>
      <c r="L14" s="3">
        <v>0</v>
      </c>
      <c r="M14" t="s">
        <v>7946</v>
      </c>
      <c r="N14" s="3">
        <v>6.7392000000000003</v>
      </c>
      <c r="O14" s="3">
        <v>3.0000000000000001E-3</v>
      </c>
      <c r="P14" s="3">
        <v>-3.0000000000000001E-3</v>
      </c>
      <c r="Q14" s="3">
        <v>0</v>
      </c>
      <c r="R14" s="3">
        <v>3.8100000000000002E-2</v>
      </c>
      <c r="S14" s="3">
        <v>5.0000000000000001E-4</v>
      </c>
      <c r="T14" s="3">
        <v>-5.0000000000000001E-4</v>
      </c>
      <c r="U14" s="3">
        <v>0</v>
      </c>
      <c r="AD14" s="3">
        <v>0.193</v>
      </c>
      <c r="AE14" s="3">
        <v>3.3000000000000002E-2</v>
      </c>
      <c r="AF14" s="3">
        <v>-3.3000000000000002E-2</v>
      </c>
      <c r="AG14" s="3">
        <v>0</v>
      </c>
      <c r="AH14" s="3">
        <v>6.0725000000000004E-4</v>
      </c>
      <c r="AI14" s="3">
        <v>1.0383E-4</v>
      </c>
      <c r="AJ14" s="3">
        <v>-1.0383E-4</v>
      </c>
      <c r="AK14" s="3">
        <v>0</v>
      </c>
      <c r="AL14" t="s">
        <v>1426</v>
      </c>
      <c r="AM14" s="3">
        <v>0.04</v>
      </c>
      <c r="AN14" s="3">
        <v>0.03</v>
      </c>
      <c r="AO14" s="3">
        <v>-0.04</v>
      </c>
      <c r="AP14" s="3">
        <v>0</v>
      </c>
      <c r="AU14" s="3">
        <v>340</v>
      </c>
      <c r="AX14" s="3">
        <v>0</v>
      </c>
      <c r="AY14" s="3">
        <v>0</v>
      </c>
      <c r="AZ14" t="s">
        <v>7947</v>
      </c>
      <c r="BA14" t="s">
        <v>7948</v>
      </c>
      <c r="BB14" s="3">
        <v>3195</v>
      </c>
      <c r="BC14" s="3">
        <v>28</v>
      </c>
      <c r="BD14" s="3">
        <v>-28</v>
      </c>
      <c r="BE14" s="3">
        <v>0</v>
      </c>
      <c r="BF14" s="3">
        <v>0.185</v>
      </c>
      <c r="BG14" s="3">
        <v>6.0000000000000001E-3</v>
      </c>
      <c r="BH14" s="3">
        <v>-6.0000000000000001E-3</v>
      </c>
      <c r="BI14" s="3">
        <v>0</v>
      </c>
      <c r="BJ14" s="3">
        <v>0.16200000000000001</v>
      </c>
      <c r="BK14" s="3">
        <v>7.0000000000000001E-3</v>
      </c>
      <c r="BL14" s="3">
        <v>-7.0000000000000001E-3</v>
      </c>
      <c r="BM14" s="3">
        <v>0</v>
      </c>
      <c r="BN14" s="3">
        <v>-0.56000000000000005</v>
      </c>
      <c r="BO14" s="3">
        <v>7.0000000000000007E-2</v>
      </c>
      <c r="BP14" s="3">
        <v>-7.0000000000000007E-2</v>
      </c>
      <c r="BQ14" s="3">
        <v>0</v>
      </c>
      <c r="BR14" t="s">
        <v>7935</v>
      </c>
      <c r="BS14" s="3">
        <v>4.9000000000000004</v>
      </c>
      <c r="BT14" s="3">
        <v>0.09</v>
      </c>
      <c r="BU14" s="3">
        <v>-0.09</v>
      </c>
      <c r="BV14" s="3">
        <v>0</v>
      </c>
      <c r="BW14" t="s">
        <v>7936</v>
      </c>
      <c r="BX14" t="s">
        <v>7949</v>
      </c>
      <c r="BY14" s="3">
        <v>269.4486144</v>
      </c>
      <c r="BZ14" t="s">
        <v>7950</v>
      </c>
      <c r="CA14" s="3">
        <v>4.7379807999999999</v>
      </c>
      <c r="CB14" s="3">
        <v>1.8265499999999999</v>
      </c>
      <c r="CC14" s="3">
        <v>9.7499999999999996E-4</v>
      </c>
      <c r="CD14" s="3">
        <v>-9.7499999999999996E-4</v>
      </c>
      <c r="CE14" s="3">
        <v>9.5399999999999991</v>
      </c>
      <c r="CF14" s="3">
        <v>0.1</v>
      </c>
      <c r="CG14" s="3">
        <v>-0.1</v>
      </c>
      <c r="CH14" s="3">
        <v>4.524</v>
      </c>
      <c r="CI14" s="3">
        <v>0.02</v>
      </c>
      <c r="CJ14" s="3">
        <v>-0.02</v>
      </c>
      <c r="CK14" s="3">
        <v>8.1951099999999997</v>
      </c>
      <c r="CL14" s="3">
        <v>1.9980000000000002E-3</v>
      </c>
      <c r="CM14" s="3">
        <v>-1.9980000000000002E-3</v>
      </c>
      <c r="CN14" t="s">
        <v>1440</v>
      </c>
      <c r="CO14" t="s">
        <v>7951</v>
      </c>
      <c r="CP14" t="s">
        <v>1440</v>
      </c>
    </row>
    <row r="15" spans="1:94" x14ac:dyDescent="0.45">
      <c r="A15" t="s">
        <v>1135</v>
      </c>
      <c r="B15">
        <v>1</v>
      </c>
      <c r="C15" t="s">
        <v>1134</v>
      </c>
      <c r="D15" t="s">
        <v>1136</v>
      </c>
      <c r="E15" s="3">
        <v>1</v>
      </c>
      <c r="F15" s="3">
        <v>1</v>
      </c>
      <c r="G15" s="3">
        <v>1</v>
      </c>
      <c r="H15" t="s">
        <v>1427</v>
      </c>
      <c r="I15" s="3">
        <v>2020</v>
      </c>
      <c r="J15" t="s">
        <v>7955</v>
      </c>
      <c r="K15" t="s">
        <v>1429</v>
      </c>
      <c r="L15" s="3">
        <v>0</v>
      </c>
      <c r="M15" t="s">
        <v>7956</v>
      </c>
      <c r="N15" s="3">
        <v>2.2907000000000002</v>
      </c>
      <c r="O15" s="3">
        <v>1.2E-4</v>
      </c>
      <c r="P15" s="3">
        <v>-1.2E-4</v>
      </c>
      <c r="Q15" s="3">
        <v>0</v>
      </c>
      <c r="R15" s="3">
        <v>1.8499999999999999E-2</v>
      </c>
      <c r="S15" s="3">
        <v>1.2999999999999999E-3</v>
      </c>
      <c r="T15" s="3">
        <v>-1.2999999999999999E-3</v>
      </c>
      <c r="U15" s="3">
        <v>0</v>
      </c>
      <c r="AD15" s="3">
        <v>3.95</v>
      </c>
      <c r="AE15" s="3">
        <v>0.42</v>
      </c>
      <c r="AF15" s="3">
        <v>-0.43</v>
      </c>
      <c r="AG15" s="3">
        <v>0</v>
      </c>
      <c r="AH15" s="3">
        <v>1.2428089999999999E-2</v>
      </c>
      <c r="AI15" s="3">
        <v>1.3214699999999999E-3</v>
      </c>
      <c r="AJ15" s="3">
        <v>-1.35293E-3</v>
      </c>
      <c r="AK15" s="3">
        <v>0</v>
      </c>
      <c r="AL15" t="s">
        <v>1426</v>
      </c>
      <c r="AQ15" s="3">
        <v>8.6</v>
      </c>
      <c r="AR15" s="3">
        <v>2.4</v>
      </c>
      <c r="AS15" s="3">
        <v>-2.4</v>
      </c>
      <c r="AT15" s="3">
        <v>0</v>
      </c>
      <c r="AU15" s="3">
        <v>464</v>
      </c>
      <c r="AV15" s="3">
        <v>18</v>
      </c>
      <c r="AW15" s="3">
        <v>-18</v>
      </c>
      <c r="AX15" s="3">
        <v>0</v>
      </c>
      <c r="AY15" s="3">
        <v>0</v>
      </c>
      <c r="AZ15" t="s">
        <v>7956</v>
      </c>
      <c r="BA15" t="s">
        <v>7957</v>
      </c>
      <c r="BB15" s="3">
        <v>3130</v>
      </c>
      <c r="BC15" s="3">
        <v>51</v>
      </c>
      <c r="BD15" s="3">
        <v>-51</v>
      </c>
      <c r="BE15" s="3">
        <v>0</v>
      </c>
      <c r="BF15" s="3">
        <v>0.17499999999999999</v>
      </c>
      <c r="BG15" s="3">
        <v>6.0000000000000001E-3</v>
      </c>
      <c r="BH15" s="3">
        <v>-6.0000000000000001E-3</v>
      </c>
      <c r="BI15" s="3">
        <v>0</v>
      </c>
      <c r="BJ15" s="3">
        <v>0.161</v>
      </c>
      <c r="BK15" s="3">
        <v>0.01</v>
      </c>
      <c r="BL15" s="3">
        <v>-0.01</v>
      </c>
      <c r="BM15" s="3">
        <v>0</v>
      </c>
      <c r="BN15" s="3">
        <v>0.13</v>
      </c>
      <c r="BO15" s="3">
        <v>0.16</v>
      </c>
      <c r="BP15" s="3">
        <v>-0.16</v>
      </c>
      <c r="BQ15" s="3">
        <v>0</v>
      </c>
      <c r="BR15" t="s">
        <v>7935</v>
      </c>
      <c r="BS15" s="3">
        <v>4.93</v>
      </c>
      <c r="BT15" s="3">
        <v>0.04</v>
      </c>
      <c r="BU15" s="3">
        <v>-0.04</v>
      </c>
      <c r="BV15" s="3">
        <v>0</v>
      </c>
      <c r="BW15" t="s">
        <v>7936</v>
      </c>
      <c r="BX15" t="s">
        <v>7958</v>
      </c>
      <c r="BY15" s="3">
        <v>48.353015499999998</v>
      </c>
      <c r="BZ15" t="s">
        <v>7959</v>
      </c>
      <c r="CA15" s="3">
        <v>4.7751881000000003</v>
      </c>
      <c r="CB15" s="3">
        <v>8.6071500000000007</v>
      </c>
      <c r="CC15" s="3">
        <v>6.5799999999999999E-3</v>
      </c>
      <c r="CD15" s="3">
        <v>-6.5799999999999999E-3</v>
      </c>
      <c r="CE15" s="3">
        <v>13.95</v>
      </c>
      <c r="CF15" s="3">
        <v>0.2</v>
      </c>
      <c r="CG15" s="3">
        <v>-0.2</v>
      </c>
      <c r="CH15" s="3">
        <v>7.8330000000000002</v>
      </c>
      <c r="CI15" s="3">
        <v>2.4E-2</v>
      </c>
      <c r="CJ15" s="3">
        <v>-2.4E-2</v>
      </c>
      <c r="CK15" s="3">
        <v>12.123200000000001</v>
      </c>
      <c r="CL15" s="3">
        <v>1.0499999999999999E-3</v>
      </c>
      <c r="CM15" s="3">
        <v>-1.0499999999999999E-3</v>
      </c>
      <c r="CN15" t="s">
        <v>1446</v>
      </c>
      <c r="CO15" t="s">
        <v>7960</v>
      </c>
      <c r="CP15" t="s">
        <v>1446</v>
      </c>
    </row>
    <row r="16" spans="1:94" x14ac:dyDescent="0.45">
      <c r="A16" t="s">
        <v>363</v>
      </c>
      <c r="B16">
        <v>1</v>
      </c>
      <c r="C16" t="s">
        <v>1447</v>
      </c>
      <c r="D16" t="s">
        <v>361</v>
      </c>
      <c r="E16" s="3">
        <v>1</v>
      </c>
      <c r="F16" s="3">
        <v>1</v>
      </c>
      <c r="G16" s="3">
        <v>2</v>
      </c>
      <c r="H16" t="s">
        <v>1427</v>
      </c>
      <c r="I16" s="3">
        <v>2022</v>
      </c>
      <c r="J16" t="s">
        <v>7932</v>
      </c>
      <c r="K16" t="s">
        <v>1429</v>
      </c>
      <c r="L16" s="3">
        <v>0</v>
      </c>
      <c r="M16" t="s">
        <v>7961</v>
      </c>
      <c r="N16" s="3">
        <v>10.346500000000001</v>
      </c>
      <c r="O16" s="3">
        <v>2.7E-2</v>
      </c>
      <c r="P16" s="3">
        <v>-2.7E-2</v>
      </c>
      <c r="Q16" s="3">
        <v>0</v>
      </c>
      <c r="R16" s="3">
        <v>4.5699999999999998E-2</v>
      </c>
      <c r="S16" s="3">
        <v>1.2999999999999999E-3</v>
      </c>
      <c r="T16" s="3">
        <v>-1.2999999999999999E-3</v>
      </c>
      <c r="U16" s="3">
        <v>0</v>
      </c>
      <c r="AD16" s="3">
        <v>1.08</v>
      </c>
      <c r="AE16" s="3">
        <v>0.13</v>
      </c>
      <c r="AF16" s="3">
        <v>-0.13</v>
      </c>
      <c r="AG16" s="3">
        <v>0</v>
      </c>
      <c r="AH16" s="3">
        <v>3.3980600000000001E-3</v>
      </c>
      <c r="AI16" s="3">
        <v>4.0903000000000001E-4</v>
      </c>
      <c r="AJ16" s="3">
        <v>-4.0903000000000001E-4</v>
      </c>
      <c r="AK16" s="3">
        <v>0</v>
      </c>
      <c r="AL16" t="s">
        <v>1426</v>
      </c>
      <c r="AQ16" s="3">
        <v>0.67</v>
      </c>
      <c r="AR16" s="3">
        <v>3.9E-2</v>
      </c>
      <c r="AS16" s="3">
        <v>-3.9E-2</v>
      </c>
      <c r="AT16" s="3">
        <v>0</v>
      </c>
      <c r="AU16" s="3">
        <v>230.9</v>
      </c>
      <c r="AV16" s="3">
        <v>6.7</v>
      </c>
      <c r="AW16" s="3">
        <v>-6.7</v>
      </c>
      <c r="AX16" s="3">
        <v>0</v>
      </c>
      <c r="AY16" s="3">
        <v>0</v>
      </c>
      <c r="AZ16" t="s">
        <v>7961</v>
      </c>
      <c r="BA16" t="s">
        <v>7962</v>
      </c>
      <c r="BB16" s="3">
        <v>3024</v>
      </c>
      <c r="BC16" s="3">
        <v>52</v>
      </c>
      <c r="BD16" s="3">
        <v>-52</v>
      </c>
      <c r="BE16" s="3">
        <v>0</v>
      </c>
      <c r="BF16" s="3">
        <v>0.13700000000000001</v>
      </c>
      <c r="BG16" s="3">
        <v>5.0000000000000001E-3</v>
      </c>
      <c r="BH16" s="3">
        <v>-5.0000000000000001E-3</v>
      </c>
      <c r="BI16" s="3">
        <v>0</v>
      </c>
      <c r="BJ16" s="3">
        <v>0.12</v>
      </c>
      <c r="BK16" s="3">
        <v>0.01</v>
      </c>
      <c r="BL16" s="3">
        <v>-0.01</v>
      </c>
      <c r="BM16" s="3">
        <v>0</v>
      </c>
      <c r="BN16" s="3">
        <v>-0.25</v>
      </c>
      <c r="BO16" s="3">
        <v>0.19</v>
      </c>
      <c r="BP16" s="3">
        <v>-0.19</v>
      </c>
      <c r="BQ16" s="3">
        <v>0</v>
      </c>
      <c r="BR16" t="s">
        <v>7935</v>
      </c>
      <c r="BS16" s="3">
        <v>5.0999999999999996</v>
      </c>
      <c r="BT16" s="3">
        <v>0.06</v>
      </c>
      <c r="BU16" s="3">
        <v>-0.06</v>
      </c>
      <c r="BV16" s="3">
        <v>0</v>
      </c>
      <c r="BW16" t="s">
        <v>7936</v>
      </c>
      <c r="BX16" t="s">
        <v>7963</v>
      </c>
      <c r="BY16" s="3">
        <v>1.6764641</v>
      </c>
      <c r="BZ16" t="s">
        <v>7964</v>
      </c>
      <c r="CA16" s="3">
        <v>-7.5462122999999997</v>
      </c>
      <c r="CB16" s="3">
        <v>4.8486700000000003</v>
      </c>
      <c r="CC16" s="3">
        <v>3.0300000000000001E-3</v>
      </c>
      <c r="CD16" s="3">
        <v>-3.0400000000000002E-3</v>
      </c>
      <c r="CH16" s="3">
        <v>7.4390000000000001</v>
      </c>
      <c r="CI16" s="3">
        <v>2.1000000000000001E-2</v>
      </c>
      <c r="CJ16" s="3">
        <v>-2.1000000000000001E-2</v>
      </c>
      <c r="CK16" s="3">
        <v>11.7804</v>
      </c>
      <c r="CL16" s="3">
        <v>7.5100000000000004E-4</v>
      </c>
      <c r="CM16" s="3">
        <v>-7.5100000000000004E-4</v>
      </c>
      <c r="CN16" t="s">
        <v>1450</v>
      </c>
      <c r="CO16" t="s">
        <v>7965</v>
      </c>
      <c r="CP16" t="s">
        <v>1450</v>
      </c>
    </row>
    <row r="17" spans="1:94" x14ac:dyDescent="0.45">
      <c r="A17" t="s">
        <v>363</v>
      </c>
      <c r="B17">
        <v>1</v>
      </c>
      <c r="C17" t="s">
        <v>1451</v>
      </c>
      <c r="D17" t="s">
        <v>361</v>
      </c>
      <c r="E17" s="3">
        <v>1</v>
      </c>
      <c r="F17" s="3">
        <v>1</v>
      </c>
      <c r="G17" s="3">
        <v>2</v>
      </c>
      <c r="H17" t="s">
        <v>1427</v>
      </c>
      <c r="I17" s="3">
        <v>2022</v>
      </c>
      <c r="J17" t="s">
        <v>7932</v>
      </c>
      <c r="K17" t="s">
        <v>1429</v>
      </c>
      <c r="L17" s="3">
        <v>0</v>
      </c>
      <c r="M17" t="s">
        <v>7961</v>
      </c>
      <c r="N17" s="3">
        <v>21.202000000000002</v>
      </c>
      <c r="O17" s="3">
        <v>1.2999999999999999E-2</v>
      </c>
      <c r="P17" s="3">
        <v>-1.2999999999999999E-2</v>
      </c>
      <c r="Q17" s="3">
        <v>0</v>
      </c>
      <c r="R17" s="3">
        <v>7.3800000000000004E-2</v>
      </c>
      <c r="S17" s="3">
        <v>2.0999999999999999E-3</v>
      </c>
      <c r="T17" s="3">
        <v>-2.0999999999999999E-3</v>
      </c>
      <c r="U17" s="3">
        <v>0</v>
      </c>
      <c r="AD17" s="3">
        <v>1.36</v>
      </c>
      <c r="AE17" s="3">
        <v>0.17</v>
      </c>
      <c r="AF17" s="3">
        <v>-0.17</v>
      </c>
      <c r="AG17" s="3">
        <v>0</v>
      </c>
      <c r="AH17" s="3">
        <v>4.2790399999999996E-3</v>
      </c>
      <c r="AI17" s="3">
        <v>5.3487999999999995E-4</v>
      </c>
      <c r="AJ17" s="3">
        <v>-5.3487999999999995E-4</v>
      </c>
      <c r="AK17" s="3">
        <v>0</v>
      </c>
      <c r="AL17" t="s">
        <v>1426</v>
      </c>
      <c r="AQ17" s="3">
        <v>0.25700000000000001</v>
      </c>
      <c r="AR17" s="3">
        <v>1.4999999999999999E-2</v>
      </c>
      <c r="AS17" s="3">
        <v>-1.4999999999999999E-2</v>
      </c>
      <c r="AT17" s="3">
        <v>0</v>
      </c>
      <c r="AU17" s="3">
        <v>181.7</v>
      </c>
      <c r="AV17" s="3">
        <v>5.2</v>
      </c>
      <c r="AW17" s="3">
        <v>-5.2</v>
      </c>
      <c r="AX17" s="3">
        <v>0</v>
      </c>
      <c r="AY17" s="3">
        <v>0</v>
      </c>
      <c r="AZ17" t="s">
        <v>7961</v>
      </c>
      <c r="BA17" t="s">
        <v>7962</v>
      </c>
      <c r="BB17" s="3">
        <v>3024</v>
      </c>
      <c r="BC17" s="3">
        <v>52</v>
      </c>
      <c r="BD17" s="3">
        <v>-52</v>
      </c>
      <c r="BE17" s="3">
        <v>0</v>
      </c>
      <c r="BF17" s="3">
        <v>0.13700000000000001</v>
      </c>
      <c r="BG17" s="3">
        <v>5.0000000000000001E-3</v>
      </c>
      <c r="BH17" s="3">
        <v>-5.0000000000000001E-3</v>
      </c>
      <c r="BI17" s="3">
        <v>0</v>
      </c>
      <c r="BJ17" s="3">
        <v>0.12</v>
      </c>
      <c r="BK17" s="3">
        <v>0.01</v>
      </c>
      <c r="BL17" s="3">
        <v>-0.01</v>
      </c>
      <c r="BM17" s="3">
        <v>0</v>
      </c>
      <c r="BN17" s="3">
        <v>-0.25</v>
      </c>
      <c r="BO17" s="3">
        <v>0.19</v>
      </c>
      <c r="BP17" s="3">
        <v>-0.19</v>
      </c>
      <c r="BQ17" s="3">
        <v>0</v>
      </c>
      <c r="BR17" t="s">
        <v>7935</v>
      </c>
      <c r="BS17" s="3">
        <v>5.0999999999999996</v>
      </c>
      <c r="BT17" s="3">
        <v>0.06</v>
      </c>
      <c r="BU17" s="3">
        <v>-0.06</v>
      </c>
      <c r="BV17" s="3">
        <v>0</v>
      </c>
      <c r="BW17" t="s">
        <v>7936</v>
      </c>
      <c r="BX17" t="s">
        <v>7963</v>
      </c>
      <c r="BY17" s="3">
        <v>1.6764641</v>
      </c>
      <c r="BZ17" t="s">
        <v>7964</v>
      </c>
      <c r="CA17" s="3">
        <v>-7.5462122999999997</v>
      </c>
      <c r="CB17" s="3">
        <v>4.8486700000000003</v>
      </c>
      <c r="CC17" s="3">
        <v>3.0300000000000001E-3</v>
      </c>
      <c r="CD17" s="3">
        <v>-3.0400000000000002E-3</v>
      </c>
      <c r="CH17" s="3">
        <v>7.4390000000000001</v>
      </c>
      <c r="CI17" s="3">
        <v>2.1000000000000001E-2</v>
      </c>
      <c r="CJ17" s="3">
        <v>-2.1000000000000001E-2</v>
      </c>
      <c r="CK17" s="3">
        <v>11.7804</v>
      </c>
      <c r="CL17" s="3">
        <v>7.5100000000000004E-4</v>
      </c>
      <c r="CM17" s="3">
        <v>-7.5100000000000004E-4</v>
      </c>
      <c r="CN17" t="s">
        <v>1450</v>
      </c>
      <c r="CO17" t="s">
        <v>7965</v>
      </c>
      <c r="CP17" t="s">
        <v>1450</v>
      </c>
    </row>
    <row r="18" spans="1:94" x14ac:dyDescent="0.45">
      <c r="A18" t="s">
        <v>298</v>
      </c>
      <c r="B18">
        <v>1</v>
      </c>
      <c r="C18" t="s">
        <v>1452</v>
      </c>
      <c r="D18" t="s">
        <v>296</v>
      </c>
      <c r="E18" s="3">
        <v>1</v>
      </c>
      <c r="F18" s="3">
        <v>1</v>
      </c>
      <c r="G18" s="3">
        <v>3</v>
      </c>
      <c r="H18" t="s">
        <v>1427</v>
      </c>
      <c r="I18" s="3">
        <v>2020</v>
      </c>
      <c r="J18" t="s">
        <v>7966</v>
      </c>
      <c r="K18" t="s">
        <v>1429</v>
      </c>
      <c r="L18" s="3">
        <v>0</v>
      </c>
      <c r="M18" t="s">
        <v>7967</v>
      </c>
      <c r="N18" s="3">
        <v>3.2073</v>
      </c>
      <c r="O18" s="3">
        <v>2.0000000000000001E-4</v>
      </c>
      <c r="P18" s="3">
        <v>-2.9999999999999997E-4</v>
      </c>
      <c r="Q18" s="3">
        <v>0</v>
      </c>
      <c r="R18" s="3">
        <v>2.1000000000000001E-2</v>
      </c>
      <c r="S18" s="3">
        <v>5.9999999999999995E-4</v>
      </c>
      <c r="T18" s="3">
        <v>-5.9999999999999995E-4</v>
      </c>
      <c r="U18" s="3">
        <v>0</v>
      </c>
      <c r="AD18" s="3">
        <v>1.1100000000000001</v>
      </c>
      <c r="AE18" s="3">
        <v>0.11</v>
      </c>
      <c r="AF18" s="3">
        <v>-0.09</v>
      </c>
      <c r="AG18" s="3">
        <v>0</v>
      </c>
      <c r="AH18" s="3">
        <v>3.4924499999999998E-3</v>
      </c>
      <c r="AI18" s="3">
        <v>3.4610000000000001E-4</v>
      </c>
      <c r="AJ18" s="3">
        <v>-2.8317000000000001E-4</v>
      </c>
      <c r="AK18" s="3">
        <v>0</v>
      </c>
      <c r="AL18" t="s">
        <v>1453</v>
      </c>
      <c r="AM18" s="3">
        <v>0.05</v>
      </c>
      <c r="AN18" s="3">
        <v>0.5</v>
      </c>
      <c r="AO18" s="3">
        <v>-0.03</v>
      </c>
      <c r="AP18" s="3">
        <v>0</v>
      </c>
      <c r="AY18" s="3">
        <v>0</v>
      </c>
      <c r="AZ18" t="s">
        <v>7967</v>
      </c>
      <c r="BA18" t="s">
        <v>7962</v>
      </c>
      <c r="BB18" s="3">
        <v>2953</v>
      </c>
      <c r="BC18" s="3">
        <v>98</v>
      </c>
      <c r="BD18" s="3">
        <v>-98</v>
      </c>
      <c r="BE18" s="3">
        <v>0</v>
      </c>
      <c r="BF18" s="3">
        <v>0.156</v>
      </c>
      <c r="BG18" s="3">
        <v>5.0000000000000001E-3</v>
      </c>
      <c r="BH18" s="3">
        <v>-5.0000000000000001E-3</v>
      </c>
      <c r="BI18" s="3">
        <v>0</v>
      </c>
      <c r="BJ18" s="3">
        <v>0.12</v>
      </c>
      <c r="BK18" s="3">
        <v>0.01</v>
      </c>
      <c r="BL18" s="3">
        <v>-0.01</v>
      </c>
      <c r="BM18" s="3">
        <v>0</v>
      </c>
      <c r="BN18" s="3">
        <v>-0.08</v>
      </c>
      <c r="BO18" s="3">
        <v>0.08</v>
      </c>
      <c r="BP18" s="3">
        <v>-0.08</v>
      </c>
      <c r="BQ18" s="3">
        <v>0</v>
      </c>
      <c r="BR18" t="s">
        <v>7935</v>
      </c>
      <c r="BW18" t="s">
        <v>7936</v>
      </c>
      <c r="BX18" t="s">
        <v>7968</v>
      </c>
      <c r="BY18" s="3">
        <v>54.003248599999999</v>
      </c>
      <c r="BZ18" t="s">
        <v>7969</v>
      </c>
      <c r="CA18" s="3">
        <v>-44.514310399999999</v>
      </c>
      <c r="CB18" s="3">
        <v>3.6727799999999999</v>
      </c>
      <c r="CC18" s="3">
        <v>8.8999999999999995E-4</v>
      </c>
      <c r="CD18" s="3">
        <v>-8.9999999999999998E-4</v>
      </c>
      <c r="CE18" s="3">
        <v>12.7</v>
      </c>
      <c r="CF18" s="3">
        <v>0.2</v>
      </c>
      <c r="CG18" s="3">
        <v>-0.2</v>
      </c>
      <c r="CH18" s="3">
        <v>6.61</v>
      </c>
      <c r="CI18" s="3">
        <v>2.1000000000000001E-2</v>
      </c>
      <c r="CJ18" s="3">
        <v>-2.1000000000000001E-2</v>
      </c>
      <c r="CK18" s="3">
        <v>10.988899999999999</v>
      </c>
      <c r="CL18" s="3">
        <v>9.4499999999999998E-4</v>
      </c>
      <c r="CM18" s="3">
        <v>-9.4499999999999998E-4</v>
      </c>
      <c r="CN18" t="s">
        <v>1456</v>
      </c>
      <c r="CO18" t="s">
        <v>7970</v>
      </c>
      <c r="CP18" t="s">
        <v>1456</v>
      </c>
    </row>
    <row r="19" spans="1:94" x14ac:dyDescent="0.45">
      <c r="A19" t="s">
        <v>298</v>
      </c>
      <c r="B19">
        <v>0</v>
      </c>
      <c r="C19" t="s">
        <v>1452</v>
      </c>
      <c r="D19" t="s">
        <v>296</v>
      </c>
      <c r="E19" s="3">
        <v>0</v>
      </c>
      <c r="F19" s="3">
        <v>1</v>
      </c>
      <c r="G19" s="3">
        <v>3</v>
      </c>
      <c r="H19" t="s">
        <v>1427</v>
      </c>
      <c r="I19" s="3">
        <v>2020</v>
      </c>
      <c r="J19" t="s">
        <v>7966</v>
      </c>
      <c r="K19" t="s">
        <v>1429</v>
      </c>
      <c r="L19" s="3">
        <v>0</v>
      </c>
      <c r="M19" t="s">
        <v>7971</v>
      </c>
      <c r="N19" s="3">
        <v>3.2040000000000002</v>
      </c>
      <c r="O19" s="3">
        <v>1E-3</v>
      </c>
      <c r="P19" s="3">
        <v>-1E-3</v>
      </c>
      <c r="Q19" s="3">
        <v>0</v>
      </c>
      <c r="R19" s="3">
        <v>2.1000000000000001E-2</v>
      </c>
      <c r="S19" s="3">
        <v>1E-3</v>
      </c>
      <c r="T19" s="3">
        <v>-1E-3</v>
      </c>
      <c r="U19" s="3">
        <v>0</v>
      </c>
      <c r="AD19" s="3">
        <v>1.37</v>
      </c>
      <c r="AE19" s="3">
        <v>0.16</v>
      </c>
      <c r="AF19" s="3">
        <v>-0.15</v>
      </c>
      <c r="AG19" s="3">
        <v>0</v>
      </c>
      <c r="AH19" s="3">
        <v>4.3104800000000002E-3</v>
      </c>
      <c r="AI19" s="3">
        <v>5.0341000000000003E-4</v>
      </c>
      <c r="AJ19" s="3">
        <v>-4.7195000000000001E-4</v>
      </c>
      <c r="AK19" s="3">
        <v>0</v>
      </c>
      <c r="AL19" t="s">
        <v>1426</v>
      </c>
      <c r="AM19" s="3">
        <v>0.31</v>
      </c>
      <c r="AP19" s="3">
        <v>1</v>
      </c>
      <c r="AQ19" s="3">
        <v>3.8</v>
      </c>
      <c r="AR19" s="3">
        <v>0.7</v>
      </c>
      <c r="AS19" s="3">
        <v>-0.7</v>
      </c>
      <c r="AT19" s="3">
        <v>0</v>
      </c>
      <c r="AY19" s="3">
        <v>0</v>
      </c>
      <c r="AZ19" t="s">
        <v>7971</v>
      </c>
      <c r="BA19" t="s">
        <v>7962</v>
      </c>
      <c r="BB19" s="3">
        <v>2953</v>
      </c>
      <c r="BC19" s="3">
        <v>98</v>
      </c>
      <c r="BD19" s="3">
        <v>-98</v>
      </c>
      <c r="BE19" s="3">
        <v>0</v>
      </c>
      <c r="BF19" s="3">
        <v>0.156</v>
      </c>
      <c r="BG19" s="3">
        <v>5.0000000000000001E-3</v>
      </c>
      <c r="BH19" s="3">
        <v>-5.0000000000000001E-3</v>
      </c>
      <c r="BI19" s="3">
        <v>0</v>
      </c>
      <c r="BJ19" s="3">
        <v>0.12</v>
      </c>
      <c r="BK19" s="3">
        <v>0.01</v>
      </c>
      <c r="BL19" s="3">
        <v>-0.01</v>
      </c>
      <c r="BM19" s="3">
        <v>0</v>
      </c>
      <c r="BN19" s="3">
        <v>-0.08</v>
      </c>
      <c r="BO19" s="3">
        <v>0.08</v>
      </c>
      <c r="BP19" s="3">
        <v>-0.08</v>
      </c>
      <c r="BQ19" s="3">
        <v>0</v>
      </c>
      <c r="BR19" t="s">
        <v>7935</v>
      </c>
      <c r="BW19" t="s">
        <v>7936</v>
      </c>
      <c r="BX19" t="s">
        <v>7968</v>
      </c>
      <c r="BY19" s="3">
        <v>54.003248599999999</v>
      </c>
      <c r="BZ19" t="s">
        <v>7969</v>
      </c>
      <c r="CA19" s="3">
        <v>-44.514310399999999</v>
      </c>
      <c r="CB19" s="3">
        <v>3.6727799999999999</v>
      </c>
      <c r="CC19" s="3">
        <v>8.8999999999999995E-4</v>
      </c>
      <c r="CD19" s="3">
        <v>-8.9999999999999998E-4</v>
      </c>
      <c r="CE19" s="3">
        <v>12.7</v>
      </c>
      <c r="CF19" s="3">
        <v>0.2</v>
      </c>
      <c r="CG19" s="3">
        <v>-0.2</v>
      </c>
      <c r="CH19" s="3">
        <v>6.61</v>
      </c>
      <c r="CI19" s="3">
        <v>2.1000000000000001E-2</v>
      </c>
      <c r="CJ19" s="3">
        <v>-2.1000000000000001E-2</v>
      </c>
      <c r="CK19" s="3">
        <v>10.988899999999999</v>
      </c>
      <c r="CL19" s="3">
        <v>9.4499999999999998E-4</v>
      </c>
      <c r="CM19" s="3">
        <v>-9.4499999999999998E-4</v>
      </c>
      <c r="CN19" t="s">
        <v>7972</v>
      </c>
      <c r="CO19" t="s">
        <v>7973</v>
      </c>
      <c r="CP19" t="s">
        <v>7974</v>
      </c>
    </row>
    <row r="20" spans="1:94" x14ac:dyDescent="0.45">
      <c r="A20" t="s">
        <v>298</v>
      </c>
      <c r="B20">
        <v>0</v>
      </c>
      <c r="C20" t="s">
        <v>1457</v>
      </c>
      <c r="D20" t="s">
        <v>296</v>
      </c>
      <c r="E20" s="3">
        <v>0</v>
      </c>
      <c r="F20" s="3">
        <v>1</v>
      </c>
      <c r="G20" s="3">
        <v>3</v>
      </c>
      <c r="H20" t="s">
        <v>1427</v>
      </c>
      <c r="I20" s="3">
        <v>2020</v>
      </c>
      <c r="J20" t="s">
        <v>7966</v>
      </c>
      <c r="K20" t="s">
        <v>1429</v>
      </c>
      <c r="L20" s="3">
        <v>0</v>
      </c>
      <c r="M20" t="s">
        <v>7971</v>
      </c>
      <c r="N20" s="3">
        <v>6.6890000000000001</v>
      </c>
      <c r="O20" s="3">
        <v>5.0000000000000001E-3</v>
      </c>
      <c r="P20" s="3">
        <v>-5.0000000000000001E-3</v>
      </c>
      <c r="Q20" s="3">
        <v>0</v>
      </c>
      <c r="R20" s="3">
        <v>3.5000000000000003E-2</v>
      </c>
      <c r="S20" s="3">
        <v>1E-3</v>
      </c>
      <c r="T20" s="3">
        <v>-1E-3</v>
      </c>
      <c r="U20" s="3">
        <v>0</v>
      </c>
      <c r="AD20" s="3">
        <v>1.74</v>
      </c>
      <c r="AE20" s="3">
        <v>0.23</v>
      </c>
      <c r="AF20" s="3">
        <v>-0.23</v>
      </c>
      <c r="AG20" s="3">
        <v>0</v>
      </c>
      <c r="AH20" s="3">
        <v>5.4746200000000004E-3</v>
      </c>
      <c r="AI20" s="3">
        <v>7.2365999999999999E-4</v>
      </c>
      <c r="AJ20" s="3">
        <v>-7.2365999999999999E-4</v>
      </c>
      <c r="AK20" s="3">
        <v>0</v>
      </c>
      <c r="AL20" t="s">
        <v>1426</v>
      </c>
      <c r="AM20" s="3">
        <v>0.28999999999999998</v>
      </c>
      <c r="AP20" s="3">
        <v>1</v>
      </c>
      <c r="AQ20" s="3">
        <v>1.4</v>
      </c>
      <c r="AR20" s="3">
        <v>0.2</v>
      </c>
      <c r="AS20" s="3">
        <v>-0.2</v>
      </c>
      <c r="AT20" s="3">
        <v>0</v>
      </c>
      <c r="AY20" s="3">
        <v>0</v>
      </c>
      <c r="AZ20" t="s">
        <v>7971</v>
      </c>
      <c r="BA20" t="s">
        <v>7962</v>
      </c>
      <c r="BB20" s="3">
        <v>2953</v>
      </c>
      <c r="BC20" s="3">
        <v>98</v>
      </c>
      <c r="BD20" s="3">
        <v>-98</v>
      </c>
      <c r="BE20" s="3">
        <v>0</v>
      </c>
      <c r="BF20" s="3">
        <v>0.156</v>
      </c>
      <c r="BG20" s="3">
        <v>5.0000000000000001E-3</v>
      </c>
      <c r="BH20" s="3">
        <v>-5.0000000000000001E-3</v>
      </c>
      <c r="BI20" s="3">
        <v>0</v>
      </c>
      <c r="BJ20" s="3">
        <v>0.12</v>
      </c>
      <c r="BK20" s="3">
        <v>0.01</v>
      </c>
      <c r="BL20" s="3">
        <v>-0.01</v>
      </c>
      <c r="BM20" s="3">
        <v>0</v>
      </c>
      <c r="BN20" s="3">
        <v>-0.08</v>
      </c>
      <c r="BO20" s="3">
        <v>0.08</v>
      </c>
      <c r="BP20" s="3">
        <v>-0.08</v>
      </c>
      <c r="BQ20" s="3">
        <v>0</v>
      </c>
      <c r="BR20" t="s">
        <v>7935</v>
      </c>
      <c r="BW20" t="s">
        <v>7936</v>
      </c>
      <c r="BX20" t="s">
        <v>7968</v>
      </c>
      <c r="BY20" s="3">
        <v>54.003248599999999</v>
      </c>
      <c r="BZ20" t="s">
        <v>7969</v>
      </c>
      <c r="CA20" s="3">
        <v>-44.514310399999999</v>
      </c>
      <c r="CB20" s="3">
        <v>3.6727799999999999</v>
      </c>
      <c r="CC20" s="3">
        <v>8.8999999999999995E-4</v>
      </c>
      <c r="CD20" s="3">
        <v>-8.9999999999999998E-4</v>
      </c>
      <c r="CE20" s="3">
        <v>12.7</v>
      </c>
      <c r="CF20" s="3">
        <v>0.2</v>
      </c>
      <c r="CG20" s="3">
        <v>-0.2</v>
      </c>
      <c r="CH20" s="3">
        <v>6.61</v>
      </c>
      <c r="CI20" s="3">
        <v>2.1000000000000001E-2</v>
      </c>
      <c r="CJ20" s="3">
        <v>-2.1000000000000001E-2</v>
      </c>
      <c r="CK20" s="3">
        <v>10.988899999999999</v>
      </c>
      <c r="CL20" s="3">
        <v>9.4499999999999998E-4</v>
      </c>
      <c r="CM20" s="3">
        <v>-9.4499999999999998E-4</v>
      </c>
      <c r="CN20" t="s">
        <v>7972</v>
      </c>
      <c r="CO20" t="s">
        <v>7973</v>
      </c>
      <c r="CP20" t="s">
        <v>7974</v>
      </c>
    </row>
    <row r="21" spans="1:94" x14ac:dyDescent="0.45">
      <c r="A21" t="s">
        <v>298</v>
      </c>
      <c r="B21">
        <v>1</v>
      </c>
      <c r="C21" t="s">
        <v>1457</v>
      </c>
      <c r="D21" t="s">
        <v>296</v>
      </c>
      <c r="E21" s="3">
        <v>1</v>
      </c>
      <c r="F21" s="3">
        <v>1</v>
      </c>
      <c r="G21" s="3">
        <v>3</v>
      </c>
      <c r="H21" t="s">
        <v>1427</v>
      </c>
      <c r="I21" s="3">
        <v>2020</v>
      </c>
      <c r="J21" t="s">
        <v>7966</v>
      </c>
      <c r="K21" t="s">
        <v>1429</v>
      </c>
      <c r="L21" s="3">
        <v>0</v>
      </c>
      <c r="M21" t="s">
        <v>7967</v>
      </c>
      <c r="N21" s="3">
        <v>6.6821000000000002</v>
      </c>
      <c r="O21" s="3">
        <v>8.0000000000000004E-4</v>
      </c>
      <c r="P21" s="3">
        <v>-8.0000000000000004E-4</v>
      </c>
      <c r="Q21" s="3">
        <v>0</v>
      </c>
      <c r="R21" s="3">
        <v>3.4200000000000001E-2</v>
      </c>
      <c r="S21" s="3">
        <v>8.9999999999999998E-4</v>
      </c>
      <c r="T21" s="3">
        <v>-1E-3</v>
      </c>
      <c r="U21" s="3">
        <v>0</v>
      </c>
      <c r="AD21" s="3">
        <v>1.81</v>
      </c>
      <c r="AE21" s="3">
        <v>0.13</v>
      </c>
      <c r="AF21" s="3">
        <v>-0.11</v>
      </c>
      <c r="AG21" s="3">
        <v>0</v>
      </c>
      <c r="AH21" s="3">
        <v>5.6949000000000001E-3</v>
      </c>
      <c r="AI21" s="3">
        <v>4.0903000000000001E-4</v>
      </c>
      <c r="AJ21" s="3">
        <v>-3.4610000000000001E-4</v>
      </c>
      <c r="AK21" s="3">
        <v>0</v>
      </c>
      <c r="AL21" t="s">
        <v>1453</v>
      </c>
      <c r="AM21" s="3">
        <v>0.02</v>
      </c>
      <c r="AN21" s="3">
        <v>0.03</v>
      </c>
      <c r="AO21" s="3">
        <v>-0.02</v>
      </c>
      <c r="AP21" s="3">
        <v>0</v>
      </c>
      <c r="AY21" s="3">
        <v>0</v>
      </c>
      <c r="AZ21" t="s">
        <v>7967</v>
      </c>
      <c r="BA21" t="s">
        <v>7962</v>
      </c>
      <c r="BB21" s="3">
        <v>2953</v>
      </c>
      <c r="BC21" s="3">
        <v>98</v>
      </c>
      <c r="BD21" s="3">
        <v>-98</v>
      </c>
      <c r="BE21" s="3">
        <v>0</v>
      </c>
      <c r="BF21" s="3">
        <v>0.156</v>
      </c>
      <c r="BG21" s="3">
        <v>5.0000000000000001E-3</v>
      </c>
      <c r="BH21" s="3">
        <v>-5.0000000000000001E-3</v>
      </c>
      <c r="BI21" s="3">
        <v>0</v>
      </c>
      <c r="BJ21" s="3">
        <v>0.12</v>
      </c>
      <c r="BK21" s="3">
        <v>0.01</v>
      </c>
      <c r="BL21" s="3">
        <v>-0.01</v>
      </c>
      <c r="BM21" s="3">
        <v>0</v>
      </c>
      <c r="BN21" s="3">
        <v>-0.08</v>
      </c>
      <c r="BO21" s="3">
        <v>0.08</v>
      </c>
      <c r="BP21" s="3">
        <v>-0.08</v>
      </c>
      <c r="BQ21" s="3">
        <v>0</v>
      </c>
      <c r="BR21" t="s">
        <v>7935</v>
      </c>
      <c r="BW21" t="s">
        <v>7936</v>
      </c>
      <c r="BX21" t="s">
        <v>7968</v>
      </c>
      <c r="BY21" s="3">
        <v>54.003248599999999</v>
      </c>
      <c r="BZ21" t="s">
        <v>7969</v>
      </c>
      <c r="CA21" s="3">
        <v>-44.514310399999999</v>
      </c>
      <c r="CB21" s="3">
        <v>3.6727799999999999</v>
      </c>
      <c r="CC21" s="3">
        <v>8.8999999999999995E-4</v>
      </c>
      <c r="CD21" s="3">
        <v>-8.9999999999999998E-4</v>
      </c>
      <c r="CE21" s="3">
        <v>12.7</v>
      </c>
      <c r="CF21" s="3">
        <v>0.2</v>
      </c>
      <c r="CG21" s="3">
        <v>-0.2</v>
      </c>
      <c r="CH21" s="3">
        <v>6.61</v>
      </c>
      <c r="CI21" s="3">
        <v>2.1000000000000001E-2</v>
      </c>
      <c r="CJ21" s="3">
        <v>-2.1000000000000001E-2</v>
      </c>
      <c r="CK21" s="3">
        <v>10.988899999999999</v>
      </c>
      <c r="CL21" s="3">
        <v>9.4499999999999998E-4</v>
      </c>
      <c r="CM21" s="3">
        <v>-9.4499999999999998E-4</v>
      </c>
      <c r="CN21" t="s">
        <v>1456</v>
      </c>
      <c r="CO21" t="s">
        <v>7970</v>
      </c>
      <c r="CP21" t="s">
        <v>1456</v>
      </c>
    </row>
    <row r="22" spans="1:94" x14ac:dyDescent="0.45">
      <c r="A22" t="s">
        <v>298</v>
      </c>
      <c r="B22">
        <v>0</v>
      </c>
      <c r="C22" t="s">
        <v>1458</v>
      </c>
      <c r="D22" t="s">
        <v>296</v>
      </c>
      <c r="E22" s="3">
        <v>0</v>
      </c>
      <c r="F22" s="3">
        <v>1</v>
      </c>
      <c r="G22" s="3">
        <v>3</v>
      </c>
      <c r="H22" t="s">
        <v>1427</v>
      </c>
      <c r="I22" s="3">
        <v>2020</v>
      </c>
      <c r="J22" t="s">
        <v>7966</v>
      </c>
      <c r="K22" t="s">
        <v>1429</v>
      </c>
      <c r="L22" s="3">
        <v>0</v>
      </c>
      <c r="M22" t="s">
        <v>7971</v>
      </c>
      <c r="N22" s="3">
        <v>13.031000000000001</v>
      </c>
      <c r="O22" s="3">
        <v>2.5000000000000001E-2</v>
      </c>
      <c r="P22" s="3">
        <v>-3.2000000000000001E-2</v>
      </c>
      <c r="Q22" s="3">
        <v>0</v>
      </c>
      <c r="R22" s="3">
        <v>5.3999999999999999E-2</v>
      </c>
      <c r="S22" s="3">
        <v>1E-3</v>
      </c>
      <c r="T22" s="3">
        <v>-1E-3</v>
      </c>
      <c r="U22" s="3">
        <v>0</v>
      </c>
      <c r="AD22" s="3">
        <v>1.64</v>
      </c>
      <c r="AE22" s="3">
        <v>0.24</v>
      </c>
      <c r="AF22" s="3">
        <v>-0.23</v>
      </c>
      <c r="AG22" s="3">
        <v>0</v>
      </c>
      <c r="AH22" s="3">
        <v>5.1599899999999997E-3</v>
      </c>
      <c r="AI22" s="3">
        <v>7.5511999999999997E-4</v>
      </c>
      <c r="AJ22" s="3">
        <v>-7.2365999999999999E-4</v>
      </c>
      <c r="AK22" s="3">
        <v>0</v>
      </c>
      <c r="AL22" t="s">
        <v>1426</v>
      </c>
      <c r="AM22" s="3">
        <v>0.53</v>
      </c>
      <c r="AP22" s="3">
        <v>1</v>
      </c>
      <c r="AQ22" s="3">
        <v>0.6</v>
      </c>
      <c r="AR22" s="3">
        <v>0.1</v>
      </c>
      <c r="AS22" s="3">
        <v>-0.1</v>
      </c>
      <c r="AT22" s="3">
        <v>0</v>
      </c>
      <c r="AY22" s="3">
        <v>0</v>
      </c>
      <c r="AZ22" t="s">
        <v>7971</v>
      </c>
      <c r="BA22" t="s">
        <v>7962</v>
      </c>
      <c r="BB22" s="3">
        <v>2953</v>
      </c>
      <c r="BC22" s="3">
        <v>98</v>
      </c>
      <c r="BD22" s="3">
        <v>-98</v>
      </c>
      <c r="BE22" s="3">
        <v>0</v>
      </c>
      <c r="BF22" s="3">
        <v>0.156</v>
      </c>
      <c r="BG22" s="3">
        <v>5.0000000000000001E-3</v>
      </c>
      <c r="BH22" s="3">
        <v>-5.0000000000000001E-3</v>
      </c>
      <c r="BI22" s="3">
        <v>0</v>
      </c>
      <c r="BJ22" s="3">
        <v>0.12</v>
      </c>
      <c r="BK22" s="3">
        <v>0.01</v>
      </c>
      <c r="BL22" s="3">
        <v>-0.01</v>
      </c>
      <c r="BM22" s="3">
        <v>0</v>
      </c>
      <c r="BN22" s="3">
        <v>-0.08</v>
      </c>
      <c r="BO22" s="3">
        <v>0.08</v>
      </c>
      <c r="BP22" s="3">
        <v>-0.08</v>
      </c>
      <c r="BQ22" s="3">
        <v>0</v>
      </c>
      <c r="BR22" t="s">
        <v>7935</v>
      </c>
      <c r="BW22" t="s">
        <v>7936</v>
      </c>
      <c r="BX22" t="s">
        <v>7968</v>
      </c>
      <c r="BY22" s="3">
        <v>54.003248599999999</v>
      </c>
      <c r="BZ22" t="s">
        <v>7969</v>
      </c>
      <c r="CA22" s="3">
        <v>-44.514310399999999</v>
      </c>
      <c r="CB22" s="3">
        <v>3.6727799999999999</v>
      </c>
      <c r="CC22" s="3">
        <v>8.8999999999999995E-4</v>
      </c>
      <c r="CD22" s="3">
        <v>-8.9999999999999998E-4</v>
      </c>
      <c r="CE22" s="3">
        <v>12.7</v>
      </c>
      <c r="CF22" s="3">
        <v>0.2</v>
      </c>
      <c r="CG22" s="3">
        <v>-0.2</v>
      </c>
      <c r="CH22" s="3">
        <v>6.61</v>
      </c>
      <c r="CI22" s="3">
        <v>2.1000000000000001E-2</v>
      </c>
      <c r="CJ22" s="3">
        <v>-2.1000000000000001E-2</v>
      </c>
      <c r="CK22" s="3">
        <v>10.988899999999999</v>
      </c>
      <c r="CL22" s="3">
        <v>9.4499999999999998E-4</v>
      </c>
      <c r="CM22" s="3">
        <v>-9.4499999999999998E-4</v>
      </c>
      <c r="CN22" t="s">
        <v>7972</v>
      </c>
      <c r="CO22" t="s">
        <v>7973</v>
      </c>
      <c r="CP22" t="s">
        <v>7974</v>
      </c>
    </row>
    <row r="23" spans="1:94" x14ac:dyDescent="0.45">
      <c r="A23" t="s">
        <v>298</v>
      </c>
      <c r="B23">
        <v>1</v>
      </c>
      <c r="C23" t="s">
        <v>1458</v>
      </c>
      <c r="D23" t="s">
        <v>296</v>
      </c>
      <c r="E23" s="3">
        <v>1</v>
      </c>
      <c r="F23" s="3">
        <v>1</v>
      </c>
      <c r="G23" s="3">
        <v>3</v>
      </c>
      <c r="H23" t="s">
        <v>1427</v>
      </c>
      <c r="I23" s="3">
        <v>2020</v>
      </c>
      <c r="J23" t="s">
        <v>7966</v>
      </c>
      <c r="K23" t="s">
        <v>1429</v>
      </c>
      <c r="L23" s="3">
        <v>0</v>
      </c>
      <c r="M23" t="s">
        <v>7967</v>
      </c>
      <c r="N23" s="3">
        <v>13.066000000000001</v>
      </c>
      <c r="O23" s="3">
        <v>2E-3</v>
      </c>
      <c r="P23" s="3">
        <v>-2E-3</v>
      </c>
      <c r="Q23" s="3">
        <v>0</v>
      </c>
      <c r="R23" s="3">
        <v>5.3999999999999999E-2</v>
      </c>
      <c r="S23" s="3">
        <v>2E-3</v>
      </c>
      <c r="T23" s="3">
        <v>-2E-3</v>
      </c>
      <c r="U23" s="3">
        <v>0</v>
      </c>
      <c r="AD23" s="3">
        <v>1.67</v>
      </c>
      <c r="AE23" s="3">
        <v>0.17</v>
      </c>
      <c r="AF23" s="3">
        <v>-0.21</v>
      </c>
      <c r="AG23" s="3">
        <v>0</v>
      </c>
      <c r="AH23" s="3">
        <v>5.2544100000000002E-3</v>
      </c>
      <c r="AI23" s="3">
        <v>5.3487999999999995E-4</v>
      </c>
      <c r="AJ23" s="3">
        <v>-6.6073E-4</v>
      </c>
      <c r="AK23" s="3">
        <v>0</v>
      </c>
      <c r="AL23" t="s">
        <v>1453</v>
      </c>
      <c r="AM23" s="3">
        <v>0.04</v>
      </c>
      <c r="AN23" s="3">
        <v>0.04</v>
      </c>
      <c r="AO23" s="3">
        <v>-0.03</v>
      </c>
      <c r="AP23" s="3">
        <v>0</v>
      </c>
      <c r="AY23" s="3">
        <v>0</v>
      </c>
      <c r="AZ23" t="s">
        <v>7967</v>
      </c>
      <c r="BA23" t="s">
        <v>7962</v>
      </c>
      <c r="BB23" s="3">
        <v>2953</v>
      </c>
      <c r="BC23" s="3">
        <v>98</v>
      </c>
      <c r="BD23" s="3">
        <v>-98</v>
      </c>
      <c r="BE23" s="3">
        <v>0</v>
      </c>
      <c r="BF23" s="3">
        <v>0.156</v>
      </c>
      <c r="BG23" s="3">
        <v>5.0000000000000001E-3</v>
      </c>
      <c r="BH23" s="3">
        <v>-5.0000000000000001E-3</v>
      </c>
      <c r="BI23" s="3">
        <v>0</v>
      </c>
      <c r="BJ23" s="3">
        <v>0.12</v>
      </c>
      <c r="BK23" s="3">
        <v>0.01</v>
      </c>
      <c r="BL23" s="3">
        <v>-0.01</v>
      </c>
      <c r="BM23" s="3">
        <v>0</v>
      </c>
      <c r="BN23" s="3">
        <v>-0.08</v>
      </c>
      <c r="BO23" s="3">
        <v>0.08</v>
      </c>
      <c r="BP23" s="3">
        <v>-0.08</v>
      </c>
      <c r="BQ23" s="3">
        <v>0</v>
      </c>
      <c r="BR23" t="s">
        <v>7935</v>
      </c>
      <c r="BW23" t="s">
        <v>7936</v>
      </c>
      <c r="BX23" t="s">
        <v>7968</v>
      </c>
      <c r="BY23" s="3">
        <v>54.003248599999999</v>
      </c>
      <c r="BZ23" t="s">
        <v>7969</v>
      </c>
      <c r="CA23" s="3">
        <v>-44.514310399999999</v>
      </c>
      <c r="CB23" s="3">
        <v>3.6727799999999999</v>
      </c>
      <c r="CC23" s="3">
        <v>8.8999999999999995E-4</v>
      </c>
      <c r="CD23" s="3">
        <v>-8.9999999999999998E-4</v>
      </c>
      <c r="CE23" s="3">
        <v>12.7</v>
      </c>
      <c r="CF23" s="3">
        <v>0.2</v>
      </c>
      <c r="CG23" s="3">
        <v>-0.2</v>
      </c>
      <c r="CH23" s="3">
        <v>6.61</v>
      </c>
      <c r="CI23" s="3">
        <v>2.1000000000000001E-2</v>
      </c>
      <c r="CJ23" s="3">
        <v>-2.1000000000000001E-2</v>
      </c>
      <c r="CK23" s="3">
        <v>10.988899999999999</v>
      </c>
      <c r="CL23" s="3">
        <v>9.4499999999999998E-4</v>
      </c>
      <c r="CM23" s="3">
        <v>-9.4499999999999998E-4</v>
      </c>
      <c r="CN23" t="s">
        <v>1456</v>
      </c>
      <c r="CO23" t="s">
        <v>7970</v>
      </c>
      <c r="CP23" t="s">
        <v>1456</v>
      </c>
    </row>
    <row r="24" spans="1:94" x14ac:dyDescent="0.45">
      <c r="A24" t="s">
        <v>1065</v>
      </c>
      <c r="B24">
        <v>1</v>
      </c>
      <c r="C24" t="s">
        <v>1064</v>
      </c>
      <c r="D24" t="s">
        <v>1063</v>
      </c>
      <c r="E24" s="3">
        <v>1</v>
      </c>
      <c r="F24" s="3">
        <v>1</v>
      </c>
      <c r="G24" s="3">
        <v>1</v>
      </c>
      <c r="H24" t="s">
        <v>1427</v>
      </c>
      <c r="I24" s="3">
        <v>2023</v>
      </c>
      <c r="J24" t="s">
        <v>7975</v>
      </c>
      <c r="K24" t="s">
        <v>1429</v>
      </c>
      <c r="L24" s="3">
        <v>0</v>
      </c>
      <c r="M24" t="s">
        <v>7976</v>
      </c>
      <c r="N24" s="3">
        <v>389.7</v>
      </c>
      <c r="O24" s="3">
        <v>5.4</v>
      </c>
      <c r="P24" s="3">
        <v>-6.5</v>
      </c>
      <c r="Q24" s="3">
        <v>0</v>
      </c>
      <c r="R24" s="3">
        <v>0.57140000000000002</v>
      </c>
      <c r="S24" s="3">
        <v>5.3E-3</v>
      </c>
      <c r="T24" s="3">
        <v>-6.4000000000000003E-3</v>
      </c>
      <c r="U24" s="3">
        <v>0</v>
      </c>
      <c r="AD24" s="3">
        <v>10.62</v>
      </c>
      <c r="AE24" s="3">
        <v>1.31</v>
      </c>
      <c r="AF24" s="3">
        <v>-1.47</v>
      </c>
      <c r="AG24" s="3">
        <v>0</v>
      </c>
      <c r="AH24" s="3">
        <v>3.3414260000000001E-2</v>
      </c>
      <c r="AI24" s="3">
        <v>4.1217199999999997E-3</v>
      </c>
      <c r="AJ24" s="3">
        <v>-4.6251399999999998E-3</v>
      </c>
      <c r="AK24" s="3">
        <v>0</v>
      </c>
      <c r="AL24" t="s">
        <v>1426</v>
      </c>
      <c r="AY24" s="3">
        <v>0</v>
      </c>
      <c r="AZ24" t="s">
        <v>7976</v>
      </c>
      <c r="BA24" t="s">
        <v>7977</v>
      </c>
      <c r="BB24" s="3">
        <v>3280</v>
      </c>
      <c r="BC24" s="3">
        <v>40</v>
      </c>
      <c r="BD24" s="3">
        <v>-40</v>
      </c>
      <c r="BE24" s="3">
        <v>0</v>
      </c>
      <c r="BF24" s="3">
        <v>0.17810000000000001</v>
      </c>
      <c r="BG24" s="3">
        <v>4.1999999999999997E-3</v>
      </c>
      <c r="BH24" s="3">
        <v>-4.1999999999999997E-3</v>
      </c>
      <c r="BI24" s="3">
        <v>0</v>
      </c>
      <c r="BJ24" s="3">
        <v>0.16389999999999999</v>
      </c>
      <c r="BK24" s="3">
        <v>9.2999999999999992E-3</v>
      </c>
      <c r="BL24" s="3">
        <v>-9.2999999999999992E-3</v>
      </c>
      <c r="BM24" s="3">
        <v>0</v>
      </c>
      <c r="BN24" s="3">
        <v>-0.12</v>
      </c>
      <c r="BO24" s="3">
        <v>0.1</v>
      </c>
      <c r="BP24" s="3">
        <v>-0.1</v>
      </c>
      <c r="BQ24" s="3">
        <v>0</v>
      </c>
      <c r="BR24" t="s">
        <v>7935</v>
      </c>
      <c r="BS24" s="3">
        <v>5.09</v>
      </c>
      <c r="BT24" s="3">
        <v>0.09</v>
      </c>
      <c r="BU24" s="3">
        <v>-0.09</v>
      </c>
      <c r="BV24" s="3">
        <v>0</v>
      </c>
      <c r="BW24" t="s">
        <v>7936</v>
      </c>
      <c r="BX24" t="s">
        <v>7978</v>
      </c>
      <c r="BY24" s="3">
        <v>177.73048660000001</v>
      </c>
      <c r="BZ24" t="s">
        <v>7979</v>
      </c>
      <c r="CA24" s="3">
        <v>48.373233399999997</v>
      </c>
      <c r="CB24" s="3">
        <v>8.0362500000000008</v>
      </c>
      <c r="CC24" s="3">
        <v>7.7200000000000003E-3</v>
      </c>
      <c r="CD24" s="3">
        <v>-7.7099999999999998E-3</v>
      </c>
      <c r="CE24" s="3">
        <v>13.76</v>
      </c>
      <c r="CF24" s="3">
        <v>0.2</v>
      </c>
      <c r="CG24" s="3">
        <v>-0.2</v>
      </c>
      <c r="CH24" s="3">
        <v>7.6369999999999996</v>
      </c>
      <c r="CI24" s="3">
        <v>1.7000000000000001E-2</v>
      </c>
      <c r="CJ24" s="3">
        <v>-1.7000000000000001E-2</v>
      </c>
      <c r="CK24" s="3">
        <v>11.6938</v>
      </c>
      <c r="CL24" s="3">
        <v>4.5899999999999999E-4</v>
      </c>
      <c r="CM24" s="3">
        <v>-4.5899999999999999E-4</v>
      </c>
      <c r="CN24" t="s">
        <v>1461</v>
      </c>
      <c r="CO24" t="s">
        <v>7980</v>
      </c>
      <c r="CP24" t="s">
        <v>1461</v>
      </c>
    </row>
    <row r="25" spans="1:94" x14ac:dyDescent="0.45">
      <c r="A25" t="s">
        <v>1039</v>
      </c>
      <c r="B25">
        <v>1</v>
      </c>
      <c r="C25" t="s">
        <v>1038</v>
      </c>
      <c r="D25" t="s">
        <v>1037</v>
      </c>
      <c r="E25" s="3">
        <v>1</v>
      </c>
      <c r="F25" s="3">
        <v>1</v>
      </c>
      <c r="G25" s="3">
        <v>1</v>
      </c>
      <c r="H25" t="s">
        <v>1427</v>
      </c>
      <c r="I25" s="3">
        <v>2024</v>
      </c>
      <c r="J25" t="s">
        <v>7932</v>
      </c>
      <c r="K25" t="s">
        <v>1429</v>
      </c>
      <c r="L25" s="3">
        <v>0</v>
      </c>
      <c r="M25" t="s">
        <v>7981</v>
      </c>
      <c r="N25" s="3">
        <v>111.74</v>
      </c>
      <c r="O25" s="3">
        <v>0.73</v>
      </c>
      <c r="P25" s="3">
        <v>-0.71</v>
      </c>
      <c r="Q25" s="3">
        <v>0</v>
      </c>
      <c r="R25" s="3">
        <v>0.27</v>
      </c>
      <c r="S25" s="3">
        <v>0.01</v>
      </c>
      <c r="T25" s="3">
        <v>-0.01</v>
      </c>
      <c r="U25" s="3">
        <v>0</v>
      </c>
      <c r="AD25" s="3">
        <v>6.27</v>
      </c>
      <c r="AE25" s="3">
        <v>1.23</v>
      </c>
      <c r="AF25" s="3">
        <v>-1.25</v>
      </c>
      <c r="AG25" s="3">
        <v>0</v>
      </c>
      <c r="AH25" s="3">
        <v>1.9727629999999999E-2</v>
      </c>
      <c r="AI25" s="3">
        <v>3.8700100000000001E-3</v>
      </c>
      <c r="AJ25" s="3">
        <v>-3.9329400000000002E-3</v>
      </c>
      <c r="AK25" s="3">
        <v>0</v>
      </c>
      <c r="AL25" t="s">
        <v>1426</v>
      </c>
      <c r="AM25" s="3">
        <v>0</v>
      </c>
      <c r="AP25" s="3">
        <v>0</v>
      </c>
      <c r="AU25" s="3">
        <v>150</v>
      </c>
      <c r="AX25" s="3">
        <v>0</v>
      </c>
      <c r="AY25" s="3">
        <v>0</v>
      </c>
      <c r="AZ25" t="s">
        <v>7981</v>
      </c>
      <c r="BA25" t="s">
        <v>7982</v>
      </c>
      <c r="BB25" s="3">
        <v>3296</v>
      </c>
      <c r="BC25" s="3">
        <v>30</v>
      </c>
      <c r="BD25" s="3">
        <v>-30</v>
      </c>
      <c r="BE25" s="3">
        <v>0</v>
      </c>
      <c r="BJ25" s="3">
        <v>0.21</v>
      </c>
      <c r="BK25" s="3">
        <v>0.02</v>
      </c>
      <c r="BL25" s="3">
        <v>-0.02</v>
      </c>
      <c r="BM25" s="3">
        <v>0</v>
      </c>
      <c r="BN25" s="3">
        <v>0.02</v>
      </c>
      <c r="BO25" s="3">
        <v>0.1</v>
      </c>
      <c r="BP25" s="3">
        <v>-0.1</v>
      </c>
      <c r="BQ25" s="3">
        <v>0</v>
      </c>
      <c r="BR25" t="s">
        <v>7983</v>
      </c>
      <c r="BW25" t="s">
        <v>7936</v>
      </c>
      <c r="BX25" t="s">
        <v>7984</v>
      </c>
      <c r="BY25" s="3">
        <v>355.78134640000002</v>
      </c>
      <c r="BZ25" t="s">
        <v>7985</v>
      </c>
      <c r="CA25" s="3">
        <v>36.536331400000002</v>
      </c>
      <c r="CB25" s="3">
        <v>8.3514700000000008</v>
      </c>
      <c r="CC25" s="3">
        <v>8.1899999999999994E-3</v>
      </c>
      <c r="CD25" s="3">
        <v>-8.1799999999999998E-3</v>
      </c>
      <c r="CE25" s="3">
        <v>12.48</v>
      </c>
      <c r="CF25" s="3">
        <v>0.2</v>
      </c>
      <c r="CG25" s="3">
        <v>-0.2</v>
      </c>
      <c r="CH25" s="3">
        <v>7.226</v>
      </c>
      <c r="CI25" s="3">
        <v>0.02</v>
      </c>
      <c r="CJ25" s="3">
        <v>-0.02</v>
      </c>
      <c r="CK25" s="3">
        <v>11.1534</v>
      </c>
      <c r="CL25" s="3">
        <v>2.0309999999999998E-3</v>
      </c>
      <c r="CM25" s="3">
        <v>-2.0309999999999998E-3</v>
      </c>
      <c r="CN25" t="s">
        <v>1464</v>
      </c>
      <c r="CO25" t="s">
        <v>7986</v>
      </c>
      <c r="CP25" t="s">
        <v>1464</v>
      </c>
    </row>
    <row r="26" spans="1:94" x14ac:dyDescent="0.45">
      <c r="A26" t="s">
        <v>194</v>
      </c>
      <c r="B26">
        <v>0</v>
      </c>
      <c r="C26" t="s">
        <v>1465</v>
      </c>
      <c r="D26" t="s">
        <v>204</v>
      </c>
      <c r="E26" s="3">
        <v>0</v>
      </c>
      <c r="F26" s="3">
        <v>2</v>
      </c>
      <c r="G26" s="3">
        <v>2</v>
      </c>
      <c r="H26" t="s">
        <v>1427</v>
      </c>
      <c r="I26" s="3">
        <v>2014</v>
      </c>
      <c r="J26" t="s">
        <v>7987</v>
      </c>
      <c r="K26" t="s">
        <v>1429</v>
      </c>
      <c r="L26" s="3">
        <v>1</v>
      </c>
      <c r="M26" t="s">
        <v>7988</v>
      </c>
      <c r="N26" s="3">
        <v>11.443300000000001</v>
      </c>
      <c r="O26" s="3">
        <v>1.6000000000000001E-3</v>
      </c>
      <c r="P26" s="3">
        <v>-1.6000000000000001E-3</v>
      </c>
      <c r="Q26" s="3">
        <v>0</v>
      </c>
      <c r="R26" s="3">
        <v>7.17E-2</v>
      </c>
      <c r="S26" s="3">
        <v>3.3999999999999998E-3</v>
      </c>
      <c r="T26" s="3">
        <v>-3.3999999999999998E-3</v>
      </c>
      <c r="U26" s="3">
        <v>0</v>
      </c>
      <c r="AD26" s="3">
        <v>5.35</v>
      </c>
      <c r="AE26" s="3">
        <v>0.75</v>
      </c>
      <c r="AF26" s="3">
        <v>-0.75</v>
      </c>
      <c r="AG26" s="3">
        <v>0</v>
      </c>
      <c r="AH26" s="3">
        <v>1.6832900000000001E-2</v>
      </c>
      <c r="AI26" s="3">
        <v>2.3597499999999999E-3</v>
      </c>
      <c r="AJ26" s="3">
        <v>-2.3597499999999999E-3</v>
      </c>
      <c r="AK26" s="3">
        <v>0</v>
      </c>
      <c r="AL26" t="s">
        <v>1426</v>
      </c>
      <c r="AM26" s="3">
        <v>0</v>
      </c>
      <c r="AP26" s="3">
        <v>0</v>
      </c>
      <c r="AU26" s="3">
        <v>550</v>
      </c>
      <c r="AX26" s="3">
        <v>0</v>
      </c>
      <c r="AY26" s="3">
        <v>0</v>
      </c>
      <c r="AZ26" t="s">
        <v>7988</v>
      </c>
      <c r="BA26" t="s">
        <v>7989</v>
      </c>
      <c r="BB26" s="3">
        <v>3567</v>
      </c>
      <c r="BC26" s="3">
        <v>11</v>
      </c>
      <c r="BD26" s="3">
        <v>-11</v>
      </c>
      <c r="BE26" s="3">
        <v>0</v>
      </c>
      <c r="BF26" s="3">
        <v>0.38629999999999998</v>
      </c>
      <c r="BG26" s="3">
        <v>2.0999999999999999E-3</v>
      </c>
      <c r="BH26" s="3">
        <v>-2.0999999999999999E-3</v>
      </c>
      <c r="BI26" s="3">
        <v>0</v>
      </c>
      <c r="BJ26" s="3">
        <v>0.375</v>
      </c>
      <c r="BK26" s="3">
        <v>5.7000000000000002E-2</v>
      </c>
      <c r="BL26" s="3">
        <v>-5.7000000000000002E-2</v>
      </c>
      <c r="BM26" s="3">
        <v>0</v>
      </c>
      <c r="BN26" s="3">
        <v>-0.32</v>
      </c>
      <c r="BO26" s="3">
        <v>0.17</v>
      </c>
      <c r="BP26" s="3">
        <v>-0.17</v>
      </c>
      <c r="BQ26" s="3">
        <v>0</v>
      </c>
      <c r="BR26" t="s">
        <v>7935</v>
      </c>
      <c r="BS26" s="3">
        <v>4.9000000000000004</v>
      </c>
      <c r="BT26" s="3">
        <v>0.17</v>
      </c>
      <c r="BU26" s="3">
        <v>-0.17</v>
      </c>
      <c r="BV26" s="3">
        <v>0</v>
      </c>
      <c r="BW26" t="s">
        <v>7936</v>
      </c>
      <c r="BX26" t="s">
        <v>7990</v>
      </c>
      <c r="BY26" s="3">
        <v>4.6126677000000003</v>
      </c>
      <c r="BZ26" t="s">
        <v>7991</v>
      </c>
      <c r="CA26" s="3">
        <v>44.024729600000001</v>
      </c>
      <c r="CB26" s="3">
        <v>3.5622799999999999</v>
      </c>
      <c r="CC26" s="3">
        <v>5.5000000000000003E-4</v>
      </c>
      <c r="CD26" s="3">
        <v>-5.5000000000000003E-4</v>
      </c>
      <c r="CE26" s="3">
        <v>8.09</v>
      </c>
      <c r="CF26" s="3">
        <v>0.1</v>
      </c>
      <c r="CG26" s="3">
        <v>-0.1</v>
      </c>
      <c r="CH26" s="3">
        <v>4.0179999999999998</v>
      </c>
      <c r="CI26" s="3">
        <v>0.02</v>
      </c>
      <c r="CJ26" s="3">
        <v>-0.02</v>
      </c>
      <c r="CK26" s="3">
        <v>7.2161999999999997</v>
      </c>
      <c r="CL26" s="3">
        <v>5.0699999999999996E-4</v>
      </c>
      <c r="CM26" s="3">
        <v>-5.0699999999999996E-4</v>
      </c>
      <c r="CN26" t="s">
        <v>1468</v>
      </c>
      <c r="CO26" t="s">
        <v>7992</v>
      </c>
      <c r="CP26" t="s">
        <v>7993</v>
      </c>
    </row>
    <row r="27" spans="1:94" x14ac:dyDescent="0.45">
      <c r="A27" t="s">
        <v>194</v>
      </c>
      <c r="B27">
        <v>0</v>
      </c>
      <c r="C27" t="s">
        <v>1465</v>
      </c>
      <c r="D27" t="s">
        <v>204</v>
      </c>
      <c r="E27" s="3">
        <v>0</v>
      </c>
      <c r="F27" s="3">
        <v>2</v>
      </c>
      <c r="G27" s="3">
        <v>2</v>
      </c>
      <c r="H27" t="s">
        <v>1427</v>
      </c>
      <c r="I27" s="3">
        <v>2014</v>
      </c>
      <c r="J27" t="s">
        <v>7987</v>
      </c>
      <c r="K27" t="s">
        <v>1429</v>
      </c>
      <c r="L27" s="3">
        <v>1</v>
      </c>
      <c r="M27" t="s">
        <v>7942</v>
      </c>
      <c r="N27" s="3">
        <v>11.443199999999999</v>
      </c>
      <c r="O27" s="3">
        <v>1.1999999999999999E-3</v>
      </c>
      <c r="P27" s="3">
        <v>-1.1999999999999999E-3</v>
      </c>
      <c r="Q27" s="3">
        <v>0</v>
      </c>
      <c r="R27" s="3">
        <v>7.3200000000000001E-2</v>
      </c>
      <c r="S27" s="3">
        <v>4.6999999999999999E-4</v>
      </c>
      <c r="T27" s="3">
        <v>-4.8000000000000001E-4</v>
      </c>
      <c r="U27" s="3">
        <v>0</v>
      </c>
      <c r="AD27" s="3">
        <v>5.4348657600000001</v>
      </c>
      <c r="AE27" s="3">
        <v>0.41317693</v>
      </c>
      <c r="AF27" s="3">
        <v>-0.41317693</v>
      </c>
      <c r="AG27" s="3">
        <v>0</v>
      </c>
      <c r="AH27" s="3">
        <v>1.7100000000000001E-2</v>
      </c>
      <c r="AI27" s="3">
        <v>1.2999999999999999E-3</v>
      </c>
      <c r="AJ27" s="3">
        <v>-1.2999999999999999E-3</v>
      </c>
      <c r="AK27" s="3">
        <v>0</v>
      </c>
      <c r="AL27" t="s">
        <v>1426</v>
      </c>
      <c r="AM27" s="3">
        <v>7.4999999999999997E-2</v>
      </c>
      <c r="AN27" s="3">
        <v>7.1999999999999995E-2</v>
      </c>
      <c r="AO27" s="3">
        <v>-5.1999999999999998E-2</v>
      </c>
      <c r="AP27" s="3">
        <v>0</v>
      </c>
      <c r="AY27" s="3">
        <v>0</v>
      </c>
      <c r="AZ27" t="s">
        <v>7942</v>
      </c>
      <c r="BB27" s="3">
        <v>3742.67</v>
      </c>
      <c r="BC27" s="3">
        <v>30.19</v>
      </c>
      <c r="BD27" s="3">
        <v>-30.19</v>
      </c>
      <c r="BE27" s="3">
        <v>0</v>
      </c>
      <c r="BF27" s="3">
        <v>0.37541099999999999</v>
      </c>
      <c r="BG27" s="3">
        <v>6.7749999999999998E-3</v>
      </c>
      <c r="BH27" s="3">
        <v>-6.7749999999999998E-3</v>
      </c>
      <c r="BI27" s="3">
        <v>0</v>
      </c>
      <c r="BJ27" s="3">
        <v>0.399648</v>
      </c>
      <c r="BK27" s="3">
        <v>7.7840000000000001E-3</v>
      </c>
      <c r="BL27" s="3">
        <v>-7.7840000000000001E-3</v>
      </c>
      <c r="BM27" s="3">
        <v>0</v>
      </c>
      <c r="BN27" s="3">
        <v>-0.3911</v>
      </c>
      <c r="BO27" s="3">
        <v>8.72E-2</v>
      </c>
      <c r="BP27" s="3">
        <v>-8.72E-2</v>
      </c>
      <c r="BQ27" s="3">
        <v>0</v>
      </c>
      <c r="BR27" t="s">
        <v>7935</v>
      </c>
      <c r="BS27" s="3">
        <v>4.8884220000000003</v>
      </c>
      <c r="BT27" s="3">
        <v>9.3310000000000008E-3</v>
      </c>
      <c r="BU27" s="3">
        <v>-9.3310000000000008E-3</v>
      </c>
      <c r="BV27" s="3">
        <v>0</v>
      </c>
      <c r="BW27" t="s">
        <v>7936</v>
      </c>
      <c r="BX27" t="s">
        <v>7990</v>
      </c>
      <c r="BY27" s="3">
        <v>4.6126677000000003</v>
      </c>
      <c r="BZ27" t="s">
        <v>7991</v>
      </c>
      <c r="CA27" s="3">
        <v>44.024729600000001</v>
      </c>
      <c r="CB27" s="3">
        <v>3.5622799999999999</v>
      </c>
      <c r="CC27" s="3">
        <v>5.5000000000000003E-4</v>
      </c>
      <c r="CD27" s="3">
        <v>-5.5000000000000003E-4</v>
      </c>
      <c r="CE27" s="3">
        <v>8.09</v>
      </c>
      <c r="CF27" s="3">
        <v>0.1</v>
      </c>
      <c r="CG27" s="3">
        <v>-0.1</v>
      </c>
      <c r="CH27" s="3">
        <v>4.0179999999999998</v>
      </c>
      <c r="CI27" s="3">
        <v>0.02</v>
      </c>
      <c r="CJ27" s="3">
        <v>-0.02</v>
      </c>
      <c r="CK27" s="3">
        <v>7.2161999999999997</v>
      </c>
      <c r="CL27" s="3">
        <v>5.0699999999999996E-4</v>
      </c>
      <c r="CM27" s="3">
        <v>-5.0699999999999996E-4</v>
      </c>
      <c r="CN27" t="s">
        <v>7943</v>
      </c>
      <c r="CO27" t="s">
        <v>7944</v>
      </c>
      <c r="CP27" t="s">
        <v>7943</v>
      </c>
    </row>
    <row r="28" spans="1:94" x14ac:dyDescent="0.45">
      <c r="A28" t="s">
        <v>194</v>
      </c>
      <c r="B28">
        <v>1</v>
      </c>
      <c r="C28" t="s">
        <v>1465</v>
      </c>
      <c r="D28" t="s">
        <v>204</v>
      </c>
      <c r="E28" s="3">
        <v>1</v>
      </c>
      <c r="F28" s="3">
        <v>2</v>
      </c>
      <c r="G28" s="3">
        <v>2</v>
      </c>
      <c r="H28" t="s">
        <v>1427</v>
      </c>
      <c r="I28" s="3">
        <v>2014</v>
      </c>
      <c r="J28" t="s">
        <v>7987</v>
      </c>
      <c r="K28" t="s">
        <v>1429</v>
      </c>
      <c r="L28" s="3">
        <v>1</v>
      </c>
      <c r="M28" t="s">
        <v>7994</v>
      </c>
      <c r="N28" s="3">
        <v>11.4407</v>
      </c>
      <c r="O28" s="3">
        <v>1.6999999999999999E-3</v>
      </c>
      <c r="P28" s="3">
        <v>-1.6000000000000001E-3</v>
      </c>
      <c r="Q28" s="3">
        <v>0</v>
      </c>
      <c r="R28" s="3">
        <v>7.1999999999999995E-2</v>
      </c>
      <c r="S28" s="3">
        <v>3.0000000000000001E-3</v>
      </c>
      <c r="T28" s="3">
        <v>-4.0000000000000001E-3</v>
      </c>
      <c r="U28" s="3">
        <v>0</v>
      </c>
      <c r="AD28" s="3">
        <v>3.03</v>
      </c>
      <c r="AE28" s="3">
        <v>0.46</v>
      </c>
      <c r="AF28" s="3">
        <v>-0.44</v>
      </c>
      <c r="AG28" s="3">
        <v>0</v>
      </c>
      <c r="AH28" s="3">
        <v>9.5333999999999992E-3</v>
      </c>
      <c r="AI28" s="3">
        <v>1.44731E-3</v>
      </c>
      <c r="AJ28" s="3">
        <v>-1.3843900000000001E-3</v>
      </c>
      <c r="AK28" s="3">
        <v>0</v>
      </c>
      <c r="AL28" t="s">
        <v>1426</v>
      </c>
      <c r="AM28" s="3">
        <v>9.4E-2</v>
      </c>
      <c r="AN28" s="3">
        <v>9.0999999999999998E-2</v>
      </c>
      <c r="AO28" s="3">
        <v>-6.5000000000000002E-2</v>
      </c>
      <c r="AP28" s="3">
        <v>0</v>
      </c>
      <c r="AY28" s="3">
        <v>0</v>
      </c>
      <c r="AZ28" t="s">
        <v>7994</v>
      </c>
      <c r="BA28" t="s">
        <v>1024</v>
      </c>
      <c r="BB28" s="3">
        <v>3607</v>
      </c>
      <c r="BC28" s="3">
        <v>68</v>
      </c>
      <c r="BD28" s="3">
        <v>-68</v>
      </c>
      <c r="BE28" s="3">
        <v>0</v>
      </c>
      <c r="BF28" s="3">
        <v>0.38</v>
      </c>
      <c r="BG28" s="3">
        <v>0.05</v>
      </c>
      <c r="BH28" s="3">
        <v>-0.05</v>
      </c>
      <c r="BI28" s="3">
        <v>0</v>
      </c>
      <c r="BJ28" s="3">
        <v>0.38</v>
      </c>
      <c r="BK28" s="3">
        <v>0.05</v>
      </c>
      <c r="BL28" s="3">
        <v>-0.05</v>
      </c>
      <c r="BM28" s="3">
        <v>0</v>
      </c>
      <c r="BN28" s="3">
        <v>-0.34</v>
      </c>
      <c r="BO28" s="3">
        <v>0.09</v>
      </c>
      <c r="BP28" s="3">
        <v>-0.09</v>
      </c>
      <c r="BQ28" s="3">
        <v>0</v>
      </c>
      <c r="BR28" t="s">
        <v>7935</v>
      </c>
      <c r="BS28" s="3">
        <v>4.87</v>
      </c>
      <c r="BT28" s="3">
        <v>0.04</v>
      </c>
      <c r="BU28" s="3">
        <v>-0.04</v>
      </c>
      <c r="BV28" s="3">
        <v>0</v>
      </c>
      <c r="BW28" t="s">
        <v>7936</v>
      </c>
      <c r="BX28" t="s">
        <v>7990</v>
      </c>
      <c r="BY28" s="3">
        <v>4.6126677000000003</v>
      </c>
      <c r="BZ28" t="s">
        <v>7991</v>
      </c>
      <c r="CA28" s="3">
        <v>44.024729600000001</v>
      </c>
      <c r="CB28" s="3">
        <v>3.5622799999999999</v>
      </c>
      <c r="CC28" s="3">
        <v>5.5000000000000003E-4</v>
      </c>
      <c r="CD28" s="3">
        <v>-5.5000000000000003E-4</v>
      </c>
      <c r="CE28" s="3">
        <v>8.09</v>
      </c>
      <c r="CF28" s="3">
        <v>0.1</v>
      </c>
      <c r="CG28" s="3">
        <v>-0.1</v>
      </c>
      <c r="CH28" s="3">
        <v>4.0179999999999998</v>
      </c>
      <c r="CI28" s="3">
        <v>0.02</v>
      </c>
      <c r="CJ28" s="3">
        <v>-0.02</v>
      </c>
      <c r="CK28" s="3">
        <v>7.2161999999999997</v>
      </c>
      <c r="CL28" s="3">
        <v>5.0699999999999996E-4</v>
      </c>
      <c r="CM28" s="3">
        <v>-5.0699999999999996E-4</v>
      </c>
      <c r="CN28" t="s">
        <v>1468</v>
      </c>
      <c r="CO28" t="s">
        <v>7995</v>
      </c>
      <c r="CP28" t="s">
        <v>7993</v>
      </c>
    </row>
    <row r="29" spans="1:94" x14ac:dyDescent="0.45">
      <c r="A29" t="s">
        <v>194</v>
      </c>
      <c r="B29">
        <v>1</v>
      </c>
      <c r="C29" t="s">
        <v>1469</v>
      </c>
      <c r="D29" t="s">
        <v>204</v>
      </c>
      <c r="E29" s="3">
        <v>1</v>
      </c>
      <c r="F29" s="3">
        <v>2</v>
      </c>
      <c r="G29" s="3">
        <v>2</v>
      </c>
      <c r="H29" t="s">
        <v>1427</v>
      </c>
      <c r="I29" s="3">
        <v>2018</v>
      </c>
      <c r="J29" t="s">
        <v>7996</v>
      </c>
      <c r="K29" t="s">
        <v>1429</v>
      </c>
      <c r="L29" s="3">
        <v>0</v>
      </c>
      <c r="M29" t="s">
        <v>7994</v>
      </c>
      <c r="N29" s="3">
        <v>7600</v>
      </c>
      <c r="O29" s="3">
        <v>2200</v>
      </c>
      <c r="P29" s="3">
        <v>-1700</v>
      </c>
      <c r="Q29" s="3">
        <v>0</v>
      </c>
      <c r="R29" s="3">
        <v>5.4</v>
      </c>
      <c r="S29" s="3">
        <v>1</v>
      </c>
      <c r="T29" s="3">
        <v>-0.9</v>
      </c>
      <c r="U29" s="3">
        <v>0</v>
      </c>
      <c r="AD29" s="3">
        <v>36</v>
      </c>
      <c r="AE29" s="3">
        <v>25</v>
      </c>
      <c r="AF29" s="3">
        <v>-18</v>
      </c>
      <c r="AG29" s="3">
        <v>0</v>
      </c>
      <c r="AH29" s="3">
        <v>0.1132681</v>
      </c>
      <c r="AI29" s="3">
        <v>7.8658400000000003E-2</v>
      </c>
      <c r="AJ29" s="3">
        <v>-5.6634049999999998E-2</v>
      </c>
      <c r="AK29" s="3">
        <v>0</v>
      </c>
      <c r="AL29" t="s">
        <v>1426</v>
      </c>
      <c r="AM29" s="3">
        <v>0.27</v>
      </c>
      <c r="AN29" s="3">
        <v>0.28000000000000003</v>
      </c>
      <c r="AO29" s="3">
        <v>-0.19</v>
      </c>
      <c r="AP29" s="3">
        <v>0</v>
      </c>
      <c r="AY29" s="3">
        <v>0</v>
      </c>
      <c r="AZ29" t="s">
        <v>7994</v>
      </c>
      <c r="BA29" t="s">
        <v>1024</v>
      </c>
      <c r="BB29" s="3">
        <v>3607</v>
      </c>
      <c r="BC29" s="3">
        <v>68</v>
      </c>
      <c r="BD29" s="3">
        <v>-68</v>
      </c>
      <c r="BE29" s="3">
        <v>0</v>
      </c>
      <c r="BF29" s="3">
        <v>0.38</v>
      </c>
      <c r="BG29" s="3">
        <v>0.05</v>
      </c>
      <c r="BH29" s="3">
        <v>-0.05</v>
      </c>
      <c r="BI29" s="3">
        <v>0</v>
      </c>
      <c r="BJ29" s="3">
        <v>0.38</v>
      </c>
      <c r="BK29" s="3">
        <v>0.05</v>
      </c>
      <c r="BL29" s="3">
        <v>-0.05</v>
      </c>
      <c r="BM29" s="3">
        <v>0</v>
      </c>
      <c r="BN29" s="3">
        <v>-0.34</v>
      </c>
      <c r="BO29" s="3">
        <v>0.09</v>
      </c>
      <c r="BP29" s="3">
        <v>-0.09</v>
      </c>
      <c r="BQ29" s="3">
        <v>0</v>
      </c>
      <c r="BR29" t="s">
        <v>7935</v>
      </c>
      <c r="BS29" s="3">
        <v>4.87</v>
      </c>
      <c r="BT29" s="3">
        <v>0.04</v>
      </c>
      <c r="BU29" s="3">
        <v>-0.04</v>
      </c>
      <c r="BV29" s="3">
        <v>0</v>
      </c>
      <c r="BW29" t="s">
        <v>7936</v>
      </c>
      <c r="BX29" t="s">
        <v>7990</v>
      </c>
      <c r="BY29" s="3">
        <v>4.6126677000000003</v>
      </c>
      <c r="BZ29" t="s">
        <v>7991</v>
      </c>
      <c r="CA29" s="3">
        <v>44.024729600000001</v>
      </c>
      <c r="CB29" s="3">
        <v>3.5622799999999999</v>
      </c>
      <c r="CC29" s="3">
        <v>5.5000000000000003E-4</v>
      </c>
      <c r="CD29" s="3">
        <v>-5.5000000000000003E-4</v>
      </c>
      <c r="CE29" s="3">
        <v>8.09</v>
      </c>
      <c r="CF29" s="3">
        <v>0.1</v>
      </c>
      <c r="CG29" s="3">
        <v>-0.1</v>
      </c>
      <c r="CH29" s="3">
        <v>4.0179999999999998</v>
      </c>
      <c r="CI29" s="3">
        <v>0.02</v>
      </c>
      <c r="CJ29" s="3">
        <v>-0.02</v>
      </c>
      <c r="CK29" s="3">
        <v>7.2161999999999997</v>
      </c>
      <c r="CL29" s="3">
        <v>5.0699999999999996E-4</v>
      </c>
      <c r="CM29" s="3">
        <v>-5.0699999999999996E-4</v>
      </c>
      <c r="CN29" t="s">
        <v>1468</v>
      </c>
      <c r="CO29" t="s">
        <v>7995</v>
      </c>
      <c r="CP29" t="s">
        <v>7993</v>
      </c>
    </row>
    <row r="30" spans="1:94" x14ac:dyDescent="0.45">
      <c r="A30" t="s">
        <v>513</v>
      </c>
      <c r="B30">
        <v>0</v>
      </c>
      <c r="C30" t="s">
        <v>1470</v>
      </c>
      <c r="D30" t="s">
        <v>514</v>
      </c>
      <c r="E30" s="3">
        <v>0</v>
      </c>
      <c r="F30" s="3">
        <v>3</v>
      </c>
      <c r="G30" s="3">
        <v>2</v>
      </c>
      <c r="H30" t="s">
        <v>1427</v>
      </c>
      <c r="I30" s="3">
        <v>2020</v>
      </c>
      <c r="J30" t="s">
        <v>7975</v>
      </c>
      <c r="K30" t="s">
        <v>1429</v>
      </c>
      <c r="L30" s="3">
        <v>1</v>
      </c>
      <c r="M30" t="s">
        <v>7997</v>
      </c>
      <c r="N30" s="3">
        <v>121.995</v>
      </c>
      <c r="O30" s="3">
        <v>0.161</v>
      </c>
      <c r="P30" s="3">
        <v>-0.161</v>
      </c>
      <c r="Q30" s="3">
        <v>0</v>
      </c>
      <c r="R30" s="3">
        <v>0.33900000000000002</v>
      </c>
      <c r="S30" s="3">
        <v>1.0999999999999999E-2</v>
      </c>
      <c r="T30" s="3">
        <v>-1.0999999999999999E-2</v>
      </c>
      <c r="U30" s="3">
        <v>0</v>
      </c>
      <c r="AD30" s="3">
        <v>7.2679999999999998</v>
      </c>
      <c r="AE30" s="3">
        <v>1.256</v>
      </c>
      <c r="AF30" s="3">
        <v>-1.256</v>
      </c>
      <c r="AG30" s="3">
        <v>0</v>
      </c>
      <c r="AH30" s="3">
        <v>2.286757E-2</v>
      </c>
      <c r="AI30" s="3">
        <v>3.9518000000000001E-3</v>
      </c>
      <c r="AJ30" s="3">
        <v>-3.9518000000000001E-3</v>
      </c>
      <c r="AK30" s="3">
        <v>0</v>
      </c>
      <c r="AL30" t="s">
        <v>1426</v>
      </c>
      <c r="AM30" s="3">
        <v>0.19</v>
      </c>
      <c r="AN30" s="3">
        <v>0.08</v>
      </c>
      <c r="AO30" s="3">
        <v>-0.08</v>
      </c>
      <c r="AP30" s="3">
        <v>0</v>
      </c>
      <c r="AY30" s="3">
        <v>0</v>
      </c>
      <c r="AZ30" t="s">
        <v>7997</v>
      </c>
      <c r="BJ30" s="3">
        <v>0.57999999999999996</v>
      </c>
      <c r="BM30" s="3">
        <v>0</v>
      </c>
      <c r="BW30" t="s">
        <v>7936</v>
      </c>
      <c r="BX30" t="s">
        <v>7998</v>
      </c>
      <c r="BY30" s="3">
        <v>92.643599300000005</v>
      </c>
      <c r="BZ30" t="s">
        <v>7999</v>
      </c>
      <c r="CA30" s="3">
        <v>-21.867723300000002</v>
      </c>
      <c r="CB30" s="3">
        <v>5.75624</v>
      </c>
      <c r="CC30" s="3">
        <v>1.5250000000000001E-3</v>
      </c>
      <c r="CD30" s="3">
        <v>-1.5250000000000001E-3</v>
      </c>
      <c r="CE30" s="3">
        <v>8.15</v>
      </c>
      <c r="CF30" s="3">
        <v>0.1</v>
      </c>
      <c r="CG30" s="3">
        <v>-0.1</v>
      </c>
      <c r="CH30" s="3">
        <v>4.1660000000000004</v>
      </c>
      <c r="CI30" s="3">
        <v>0.23200000000000001</v>
      </c>
      <c r="CJ30" s="3">
        <v>-0.23200000000000001</v>
      </c>
      <c r="CK30" s="3">
        <v>7.3072400000000002</v>
      </c>
      <c r="CL30" s="3">
        <v>6.1700000000000004E-4</v>
      </c>
      <c r="CM30" s="3">
        <v>-6.1700000000000004E-4</v>
      </c>
      <c r="CN30" t="s">
        <v>1518</v>
      </c>
      <c r="CO30" t="s">
        <v>8000</v>
      </c>
      <c r="CP30" t="s">
        <v>8001</v>
      </c>
    </row>
    <row r="31" spans="1:94" x14ac:dyDescent="0.45">
      <c r="A31" t="s">
        <v>513</v>
      </c>
      <c r="B31">
        <v>1</v>
      </c>
      <c r="C31" t="s">
        <v>1470</v>
      </c>
      <c r="D31" t="s">
        <v>514</v>
      </c>
      <c r="E31" s="3">
        <v>1</v>
      </c>
      <c r="F31" s="3">
        <v>3</v>
      </c>
      <c r="G31" s="3">
        <v>2</v>
      </c>
      <c r="H31" t="s">
        <v>1427</v>
      </c>
      <c r="I31" s="3">
        <v>2020</v>
      </c>
      <c r="J31" t="s">
        <v>7975</v>
      </c>
      <c r="K31" t="s">
        <v>1429</v>
      </c>
      <c r="L31" s="3">
        <v>1</v>
      </c>
      <c r="M31" t="s">
        <v>8002</v>
      </c>
      <c r="N31" s="3">
        <v>121.93268</v>
      </c>
      <c r="O31" s="3">
        <v>6.7080000000000001E-2</v>
      </c>
      <c r="P31" s="3">
        <v>-8.158E-2</v>
      </c>
      <c r="Q31" s="3">
        <v>0</v>
      </c>
      <c r="R31" s="3">
        <v>0.38400000000000001</v>
      </c>
      <c r="S31" s="3">
        <v>5.0000000000000001E-3</v>
      </c>
      <c r="T31" s="3">
        <v>-5.0000000000000001E-3</v>
      </c>
      <c r="U31" s="3">
        <v>0</v>
      </c>
      <c r="AD31" s="3">
        <v>8.5813669899999994</v>
      </c>
      <c r="AE31" s="3">
        <v>0.63565680999999996</v>
      </c>
      <c r="AF31" s="3">
        <v>-0.63565680999999996</v>
      </c>
      <c r="AG31" s="3">
        <v>0</v>
      </c>
      <c r="AH31" s="3">
        <v>2.7E-2</v>
      </c>
      <c r="AI31" s="3">
        <v>2E-3</v>
      </c>
      <c r="AJ31" s="3">
        <v>-2E-3</v>
      </c>
      <c r="AK31" s="3">
        <v>0</v>
      </c>
      <c r="AL31" t="s">
        <v>1426</v>
      </c>
      <c r="AM31" s="3">
        <v>0.36599999999999999</v>
      </c>
      <c r="AN31" s="3">
        <v>6.5000000000000002E-2</v>
      </c>
      <c r="AO31" s="3">
        <v>-6.3E-2</v>
      </c>
      <c r="AP31" s="3">
        <v>0</v>
      </c>
      <c r="AY31" s="3">
        <v>0</v>
      </c>
      <c r="AZ31" t="s">
        <v>8002</v>
      </c>
      <c r="BJ31" s="3">
        <v>0.50900000000000001</v>
      </c>
      <c r="BK31" s="3">
        <v>0.02</v>
      </c>
      <c r="BL31" s="3">
        <v>-0.02</v>
      </c>
      <c r="BM31" s="3">
        <v>0</v>
      </c>
      <c r="BW31" t="s">
        <v>7936</v>
      </c>
      <c r="BX31" t="s">
        <v>7998</v>
      </c>
      <c r="BY31" s="3">
        <v>92.643599300000005</v>
      </c>
      <c r="BZ31" t="s">
        <v>7999</v>
      </c>
      <c r="CA31" s="3">
        <v>-21.867723300000002</v>
      </c>
      <c r="CB31" s="3">
        <v>5.75624</v>
      </c>
      <c r="CC31" s="3">
        <v>1.5250000000000001E-3</v>
      </c>
      <c r="CD31" s="3">
        <v>-1.5250000000000001E-3</v>
      </c>
      <c r="CE31" s="3">
        <v>8.15</v>
      </c>
      <c r="CF31" s="3">
        <v>0.1</v>
      </c>
      <c r="CG31" s="3">
        <v>-0.1</v>
      </c>
      <c r="CH31" s="3">
        <v>4.1660000000000004</v>
      </c>
      <c r="CI31" s="3">
        <v>0.23200000000000001</v>
      </c>
      <c r="CJ31" s="3">
        <v>-0.23200000000000001</v>
      </c>
      <c r="CK31" s="3">
        <v>7.3072400000000002</v>
      </c>
      <c r="CL31" s="3">
        <v>6.1700000000000004E-4</v>
      </c>
      <c r="CM31" s="3">
        <v>-6.1700000000000004E-4</v>
      </c>
      <c r="CN31" t="s">
        <v>1473</v>
      </c>
      <c r="CO31" t="s">
        <v>8003</v>
      </c>
      <c r="CP31" t="s">
        <v>1473</v>
      </c>
    </row>
    <row r="32" spans="1:94" x14ac:dyDescent="0.45">
      <c r="A32" t="s">
        <v>513</v>
      </c>
      <c r="B32">
        <v>1</v>
      </c>
      <c r="C32" t="s">
        <v>1474</v>
      </c>
      <c r="D32" t="s">
        <v>514</v>
      </c>
      <c r="E32" s="3">
        <v>1</v>
      </c>
      <c r="F32" s="3">
        <v>3</v>
      </c>
      <c r="G32" s="3">
        <v>2</v>
      </c>
      <c r="H32" t="s">
        <v>1427</v>
      </c>
      <c r="I32" s="3">
        <v>2014</v>
      </c>
      <c r="J32" t="s">
        <v>7932</v>
      </c>
      <c r="K32" t="s">
        <v>1429</v>
      </c>
      <c r="L32" s="3">
        <v>1</v>
      </c>
      <c r="M32" t="s">
        <v>8002</v>
      </c>
      <c r="N32" s="3">
        <v>579.47495000000004</v>
      </c>
      <c r="O32" s="3">
        <v>1.6794199999999999</v>
      </c>
      <c r="P32" s="3">
        <v>-1.41414</v>
      </c>
      <c r="Q32" s="3">
        <v>0</v>
      </c>
      <c r="R32" s="3">
        <v>1.0860000000000001</v>
      </c>
      <c r="S32" s="3">
        <v>1.4999999999999999E-2</v>
      </c>
      <c r="T32" s="3">
        <v>-1.4999999999999999E-2</v>
      </c>
      <c r="U32" s="3">
        <v>0</v>
      </c>
      <c r="AD32" s="3">
        <v>14.93793513</v>
      </c>
      <c r="AE32" s="3">
        <v>0.95348522000000002</v>
      </c>
      <c r="AF32" s="3">
        <v>-1.2713136300000001</v>
      </c>
      <c r="AG32" s="3">
        <v>0</v>
      </c>
      <c r="AH32" s="3">
        <v>4.7E-2</v>
      </c>
      <c r="AI32" s="3">
        <v>3.0000000000000001E-3</v>
      </c>
      <c r="AJ32" s="3">
        <v>-4.0000000000000001E-3</v>
      </c>
      <c r="AK32" s="3">
        <v>0</v>
      </c>
      <c r="AL32" t="s">
        <v>1426</v>
      </c>
      <c r="AM32" s="3">
        <v>0.40400000000000003</v>
      </c>
      <c r="AN32" s="3">
        <v>0.105</v>
      </c>
      <c r="AO32" s="3">
        <v>-0.124</v>
      </c>
      <c r="AP32" s="3">
        <v>0</v>
      </c>
      <c r="AY32" s="3">
        <v>0</v>
      </c>
      <c r="AZ32" t="s">
        <v>8002</v>
      </c>
      <c r="BJ32" s="3">
        <v>0.50900000000000001</v>
      </c>
      <c r="BK32" s="3">
        <v>0.02</v>
      </c>
      <c r="BL32" s="3">
        <v>-0.02</v>
      </c>
      <c r="BM32" s="3">
        <v>0</v>
      </c>
      <c r="BW32" t="s">
        <v>7936</v>
      </c>
      <c r="BX32" t="s">
        <v>7998</v>
      </c>
      <c r="BY32" s="3">
        <v>92.643599300000005</v>
      </c>
      <c r="BZ32" t="s">
        <v>7999</v>
      </c>
      <c r="CA32" s="3">
        <v>-21.867723300000002</v>
      </c>
      <c r="CB32" s="3">
        <v>5.75624</v>
      </c>
      <c r="CC32" s="3">
        <v>1.5250000000000001E-3</v>
      </c>
      <c r="CD32" s="3">
        <v>-1.5250000000000001E-3</v>
      </c>
      <c r="CE32" s="3">
        <v>8.15</v>
      </c>
      <c r="CF32" s="3">
        <v>0.1</v>
      </c>
      <c r="CG32" s="3">
        <v>-0.1</v>
      </c>
      <c r="CH32" s="3">
        <v>4.1660000000000004</v>
      </c>
      <c r="CI32" s="3">
        <v>0.23200000000000001</v>
      </c>
      <c r="CJ32" s="3">
        <v>-0.23200000000000001</v>
      </c>
      <c r="CK32" s="3">
        <v>7.3072400000000002</v>
      </c>
      <c r="CL32" s="3">
        <v>6.1700000000000004E-4</v>
      </c>
      <c r="CM32" s="3">
        <v>-6.1700000000000004E-4</v>
      </c>
      <c r="CN32" t="s">
        <v>1473</v>
      </c>
      <c r="CO32" t="s">
        <v>8003</v>
      </c>
      <c r="CP32" t="s">
        <v>1473</v>
      </c>
    </row>
    <row r="33" spans="1:94" x14ac:dyDescent="0.45">
      <c r="A33" t="s">
        <v>513</v>
      </c>
      <c r="B33">
        <v>0</v>
      </c>
      <c r="C33" t="s">
        <v>1474</v>
      </c>
      <c r="D33" t="s">
        <v>514</v>
      </c>
      <c r="E33" s="3">
        <v>0</v>
      </c>
      <c r="F33" s="3">
        <v>3</v>
      </c>
      <c r="G33" s="3">
        <v>2</v>
      </c>
      <c r="H33" t="s">
        <v>1427</v>
      </c>
      <c r="I33" s="3">
        <v>2014</v>
      </c>
      <c r="J33" t="s">
        <v>7932</v>
      </c>
      <c r="K33" t="s">
        <v>1429</v>
      </c>
      <c r="L33" s="3">
        <v>1</v>
      </c>
      <c r="M33" t="s">
        <v>8004</v>
      </c>
      <c r="N33" s="3">
        <v>471</v>
      </c>
      <c r="O33" s="3">
        <v>22</v>
      </c>
      <c r="P33" s="3">
        <v>-12</v>
      </c>
      <c r="Q33" s="3">
        <v>0</v>
      </c>
      <c r="R33" s="3">
        <v>0.97</v>
      </c>
      <c r="S33" s="3">
        <v>0.12</v>
      </c>
      <c r="T33" s="3">
        <v>-0.09</v>
      </c>
      <c r="U33" s="3">
        <v>0</v>
      </c>
      <c r="AD33" s="3">
        <v>32</v>
      </c>
      <c r="AE33" s="3">
        <v>17</v>
      </c>
      <c r="AF33" s="3">
        <v>-16</v>
      </c>
      <c r="AG33" s="3">
        <v>0</v>
      </c>
      <c r="AH33" s="3">
        <v>0.10068275</v>
      </c>
      <c r="AI33" s="3">
        <v>5.3487710000000001E-2</v>
      </c>
      <c r="AJ33" s="3">
        <v>-5.0341379999999998E-2</v>
      </c>
      <c r="AK33" s="3">
        <v>0</v>
      </c>
      <c r="AL33" t="s">
        <v>1426</v>
      </c>
      <c r="AM33" s="3">
        <v>0.1</v>
      </c>
      <c r="AN33" s="3">
        <v>0.22</v>
      </c>
      <c r="AO33" s="3">
        <v>-0.1</v>
      </c>
      <c r="AP33" s="3">
        <v>0</v>
      </c>
      <c r="AY33" s="3">
        <v>0</v>
      </c>
      <c r="AZ33" t="s">
        <v>8004</v>
      </c>
      <c r="BA33" t="s">
        <v>8005</v>
      </c>
      <c r="BB33" s="3">
        <v>3564</v>
      </c>
      <c r="BE33" s="3">
        <v>0</v>
      </c>
      <c r="BJ33" s="3">
        <v>0.57999999999999996</v>
      </c>
      <c r="BM33" s="3">
        <v>0</v>
      </c>
      <c r="BW33" t="s">
        <v>7936</v>
      </c>
      <c r="BX33" t="s">
        <v>7998</v>
      </c>
      <c r="BY33" s="3">
        <v>92.643599300000005</v>
      </c>
      <c r="BZ33" t="s">
        <v>7999</v>
      </c>
      <c r="CA33" s="3">
        <v>-21.867723300000002</v>
      </c>
      <c r="CB33" s="3">
        <v>5.75624</v>
      </c>
      <c r="CC33" s="3">
        <v>1.5250000000000001E-3</v>
      </c>
      <c r="CD33" s="3">
        <v>-1.5250000000000001E-3</v>
      </c>
      <c r="CE33" s="3">
        <v>8.15</v>
      </c>
      <c r="CF33" s="3">
        <v>0.1</v>
      </c>
      <c r="CG33" s="3">
        <v>-0.1</v>
      </c>
      <c r="CH33" s="3">
        <v>4.1660000000000004</v>
      </c>
      <c r="CI33" s="3">
        <v>0.23200000000000001</v>
      </c>
      <c r="CJ33" s="3">
        <v>-0.23200000000000001</v>
      </c>
      <c r="CK33" s="3">
        <v>7.3072400000000002</v>
      </c>
      <c r="CL33" s="3">
        <v>6.1700000000000004E-4</v>
      </c>
      <c r="CM33" s="3">
        <v>-6.1700000000000004E-4</v>
      </c>
      <c r="CN33" t="s">
        <v>1520</v>
      </c>
      <c r="CO33" t="s">
        <v>8006</v>
      </c>
      <c r="CP33" t="s">
        <v>7993</v>
      </c>
    </row>
    <row r="34" spans="1:94" x14ac:dyDescent="0.45">
      <c r="A34" t="s">
        <v>513</v>
      </c>
      <c r="B34">
        <v>0</v>
      </c>
      <c r="C34" t="s">
        <v>1474</v>
      </c>
      <c r="D34" t="s">
        <v>514</v>
      </c>
      <c r="E34" s="3">
        <v>0</v>
      </c>
      <c r="F34" s="3">
        <v>3</v>
      </c>
      <c r="G34" s="3">
        <v>2</v>
      </c>
      <c r="H34" t="s">
        <v>1427</v>
      </c>
      <c r="I34" s="3">
        <v>2014</v>
      </c>
      <c r="J34" t="s">
        <v>7932</v>
      </c>
      <c r="K34" t="s">
        <v>1429</v>
      </c>
      <c r="L34" s="3">
        <v>1</v>
      </c>
      <c r="M34" t="s">
        <v>7997</v>
      </c>
      <c r="N34" s="3">
        <v>526.11500000000001</v>
      </c>
      <c r="O34" s="3">
        <v>4.3</v>
      </c>
      <c r="P34" s="3">
        <v>-4.3</v>
      </c>
      <c r="Q34" s="3">
        <v>0</v>
      </c>
      <c r="R34" s="3">
        <v>0.89800000000000002</v>
      </c>
      <c r="S34" s="3">
        <v>3.1E-2</v>
      </c>
      <c r="T34" s="3">
        <v>-3.1E-2</v>
      </c>
      <c r="U34" s="3">
        <v>0</v>
      </c>
      <c r="AD34" s="3">
        <v>8.4779999999999998</v>
      </c>
      <c r="AE34" s="3">
        <v>2.0329999999999999</v>
      </c>
      <c r="AF34" s="3">
        <v>-2.0329999999999999</v>
      </c>
      <c r="AG34" s="3">
        <v>0</v>
      </c>
      <c r="AH34" s="3">
        <v>2.6674639999999999E-2</v>
      </c>
      <c r="AI34" s="3">
        <v>6.3965000000000003E-3</v>
      </c>
      <c r="AJ34" s="3">
        <v>-6.3965000000000003E-3</v>
      </c>
      <c r="AK34" s="3">
        <v>0</v>
      </c>
      <c r="AL34" t="s">
        <v>1426</v>
      </c>
      <c r="AM34" s="3">
        <v>0.1</v>
      </c>
      <c r="AN34" s="3">
        <v>0.06</v>
      </c>
      <c r="AO34" s="3">
        <v>-0.06</v>
      </c>
      <c r="AP34" s="3">
        <v>0</v>
      </c>
      <c r="AY34" s="3">
        <v>0</v>
      </c>
      <c r="AZ34" t="s">
        <v>7997</v>
      </c>
      <c r="BJ34" s="3">
        <v>0.57999999999999996</v>
      </c>
      <c r="BM34" s="3">
        <v>0</v>
      </c>
      <c r="BW34" t="s">
        <v>7936</v>
      </c>
      <c r="BX34" t="s">
        <v>7998</v>
      </c>
      <c r="BY34" s="3">
        <v>92.643599300000005</v>
      </c>
      <c r="BZ34" t="s">
        <v>7999</v>
      </c>
      <c r="CA34" s="3">
        <v>-21.867723300000002</v>
      </c>
      <c r="CB34" s="3">
        <v>5.75624</v>
      </c>
      <c r="CC34" s="3">
        <v>1.5250000000000001E-3</v>
      </c>
      <c r="CD34" s="3">
        <v>-1.5250000000000001E-3</v>
      </c>
      <c r="CE34" s="3">
        <v>8.15</v>
      </c>
      <c r="CF34" s="3">
        <v>0.1</v>
      </c>
      <c r="CG34" s="3">
        <v>-0.1</v>
      </c>
      <c r="CH34" s="3">
        <v>4.1660000000000004</v>
      </c>
      <c r="CI34" s="3">
        <v>0.23200000000000001</v>
      </c>
      <c r="CJ34" s="3">
        <v>-0.23200000000000001</v>
      </c>
      <c r="CK34" s="3">
        <v>7.3072400000000002</v>
      </c>
      <c r="CL34" s="3">
        <v>6.1700000000000004E-4</v>
      </c>
      <c r="CM34" s="3">
        <v>-6.1700000000000004E-4</v>
      </c>
      <c r="CN34" t="s">
        <v>1520</v>
      </c>
      <c r="CO34" t="s">
        <v>8000</v>
      </c>
      <c r="CP34" t="s">
        <v>8001</v>
      </c>
    </row>
    <row r="35" spans="1:94" x14ac:dyDescent="0.45">
      <c r="A35" t="s">
        <v>529</v>
      </c>
      <c r="B35">
        <v>1</v>
      </c>
      <c r="C35" t="s">
        <v>1475</v>
      </c>
      <c r="D35" t="s">
        <v>530</v>
      </c>
      <c r="E35" s="3">
        <v>1</v>
      </c>
      <c r="F35" s="3">
        <v>1</v>
      </c>
      <c r="G35" s="3">
        <v>2</v>
      </c>
      <c r="H35" t="s">
        <v>1427</v>
      </c>
      <c r="I35" s="3">
        <v>2020</v>
      </c>
      <c r="J35" t="s">
        <v>7987</v>
      </c>
      <c r="K35" t="s">
        <v>1429</v>
      </c>
      <c r="L35" s="3">
        <v>0</v>
      </c>
      <c r="M35" t="s">
        <v>8007</v>
      </c>
      <c r="N35" s="3">
        <v>14.237</v>
      </c>
      <c r="O35" s="3">
        <v>1.5E-3</v>
      </c>
      <c r="P35" s="3">
        <v>-1.5E-3</v>
      </c>
      <c r="Q35" s="3">
        <v>0</v>
      </c>
      <c r="R35" s="3">
        <v>8.0799999999999997E-2</v>
      </c>
      <c r="S35" s="3">
        <v>4.1999999999999997E-3</v>
      </c>
      <c r="T35" s="3">
        <v>-4.1999999999999997E-3</v>
      </c>
      <c r="U35" s="3">
        <v>0</v>
      </c>
      <c r="AD35" s="3">
        <v>3.85</v>
      </c>
      <c r="AE35" s="3">
        <v>0.35</v>
      </c>
      <c r="AF35" s="3">
        <v>-0.33</v>
      </c>
      <c r="AG35" s="3">
        <v>0</v>
      </c>
      <c r="AH35" s="3">
        <v>1.211345E-2</v>
      </c>
      <c r="AI35" s="3">
        <v>1.10122E-3</v>
      </c>
      <c r="AJ35" s="3">
        <v>-1.0383E-3</v>
      </c>
      <c r="AK35" s="3">
        <v>0</v>
      </c>
      <c r="AL35" t="s">
        <v>1426</v>
      </c>
      <c r="AM35" s="3">
        <v>0</v>
      </c>
      <c r="AP35" s="3">
        <v>0</v>
      </c>
      <c r="AQ35" s="3">
        <v>2.37</v>
      </c>
      <c r="AR35" s="3">
        <v>0.26</v>
      </c>
      <c r="AS35" s="3">
        <v>-0.26</v>
      </c>
      <c r="AT35" s="3">
        <v>0</v>
      </c>
      <c r="AU35" s="3">
        <v>336</v>
      </c>
      <c r="AV35" s="3">
        <v>1</v>
      </c>
      <c r="AW35" s="3">
        <v>-1</v>
      </c>
      <c r="AX35" s="3">
        <v>0</v>
      </c>
      <c r="AY35" s="3">
        <v>0</v>
      </c>
      <c r="AZ35" t="s">
        <v>8007</v>
      </c>
      <c r="BB35" s="3">
        <v>3342</v>
      </c>
      <c r="BC35" s="3">
        <v>24</v>
      </c>
      <c r="BD35" s="3">
        <v>-24</v>
      </c>
      <c r="BE35" s="3">
        <v>0</v>
      </c>
      <c r="BF35" s="3">
        <v>0.36</v>
      </c>
      <c r="BG35" s="3">
        <v>0.01</v>
      </c>
      <c r="BH35" s="3">
        <v>-0.01</v>
      </c>
      <c r="BI35" s="3">
        <v>0</v>
      </c>
      <c r="BJ35" s="3">
        <v>0.35</v>
      </c>
      <c r="BK35" s="3">
        <v>0.05</v>
      </c>
      <c r="BL35" s="3">
        <v>-0.04</v>
      </c>
      <c r="BM35" s="3">
        <v>0</v>
      </c>
      <c r="BN35" s="3">
        <v>7.0000000000000007E-2</v>
      </c>
      <c r="BO35" s="3">
        <v>7.0000000000000007E-2</v>
      </c>
      <c r="BP35" s="3">
        <v>-0.06</v>
      </c>
      <c r="BQ35" s="3">
        <v>0</v>
      </c>
      <c r="BR35" t="s">
        <v>7935</v>
      </c>
      <c r="BS35" s="3">
        <v>4.87</v>
      </c>
      <c r="BT35" s="3">
        <v>0.05</v>
      </c>
      <c r="BU35" s="3">
        <v>-0.05</v>
      </c>
      <c r="BV35" s="3">
        <v>0</v>
      </c>
      <c r="BW35" t="s">
        <v>7936</v>
      </c>
      <c r="BX35" t="s">
        <v>8008</v>
      </c>
      <c r="BY35" s="3">
        <v>103.7002499</v>
      </c>
      <c r="BZ35" t="s">
        <v>8009</v>
      </c>
      <c r="CA35" s="3">
        <v>33.266463199999997</v>
      </c>
      <c r="CB35" s="3">
        <v>5.5805699999999998</v>
      </c>
      <c r="CC35" s="3">
        <v>1.98E-3</v>
      </c>
      <c r="CD35" s="3">
        <v>-1.98E-3</v>
      </c>
      <c r="CE35" s="3">
        <v>9.89</v>
      </c>
      <c r="CF35" s="3">
        <v>0.1</v>
      </c>
      <c r="CG35" s="3">
        <v>-0.1</v>
      </c>
      <c r="CH35" s="3">
        <v>5.2750000000000004</v>
      </c>
      <c r="CI35" s="3">
        <v>2.3E-2</v>
      </c>
      <c r="CJ35" s="3">
        <v>-2.3E-2</v>
      </c>
      <c r="CK35" s="3">
        <v>8.8551800000000007</v>
      </c>
      <c r="CL35" s="3">
        <v>1.134E-3</v>
      </c>
      <c r="CM35" s="3">
        <v>-1.134E-3</v>
      </c>
      <c r="CN35" t="s">
        <v>1478</v>
      </c>
      <c r="CO35" t="s">
        <v>8010</v>
      </c>
      <c r="CP35" t="s">
        <v>1478</v>
      </c>
    </row>
    <row r="36" spans="1:94" x14ac:dyDescent="0.45">
      <c r="A36" t="s">
        <v>529</v>
      </c>
      <c r="B36">
        <v>0</v>
      </c>
      <c r="C36" t="s">
        <v>1475</v>
      </c>
      <c r="D36" t="s">
        <v>530</v>
      </c>
      <c r="E36" s="3">
        <v>0</v>
      </c>
      <c r="F36" s="3">
        <v>1</v>
      </c>
      <c r="G36" s="3">
        <v>2</v>
      </c>
      <c r="H36" t="s">
        <v>1427</v>
      </c>
      <c r="I36" s="3">
        <v>2020</v>
      </c>
      <c r="J36" t="s">
        <v>7987</v>
      </c>
      <c r="K36" t="s">
        <v>1429</v>
      </c>
      <c r="L36" s="3">
        <v>0</v>
      </c>
      <c r="M36" t="s">
        <v>8011</v>
      </c>
      <c r="N36" s="3">
        <v>14.238</v>
      </c>
      <c r="O36" s="3">
        <v>2E-3</v>
      </c>
      <c r="P36" s="3">
        <v>-2E-3</v>
      </c>
      <c r="Q36" s="3">
        <v>0</v>
      </c>
      <c r="R36" s="3">
        <v>8.1799999999999998E-2</v>
      </c>
      <c r="S36" s="3">
        <v>1.1000000000000001E-3</v>
      </c>
      <c r="T36" s="3">
        <v>-1.1999999999999999E-3</v>
      </c>
      <c r="U36" s="3">
        <v>0</v>
      </c>
      <c r="AD36" s="3">
        <v>4</v>
      </c>
      <c r="AE36" s="3">
        <v>0.4</v>
      </c>
      <c r="AF36" s="3">
        <v>-0.4</v>
      </c>
      <c r="AG36" s="3">
        <v>0</v>
      </c>
      <c r="AH36" s="3">
        <v>1.258534E-2</v>
      </c>
      <c r="AI36" s="3">
        <v>1.2585299999999999E-3</v>
      </c>
      <c r="AJ36" s="3">
        <v>-1.2585299999999999E-3</v>
      </c>
      <c r="AK36" s="3">
        <v>0</v>
      </c>
      <c r="AL36" t="s">
        <v>1426</v>
      </c>
      <c r="AM36" s="3">
        <v>0.1</v>
      </c>
      <c r="AN36" s="3">
        <v>0.09</v>
      </c>
      <c r="AO36" s="3">
        <v>-7.0000000000000007E-2</v>
      </c>
      <c r="AP36" s="3">
        <v>0</v>
      </c>
      <c r="AQ36" s="3">
        <v>2.5299999999999998</v>
      </c>
      <c r="AR36" s="3">
        <v>0.04</v>
      </c>
      <c r="AS36" s="3">
        <v>-0.04</v>
      </c>
      <c r="AT36" s="3">
        <v>0</v>
      </c>
      <c r="AU36" s="3">
        <v>351</v>
      </c>
      <c r="AV36" s="3">
        <v>1.4</v>
      </c>
      <c r="AW36" s="3">
        <v>-1.3</v>
      </c>
      <c r="AX36" s="3">
        <v>0</v>
      </c>
      <c r="AY36" s="3">
        <v>0</v>
      </c>
      <c r="AZ36" t="s">
        <v>8011</v>
      </c>
      <c r="BA36" t="s">
        <v>8012</v>
      </c>
      <c r="BB36" s="3">
        <v>3451</v>
      </c>
      <c r="BC36" s="3">
        <v>51</v>
      </c>
      <c r="BD36" s="3">
        <v>-51</v>
      </c>
      <c r="BE36" s="3">
        <v>0</v>
      </c>
      <c r="BF36" s="3">
        <v>0.36399999999999999</v>
      </c>
      <c r="BG36" s="3">
        <v>1.0999999999999999E-2</v>
      </c>
      <c r="BH36" s="3">
        <v>-1.0999999999999999E-2</v>
      </c>
      <c r="BI36" s="3">
        <v>0</v>
      </c>
      <c r="BJ36" s="3">
        <v>0.36</v>
      </c>
      <c r="BK36" s="3">
        <v>1.4999999999999999E-2</v>
      </c>
      <c r="BL36" s="3">
        <v>-1.4999999999999999E-2</v>
      </c>
      <c r="BM36" s="3">
        <v>0</v>
      </c>
      <c r="BN36" s="3">
        <v>-0.03</v>
      </c>
      <c r="BO36" s="3">
        <v>0.16</v>
      </c>
      <c r="BP36" s="3">
        <v>-0.16</v>
      </c>
      <c r="BQ36" s="3">
        <v>0</v>
      </c>
      <c r="BR36" t="s">
        <v>7935</v>
      </c>
      <c r="BS36" s="3">
        <v>4.96</v>
      </c>
      <c r="BT36" s="3">
        <v>7.0000000000000007E-2</v>
      </c>
      <c r="BU36" s="3">
        <v>-7.0000000000000007E-2</v>
      </c>
      <c r="BV36" s="3">
        <v>0</v>
      </c>
      <c r="BW36" t="s">
        <v>7936</v>
      </c>
      <c r="BX36" t="s">
        <v>8008</v>
      </c>
      <c r="BY36" s="3">
        <v>103.7002499</v>
      </c>
      <c r="BZ36" t="s">
        <v>8009</v>
      </c>
      <c r="CA36" s="3">
        <v>33.266463199999997</v>
      </c>
      <c r="CB36" s="3">
        <v>5.5805699999999998</v>
      </c>
      <c r="CC36" s="3">
        <v>1.98E-3</v>
      </c>
      <c r="CD36" s="3">
        <v>-1.98E-3</v>
      </c>
      <c r="CE36" s="3">
        <v>9.89</v>
      </c>
      <c r="CF36" s="3">
        <v>0.1</v>
      </c>
      <c r="CG36" s="3">
        <v>-0.1</v>
      </c>
      <c r="CH36" s="3">
        <v>5.2750000000000004</v>
      </c>
      <c r="CI36" s="3">
        <v>2.3E-2</v>
      </c>
      <c r="CJ36" s="3">
        <v>-2.3E-2</v>
      </c>
      <c r="CK36" s="3">
        <v>8.8551800000000007</v>
      </c>
      <c r="CL36" s="3">
        <v>1.134E-3</v>
      </c>
      <c r="CM36" s="3">
        <v>-1.134E-3</v>
      </c>
      <c r="CN36" t="s">
        <v>8013</v>
      </c>
      <c r="CO36" t="s">
        <v>8014</v>
      </c>
      <c r="CP36" t="s">
        <v>8015</v>
      </c>
    </row>
    <row r="37" spans="1:94" x14ac:dyDescent="0.45">
      <c r="A37" t="s">
        <v>529</v>
      </c>
      <c r="B37">
        <v>1</v>
      </c>
      <c r="C37" t="s">
        <v>1479</v>
      </c>
      <c r="D37" t="s">
        <v>530</v>
      </c>
      <c r="E37" s="3">
        <v>1</v>
      </c>
      <c r="F37" s="3">
        <v>1</v>
      </c>
      <c r="G37" s="3">
        <v>2</v>
      </c>
      <c r="H37" t="s">
        <v>1427</v>
      </c>
      <c r="I37" s="3">
        <v>2025</v>
      </c>
      <c r="J37" t="s">
        <v>7932</v>
      </c>
      <c r="K37" t="s">
        <v>1429</v>
      </c>
      <c r="L37" s="3">
        <v>0</v>
      </c>
      <c r="M37" t="s">
        <v>8007</v>
      </c>
      <c r="N37" s="3">
        <v>53.646999999999998</v>
      </c>
      <c r="O37" s="3">
        <v>4.3999999999999997E-2</v>
      </c>
      <c r="P37" s="3">
        <v>-4.3999999999999997E-2</v>
      </c>
      <c r="Q37" s="3">
        <v>0</v>
      </c>
      <c r="R37" s="3">
        <v>0.19600000000000001</v>
      </c>
      <c r="S37" s="3">
        <v>1.4E-2</v>
      </c>
      <c r="T37" s="3">
        <v>-1.4E-2</v>
      </c>
      <c r="U37" s="3">
        <v>0</v>
      </c>
      <c r="AD37" s="3">
        <v>3.88</v>
      </c>
      <c r="AE37" s="3">
        <v>0.79</v>
      </c>
      <c r="AF37" s="3">
        <v>-0.79</v>
      </c>
      <c r="AG37" s="3">
        <v>0</v>
      </c>
      <c r="AH37" s="3">
        <v>1.2207849999999999E-2</v>
      </c>
      <c r="AI37" s="3">
        <v>2.48562E-3</v>
      </c>
      <c r="AJ37" s="3">
        <v>-2.48562E-3</v>
      </c>
      <c r="AK37" s="3">
        <v>0</v>
      </c>
      <c r="AL37" t="s">
        <v>1426</v>
      </c>
      <c r="AM37" s="3">
        <v>0</v>
      </c>
      <c r="AP37" s="3">
        <v>0</v>
      </c>
      <c r="AQ37" s="3">
        <v>0.40400000000000003</v>
      </c>
      <c r="AR37" s="3">
        <v>5.8999999999999997E-2</v>
      </c>
      <c r="AS37" s="3">
        <v>-5.8999999999999997E-2</v>
      </c>
      <c r="AT37" s="3">
        <v>0</v>
      </c>
      <c r="AU37" s="3">
        <v>216</v>
      </c>
      <c r="AV37" s="3">
        <v>0.8</v>
      </c>
      <c r="AW37" s="3">
        <v>-0.8</v>
      </c>
      <c r="AX37" s="3">
        <v>0</v>
      </c>
      <c r="AY37" s="3">
        <v>0</v>
      </c>
      <c r="AZ37" t="s">
        <v>8007</v>
      </c>
      <c r="BB37" s="3">
        <v>3342</v>
      </c>
      <c r="BC37" s="3">
        <v>24</v>
      </c>
      <c r="BD37" s="3">
        <v>-24</v>
      </c>
      <c r="BE37" s="3">
        <v>0</v>
      </c>
      <c r="BF37" s="3">
        <v>0.36</v>
      </c>
      <c r="BG37" s="3">
        <v>0.01</v>
      </c>
      <c r="BH37" s="3">
        <v>-0.01</v>
      </c>
      <c r="BI37" s="3">
        <v>0</v>
      </c>
      <c r="BJ37" s="3">
        <v>0.35</v>
      </c>
      <c r="BK37" s="3">
        <v>0.05</v>
      </c>
      <c r="BL37" s="3">
        <v>-0.04</v>
      </c>
      <c r="BM37" s="3">
        <v>0</v>
      </c>
      <c r="BN37" s="3">
        <v>7.0000000000000007E-2</v>
      </c>
      <c r="BO37" s="3">
        <v>7.0000000000000007E-2</v>
      </c>
      <c r="BP37" s="3">
        <v>-0.06</v>
      </c>
      <c r="BQ37" s="3">
        <v>0</v>
      </c>
      <c r="BR37" t="s">
        <v>7935</v>
      </c>
      <c r="BS37" s="3">
        <v>4.87</v>
      </c>
      <c r="BT37" s="3">
        <v>0.05</v>
      </c>
      <c r="BU37" s="3">
        <v>-0.05</v>
      </c>
      <c r="BV37" s="3">
        <v>0</v>
      </c>
      <c r="BW37" t="s">
        <v>7936</v>
      </c>
      <c r="BX37" t="s">
        <v>8008</v>
      </c>
      <c r="BY37" s="3">
        <v>103.7002499</v>
      </c>
      <c r="BZ37" t="s">
        <v>8009</v>
      </c>
      <c r="CA37" s="3">
        <v>33.266463199999997</v>
      </c>
      <c r="CB37" s="3">
        <v>5.5805699999999998</v>
      </c>
      <c r="CC37" s="3">
        <v>1.98E-3</v>
      </c>
      <c r="CD37" s="3">
        <v>-1.98E-3</v>
      </c>
      <c r="CE37" s="3">
        <v>9.89</v>
      </c>
      <c r="CF37" s="3">
        <v>0.1</v>
      </c>
      <c r="CG37" s="3">
        <v>-0.1</v>
      </c>
      <c r="CH37" s="3">
        <v>5.2750000000000004</v>
      </c>
      <c r="CI37" s="3">
        <v>2.3E-2</v>
      </c>
      <c r="CJ37" s="3">
        <v>-2.3E-2</v>
      </c>
      <c r="CK37" s="3">
        <v>8.8551800000000007</v>
      </c>
      <c r="CL37" s="3">
        <v>1.134E-3</v>
      </c>
      <c r="CM37" s="3">
        <v>-1.134E-3</v>
      </c>
      <c r="CN37" t="s">
        <v>1478</v>
      </c>
      <c r="CO37" t="s">
        <v>8010</v>
      </c>
      <c r="CP37" t="s">
        <v>1478</v>
      </c>
    </row>
    <row r="38" spans="1:94" x14ac:dyDescent="0.45">
      <c r="A38" t="s">
        <v>247</v>
      </c>
      <c r="B38">
        <v>1</v>
      </c>
      <c r="C38" t="s">
        <v>1480</v>
      </c>
      <c r="D38" t="s">
        <v>248</v>
      </c>
      <c r="E38" s="3">
        <v>1</v>
      </c>
      <c r="F38" s="3">
        <v>1</v>
      </c>
      <c r="G38" s="3">
        <v>2</v>
      </c>
      <c r="H38" t="s">
        <v>1427</v>
      </c>
      <c r="I38" s="3">
        <v>2017</v>
      </c>
      <c r="J38" t="s">
        <v>7966</v>
      </c>
      <c r="K38" t="s">
        <v>1429</v>
      </c>
      <c r="L38" s="3">
        <v>0</v>
      </c>
      <c r="M38" t="s">
        <v>8016</v>
      </c>
      <c r="N38" s="3">
        <v>18.649799999999999</v>
      </c>
      <c r="O38" s="3">
        <v>5.8999999999999999E-3</v>
      </c>
      <c r="P38" s="3">
        <v>-5.1999999999999998E-3</v>
      </c>
      <c r="Q38" s="3">
        <v>0</v>
      </c>
      <c r="R38" s="3">
        <v>9.1101000000000001E-2</v>
      </c>
      <c r="S38" s="3">
        <v>1.9000000000000001E-5</v>
      </c>
      <c r="T38" s="3">
        <v>-1.7E-5</v>
      </c>
      <c r="U38" s="3">
        <v>0</v>
      </c>
      <c r="AD38" s="3">
        <v>2.89</v>
      </c>
      <c r="AE38" s="3">
        <v>0.27</v>
      </c>
      <c r="AF38" s="3">
        <v>-0.26</v>
      </c>
      <c r="AG38" s="3">
        <v>0</v>
      </c>
      <c r="AH38" s="3">
        <v>9.0929099999999992E-3</v>
      </c>
      <c r="AI38" s="3">
        <v>8.4951000000000004E-4</v>
      </c>
      <c r="AJ38" s="3">
        <v>-8.1804999999999996E-4</v>
      </c>
      <c r="AK38" s="3">
        <v>0</v>
      </c>
      <c r="AL38" t="s">
        <v>1426</v>
      </c>
      <c r="AM38" s="3">
        <v>0.1</v>
      </c>
      <c r="AN38" s="3">
        <v>0.09</v>
      </c>
      <c r="AO38" s="3">
        <v>-7.0000000000000007E-2</v>
      </c>
      <c r="AP38" s="3">
        <v>0</v>
      </c>
      <c r="AQ38" s="3">
        <v>1.06</v>
      </c>
      <c r="AT38" s="3">
        <v>0</v>
      </c>
      <c r="AY38" s="3">
        <v>0</v>
      </c>
      <c r="AZ38" t="s">
        <v>8016</v>
      </c>
      <c r="BA38" t="s">
        <v>638</v>
      </c>
      <c r="BB38" s="3">
        <v>3382</v>
      </c>
      <c r="BC38" s="3">
        <v>49</v>
      </c>
      <c r="BD38" s="3">
        <v>-49</v>
      </c>
      <c r="BE38" s="3">
        <v>0</v>
      </c>
      <c r="BF38" s="3">
        <v>0.29299999999999998</v>
      </c>
      <c r="BG38" s="3">
        <v>2.7E-2</v>
      </c>
      <c r="BH38" s="3">
        <v>-2.7E-2</v>
      </c>
      <c r="BI38" s="3">
        <v>0</v>
      </c>
      <c r="BJ38" s="3">
        <v>0.28999999999999998</v>
      </c>
      <c r="BM38" s="3">
        <v>0</v>
      </c>
      <c r="BN38" s="3">
        <v>0.09</v>
      </c>
      <c r="BO38" s="3">
        <v>0.17</v>
      </c>
      <c r="BP38" s="3">
        <v>-0.17</v>
      </c>
      <c r="BQ38" s="3">
        <v>0</v>
      </c>
      <c r="BR38" t="s">
        <v>7935</v>
      </c>
      <c r="BW38" t="s">
        <v>7936</v>
      </c>
      <c r="BX38" t="s">
        <v>8017</v>
      </c>
      <c r="BY38" s="3">
        <v>111.852091</v>
      </c>
      <c r="BZ38" t="s">
        <v>8018</v>
      </c>
      <c r="CA38" s="3">
        <v>5.2258069999999996</v>
      </c>
      <c r="CB38" s="3">
        <v>5.9215350000000004</v>
      </c>
      <c r="CC38" s="3">
        <v>2.0633200000000001E-2</v>
      </c>
      <c r="CD38" s="3">
        <v>-2.0633200000000001E-2</v>
      </c>
      <c r="CE38" s="3">
        <v>9.84</v>
      </c>
      <c r="CF38" s="3">
        <v>0.1</v>
      </c>
      <c r="CG38" s="3">
        <v>-0.1</v>
      </c>
      <c r="CH38" s="3">
        <v>4.8570000000000002</v>
      </c>
      <c r="CI38" s="3">
        <v>2.3E-2</v>
      </c>
      <c r="CJ38" s="3">
        <v>-2.3E-2</v>
      </c>
      <c r="CN38" t="s">
        <v>1483</v>
      </c>
      <c r="CO38" t="s">
        <v>8019</v>
      </c>
      <c r="CP38" t="s">
        <v>8020</v>
      </c>
    </row>
    <row r="39" spans="1:94" x14ac:dyDescent="0.45">
      <c r="A39" t="s">
        <v>247</v>
      </c>
      <c r="B39">
        <v>1</v>
      </c>
      <c r="C39" t="s">
        <v>1484</v>
      </c>
      <c r="D39" t="s">
        <v>248</v>
      </c>
      <c r="E39" s="3">
        <v>1</v>
      </c>
      <c r="F39" s="3">
        <v>1</v>
      </c>
      <c r="G39" s="3">
        <v>2</v>
      </c>
      <c r="H39" t="s">
        <v>1427</v>
      </c>
      <c r="I39" s="3">
        <v>2017</v>
      </c>
      <c r="J39" t="s">
        <v>7966</v>
      </c>
      <c r="K39" t="s">
        <v>1429</v>
      </c>
      <c r="L39" s="3">
        <v>0</v>
      </c>
      <c r="M39" t="s">
        <v>8016</v>
      </c>
      <c r="N39" s="3">
        <v>4.7233999999999998</v>
      </c>
      <c r="O39" s="3">
        <v>4.0000000000000002E-4</v>
      </c>
      <c r="P39" s="3">
        <v>-4.0000000000000002E-4</v>
      </c>
      <c r="Q39" s="3">
        <v>0</v>
      </c>
      <c r="R39" s="3">
        <v>3.6466999999999999E-2</v>
      </c>
      <c r="S39" s="3">
        <v>1.9999999999999999E-6</v>
      </c>
      <c r="T39" s="3">
        <v>-1.9999999999999999E-6</v>
      </c>
      <c r="U39" s="3">
        <v>0</v>
      </c>
      <c r="AD39" s="3">
        <v>1.18</v>
      </c>
      <c r="AE39" s="3">
        <v>0.16</v>
      </c>
      <c r="AF39" s="3">
        <v>-0.16</v>
      </c>
      <c r="AG39" s="3">
        <v>0</v>
      </c>
      <c r="AH39" s="3">
        <v>3.7126799999999999E-3</v>
      </c>
      <c r="AI39" s="3">
        <v>5.0341000000000003E-4</v>
      </c>
      <c r="AJ39" s="3">
        <v>-5.0341000000000003E-4</v>
      </c>
      <c r="AK39" s="3">
        <v>0</v>
      </c>
      <c r="AL39" t="s">
        <v>1426</v>
      </c>
      <c r="AM39" s="3">
        <v>0.17</v>
      </c>
      <c r="AN39" s="3">
        <v>0.13</v>
      </c>
      <c r="AO39" s="3">
        <v>-0.12</v>
      </c>
      <c r="AP39" s="3">
        <v>0</v>
      </c>
      <c r="AQ39" s="3">
        <v>6.66</v>
      </c>
      <c r="AT39" s="3">
        <v>0</v>
      </c>
      <c r="AY39" s="3">
        <v>0</v>
      </c>
      <c r="AZ39" t="s">
        <v>8016</v>
      </c>
      <c r="BA39" t="s">
        <v>638</v>
      </c>
      <c r="BB39" s="3">
        <v>3382</v>
      </c>
      <c r="BC39" s="3">
        <v>49</v>
      </c>
      <c r="BD39" s="3">
        <v>-49</v>
      </c>
      <c r="BE39" s="3">
        <v>0</v>
      </c>
      <c r="BF39" s="3">
        <v>0.29299999999999998</v>
      </c>
      <c r="BG39" s="3">
        <v>2.7E-2</v>
      </c>
      <c r="BH39" s="3">
        <v>-2.7E-2</v>
      </c>
      <c r="BI39" s="3">
        <v>0</v>
      </c>
      <c r="BJ39" s="3">
        <v>0.28999999999999998</v>
      </c>
      <c r="BM39" s="3">
        <v>0</v>
      </c>
      <c r="BN39" s="3">
        <v>0.09</v>
      </c>
      <c r="BO39" s="3">
        <v>0.17</v>
      </c>
      <c r="BP39" s="3">
        <v>-0.17</v>
      </c>
      <c r="BQ39" s="3">
        <v>0</v>
      </c>
      <c r="BR39" t="s">
        <v>7935</v>
      </c>
      <c r="BW39" t="s">
        <v>7936</v>
      </c>
      <c r="BX39" t="s">
        <v>8017</v>
      </c>
      <c r="BY39" s="3">
        <v>111.852091</v>
      </c>
      <c r="BZ39" t="s">
        <v>8018</v>
      </c>
      <c r="CA39" s="3">
        <v>5.2258069999999996</v>
      </c>
      <c r="CB39" s="3">
        <v>5.9215350000000004</v>
      </c>
      <c r="CC39" s="3">
        <v>2.0633200000000001E-2</v>
      </c>
      <c r="CD39" s="3">
        <v>-2.0633200000000001E-2</v>
      </c>
      <c r="CE39" s="3">
        <v>9.84</v>
      </c>
      <c r="CF39" s="3">
        <v>0.1</v>
      </c>
      <c r="CG39" s="3">
        <v>-0.1</v>
      </c>
      <c r="CH39" s="3">
        <v>4.8570000000000002</v>
      </c>
      <c r="CI39" s="3">
        <v>2.3E-2</v>
      </c>
      <c r="CJ39" s="3">
        <v>-2.3E-2</v>
      </c>
      <c r="CN39" t="s">
        <v>1483</v>
      </c>
      <c r="CO39" t="s">
        <v>8019</v>
      </c>
      <c r="CP39" t="s">
        <v>8020</v>
      </c>
    </row>
    <row r="40" spans="1:94" x14ac:dyDescent="0.45">
      <c r="A40" t="s">
        <v>655</v>
      </c>
      <c r="B40">
        <v>1</v>
      </c>
      <c r="C40" t="s">
        <v>1485</v>
      </c>
      <c r="D40" t="s">
        <v>653</v>
      </c>
      <c r="E40" s="3">
        <v>1</v>
      </c>
      <c r="F40" s="3">
        <v>1</v>
      </c>
      <c r="G40" s="3">
        <v>2</v>
      </c>
      <c r="H40" t="s">
        <v>1427</v>
      </c>
      <c r="I40" s="3">
        <v>2017</v>
      </c>
      <c r="J40" t="s">
        <v>7966</v>
      </c>
      <c r="K40" t="s">
        <v>1429</v>
      </c>
      <c r="L40" s="3">
        <v>0</v>
      </c>
      <c r="M40" t="s">
        <v>8016</v>
      </c>
      <c r="N40" s="3">
        <v>5.3635999999999999</v>
      </c>
      <c r="O40" s="3">
        <v>6.9999999999999999E-4</v>
      </c>
      <c r="P40" s="3">
        <v>-6.9999999999999999E-4</v>
      </c>
      <c r="Q40" s="3">
        <v>0</v>
      </c>
      <c r="R40" s="3">
        <v>3.2820000000000002E-2</v>
      </c>
      <c r="S40" s="3">
        <v>5.4000000000000001E-4</v>
      </c>
      <c r="T40" s="3">
        <v>-5.5999999999999995E-4</v>
      </c>
      <c r="U40" s="3">
        <v>0</v>
      </c>
      <c r="AD40" s="3">
        <v>2.02</v>
      </c>
      <c r="AE40" s="3">
        <v>0.26</v>
      </c>
      <c r="AF40" s="3">
        <v>-0.25</v>
      </c>
      <c r="AG40" s="3">
        <v>0</v>
      </c>
      <c r="AH40" s="3">
        <v>6.3556000000000003E-3</v>
      </c>
      <c r="AI40" s="3">
        <v>8.1804999999999996E-4</v>
      </c>
      <c r="AJ40" s="3">
        <v>-7.8658000000000005E-4</v>
      </c>
      <c r="AK40" s="3">
        <v>0</v>
      </c>
      <c r="AL40" t="s">
        <v>1426</v>
      </c>
      <c r="AM40" s="3">
        <v>0.23</v>
      </c>
      <c r="AN40" s="3">
        <v>0.11</v>
      </c>
      <c r="AO40" s="3">
        <v>-0.11</v>
      </c>
      <c r="AP40" s="3">
        <v>0</v>
      </c>
      <c r="AQ40" s="3">
        <v>2.58</v>
      </c>
      <c r="AT40" s="3">
        <v>0</v>
      </c>
      <c r="AY40" s="3">
        <v>0</v>
      </c>
      <c r="AZ40" t="s">
        <v>8016</v>
      </c>
      <c r="BA40" t="s">
        <v>304</v>
      </c>
      <c r="BB40" s="3">
        <v>3159</v>
      </c>
      <c r="BC40" s="3">
        <v>49</v>
      </c>
      <c r="BD40" s="3">
        <v>-49</v>
      </c>
      <c r="BE40" s="3">
        <v>0</v>
      </c>
      <c r="BF40" s="3">
        <v>0.11899999999999999</v>
      </c>
      <c r="BG40" s="3">
        <v>2.7E-2</v>
      </c>
      <c r="BH40" s="3">
        <v>-2.7E-2</v>
      </c>
      <c r="BI40" s="3">
        <v>0</v>
      </c>
      <c r="BJ40" s="3">
        <v>0.16400000000000001</v>
      </c>
      <c r="BM40" s="3">
        <v>0</v>
      </c>
      <c r="BN40" s="3">
        <v>-0.27</v>
      </c>
      <c r="BO40" s="3">
        <v>0.09</v>
      </c>
      <c r="BP40" s="3">
        <v>-0.09</v>
      </c>
      <c r="BQ40" s="3">
        <v>0</v>
      </c>
      <c r="BR40" t="s">
        <v>7935</v>
      </c>
      <c r="BW40" t="s">
        <v>7936</v>
      </c>
      <c r="BX40" t="s">
        <v>8021</v>
      </c>
      <c r="BY40" s="3">
        <v>75.486882399999999</v>
      </c>
      <c r="BZ40" t="s">
        <v>8022</v>
      </c>
      <c r="CA40" s="3">
        <v>-6.9485133000000001</v>
      </c>
      <c r="CB40" s="3">
        <v>5.3748399999999998</v>
      </c>
      <c r="CC40" s="3">
        <v>1.72E-3</v>
      </c>
      <c r="CD40" s="3">
        <v>-1.72E-3</v>
      </c>
      <c r="CE40" s="3">
        <v>12.57</v>
      </c>
      <c r="CF40" s="3">
        <v>0.2</v>
      </c>
      <c r="CG40" s="3">
        <v>-0.2</v>
      </c>
      <c r="CH40" s="3">
        <v>6.7359999999999998</v>
      </c>
      <c r="CI40" s="3">
        <v>2.4E-2</v>
      </c>
      <c r="CJ40" s="3">
        <v>-2.4E-2</v>
      </c>
      <c r="CK40" s="3">
        <v>10.646699999999999</v>
      </c>
      <c r="CL40" s="3">
        <v>6.4700000000000001E-4</v>
      </c>
      <c r="CM40" s="3">
        <v>-6.4700000000000001E-4</v>
      </c>
      <c r="CN40" t="s">
        <v>1483</v>
      </c>
      <c r="CO40" t="s">
        <v>8019</v>
      </c>
      <c r="CP40" t="s">
        <v>8020</v>
      </c>
    </row>
    <row r="41" spans="1:94" x14ac:dyDescent="0.45">
      <c r="A41" t="s">
        <v>655</v>
      </c>
      <c r="B41">
        <v>1</v>
      </c>
      <c r="C41" t="s">
        <v>1486</v>
      </c>
      <c r="D41" t="s">
        <v>653</v>
      </c>
      <c r="E41" s="3">
        <v>1</v>
      </c>
      <c r="F41" s="3">
        <v>1</v>
      </c>
      <c r="G41" s="3">
        <v>2</v>
      </c>
      <c r="H41" t="s">
        <v>1427</v>
      </c>
      <c r="I41" s="3">
        <v>2017</v>
      </c>
      <c r="J41" t="s">
        <v>7966</v>
      </c>
      <c r="K41" t="s">
        <v>1429</v>
      </c>
      <c r="L41" s="3">
        <v>0</v>
      </c>
      <c r="M41" t="s">
        <v>8016</v>
      </c>
      <c r="N41" s="3">
        <v>40.54</v>
      </c>
      <c r="O41" s="3">
        <v>0.21</v>
      </c>
      <c r="P41" s="3">
        <v>-0.19</v>
      </c>
      <c r="Q41" s="3">
        <v>0</v>
      </c>
      <c r="R41" s="3">
        <v>0.12640000000000001</v>
      </c>
      <c r="S41" s="3">
        <v>2.0999999999999999E-3</v>
      </c>
      <c r="T41" s="3">
        <v>-2.2000000000000001E-3</v>
      </c>
      <c r="U41" s="3">
        <v>0</v>
      </c>
      <c r="AD41" s="3">
        <v>2.31</v>
      </c>
      <c r="AE41" s="3">
        <v>0.5</v>
      </c>
      <c r="AF41" s="3">
        <v>-0.49</v>
      </c>
      <c r="AG41" s="3">
        <v>0</v>
      </c>
      <c r="AH41" s="3">
        <v>7.2680399999999999E-3</v>
      </c>
      <c r="AI41" s="3">
        <v>1.57317E-3</v>
      </c>
      <c r="AJ41" s="3">
        <v>-1.5417E-3</v>
      </c>
      <c r="AK41" s="3">
        <v>0</v>
      </c>
      <c r="AL41" t="s">
        <v>1426</v>
      </c>
      <c r="AM41" s="3">
        <v>0.17</v>
      </c>
      <c r="AN41" s="3">
        <v>0.21</v>
      </c>
      <c r="AO41" s="3">
        <v>-0.12</v>
      </c>
      <c r="AP41" s="3">
        <v>0</v>
      </c>
      <c r="AQ41" s="3">
        <v>0.17</v>
      </c>
      <c r="AT41" s="3">
        <v>0</v>
      </c>
      <c r="AY41" s="3">
        <v>0</v>
      </c>
      <c r="AZ41" t="s">
        <v>8016</v>
      </c>
      <c r="BA41" t="s">
        <v>304</v>
      </c>
      <c r="BB41" s="3">
        <v>3159</v>
      </c>
      <c r="BC41" s="3">
        <v>49</v>
      </c>
      <c r="BD41" s="3">
        <v>-49</v>
      </c>
      <c r="BE41" s="3">
        <v>0</v>
      </c>
      <c r="BF41" s="3">
        <v>0.11899999999999999</v>
      </c>
      <c r="BG41" s="3">
        <v>2.7E-2</v>
      </c>
      <c r="BH41" s="3">
        <v>-2.7E-2</v>
      </c>
      <c r="BI41" s="3">
        <v>0</v>
      </c>
      <c r="BJ41" s="3">
        <v>0.16400000000000001</v>
      </c>
      <c r="BM41" s="3">
        <v>0</v>
      </c>
      <c r="BN41" s="3">
        <v>-0.27</v>
      </c>
      <c r="BO41" s="3">
        <v>0.09</v>
      </c>
      <c r="BP41" s="3">
        <v>-0.09</v>
      </c>
      <c r="BQ41" s="3">
        <v>0</v>
      </c>
      <c r="BR41" t="s">
        <v>7935</v>
      </c>
      <c r="BW41" t="s">
        <v>7936</v>
      </c>
      <c r="BX41" t="s">
        <v>8021</v>
      </c>
      <c r="BY41" s="3">
        <v>75.486882399999999</v>
      </c>
      <c r="BZ41" t="s">
        <v>8022</v>
      </c>
      <c r="CA41" s="3">
        <v>-6.9485133000000001</v>
      </c>
      <c r="CB41" s="3">
        <v>5.3748399999999998</v>
      </c>
      <c r="CC41" s="3">
        <v>1.72E-3</v>
      </c>
      <c r="CD41" s="3">
        <v>-1.72E-3</v>
      </c>
      <c r="CE41" s="3">
        <v>12.57</v>
      </c>
      <c r="CF41" s="3">
        <v>0.2</v>
      </c>
      <c r="CG41" s="3">
        <v>-0.2</v>
      </c>
      <c r="CH41" s="3">
        <v>6.7359999999999998</v>
      </c>
      <c r="CI41" s="3">
        <v>2.4E-2</v>
      </c>
      <c r="CJ41" s="3">
        <v>-2.4E-2</v>
      </c>
      <c r="CK41" s="3">
        <v>10.646699999999999</v>
      </c>
      <c r="CL41" s="3">
        <v>6.4700000000000001E-4</v>
      </c>
      <c r="CM41" s="3">
        <v>-6.4700000000000001E-4</v>
      </c>
      <c r="CN41" t="s">
        <v>1483</v>
      </c>
      <c r="CO41" t="s">
        <v>8019</v>
      </c>
      <c r="CP41" t="s">
        <v>8020</v>
      </c>
    </row>
    <row r="42" spans="1:94" x14ac:dyDescent="0.45">
      <c r="A42" t="s">
        <v>894</v>
      </c>
      <c r="B42">
        <v>0</v>
      </c>
      <c r="C42" t="s">
        <v>893</v>
      </c>
      <c r="D42" t="s">
        <v>892</v>
      </c>
      <c r="E42" s="3">
        <v>0</v>
      </c>
      <c r="F42" s="3">
        <v>1</v>
      </c>
      <c r="G42" s="3">
        <v>1</v>
      </c>
      <c r="H42" t="s">
        <v>1427</v>
      </c>
      <c r="I42" s="3">
        <v>2026</v>
      </c>
      <c r="J42" t="s">
        <v>8023</v>
      </c>
      <c r="K42" t="s">
        <v>8024</v>
      </c>
      <c r="L42" s="3">
        <v>0</v>
      </c>
      <c r="M42" t="s">
        <v>7981</v>
      </c>
      <c r="N42" s="3">
        <v>24.728000000000002</v>
      </c>
      <c r="O42" s="3">
        <v>5.6000000000000001E-2</v>
      </c>
      <c r="P42" s="3">
        <v>-0.06</v>
      </c>
      <c r="Q42" s="3">
        <v>0</v>
      </c>
      <c r="R42" s="3">
        <v>0.106</v>
      </c>
      <c r="S42" s="3">
        <v>3.0000000000000001E-3</v>
      </c>
      <c r="T42" s="3">
        <v>-3.0000000000000001E-3</v>
      </c>
      <c r="U42" s="3">
        <v>0</v>
      </c>
      <c r="AD42" s="3">
        <v>5.26</v>
      </c>
      <c r="AE42" s="3">
        <v>0.94</v>
      </c>
      <c r="AF42" s="3">
        <v>-0.97</v>
      </c>
      <c r="AG42" s="3">
        <v>0</v>
      </c>
      <c r="AH42" s="3">
        <v>1.6549810000000002E-2</v>
      </c>
      <c r="AI42" s="3">
        <v>2.9575700000000001E-3</v>
      </c>
      <c r="AJ42" s="3">
        <v>-3.0519599999999998E-3</v>
      </c>
      <c r="AK42" s="3">
        <v>0</v>
      </c>
      <c r="AL42" t="s">
        <v>1426</v>
      </c>
      <c r="AM42" s="3">
        <v>0.36</v>
      </c>
      <c r="AN42" s="3">
        <v>0.13</v>
      </c>
      <c r="AO42" s="3">
        <v>-0.16</v>
      </c>
      <c r="AP42" s="3">
        <v>0</v>
      </c>
      <c r="AU42" s="3">
        <v>260</v>
      </c>
      <c r="AX42" s="3">
        <v>0</v>
      </c>
      <c r="AY42" s="3">
        <v>0</v>
      </c>
      <c r="AZ42" t="s">
        <v>7981</v>
      </c>
      <c r="BA42" t="s">
        <v>8025</v>
      </c>
      <c r="BB42" s="3">
        <v>3378</v>
      </c>
      <c r="BC42" s="3">
        <v>30</v>
      </c>
      <c r="BD42" s="3">
        <v>-30</v>
      </c>
      <c r="BE42" s="3">
        <v>0</v>
      </c>
      <c r="BJ42" s="3">
        <v>0.26</v>
      </c>
      <c r="BK42" s="3">
        <v>0.02</v>
      </c>
      <c r="BL42" s="3">
        <v>-0.02</v>
      </c>
      <c r="BM42" s="3">
        <v>0</v>
      </c>
      <c r="BN42" s="3">
        <v>-0.05</v>
      </c>
      <c r="BO42" s="3">
        <v>0.1</v>
      </c>
      <c r="BP42" s="3">
        <v>-0.1</v>
      </c>
      <c r="BQ42" s="3">
        <v>0</v>
      </c>
      <c r="BR42" t="s">
        <v>7935</v>
      </c>
      <c r="BW42" t="s">
        <v>7936</v>
      </c>
      <c r="BX42" t="s">
        <v>8026</v>
      </c>
      <c r="BY42" s="3">
        <v>90.295130200000003</v>
      </c>
      <c r="BZ42" t="s">
        <v>8027</v>
      </c>
      <c r="CA42" s="3">
        <v>59.593191699999998</v>
      </c>
      <c r="CB42" s="3">
        <v>7.7227399999999999</v>
      </c>
      <c r="CC42" s="3">
        <v>4.7999999999999996E-3</v>
      </c>
      <c r="CD42" s="3">
        <v>-4.7999999999999996E-3</v>
      </c>
      <c r="CE42" s="3">
        <v>12.37</v>
      </c>
      <c r="CF42" s="3">
        <v>0.2</v>
      </c>
      <c r="CG42" s="3">
        <v>-0.2</v>
      </c>
      <c r="CH42" s="3">
        <v>6.6390000000000002</v>
      </c>
      <c r="CI42" s="3">
        <v>1.7999999999999999E-2</v>
      </c>
      <c r="CJ42" s="3">
        <v>-1.7999999999999999E-2</v>
      </c>
      <c r="CK42" s="3">
        <v>10.4084</v>
      </c>
      <c r="CL42" s="3">
        <v>7.18E-4</v>
      </c>
      <c r="CM42" s="3">
        <v>-7.18E-4</v>
      </c>
      <c r="CN42" t="s">
        <v>1489</v>
      </c>
      <c r="CO42" t="s">
        <v>7986</v>
      </c>
      <c r="CP42" t="s">
        <v>1489</v>
      </c>
    </row>
    <row r="43" spans="1:94" x14ac:dyDescent="0.45">
      <c r="A43" t="s">
        <v>894</v>
      </c>
      <c r="B43">
        <v>1</v>
      </c>
      <c r="C43" t="s">
        <v>893</v>
      </c>
      <c r="D43" t="s">
        <v>892</v>
      </c>
      <c r="E43" s="3">
        <v>1</v>
      </c>
      <c r="F43" s="3">
        <v>1</v>
      </c>
      <c r="G43" s="3">
        <v>1</v>
      </c>
      <c r="H43" t="s">
        <v>1427</v>
      </c>
      <c r="I43" s="3">
        <v>2026</v>
      </c>
      <c r="J43" t="s">
        <v>8023</v>
      </c>
      <c r="K43" t="s">
        <v>1429</v>
      </c>
      <c r="L43" s="3">
        <v>0</v>
      </c>
      <c r="M43" t="s">
        <v>8028</v>
      </c>
      <c r="N43" s="3">
        <v>21.45</v>
      </c>
      <c r="O43" s="3">
        <v>0.01</v>
      </c>
      <c r="P43" s="3">
        <v>-0.01</v>
      </c>
      <c r="Q43" s="3">
        <v>0</v>
      </c>
      <c r="R43" s="3">
        <v>9.6729999999999997E-2</v>
      </c>
      <c r="S43" s="3">
        <v>8.0000000000000004E-4</v>
      </c>
      <c r="T43" s="3">
        <v>-8.0000000000000004E-4</v>
      </c>
      <c r="U43" s="3">
        <v>0</v>
      </c>
      <c r="AD43" s="3">
        <v>2.2999999999999998</v>
      </c>
      <c r="AE43" s="3">
        <v>0.4</v>
      </c>
      <c r="AF43" s="3">
        <v>-0.4</v>
      </c>
      <c r="AG43" s="3">
        <v>0</v>
      </c>
      <c r="AH43" s="3">
        <v>7.2366100000000001E-3</v>
      </c>
      <c r="AI43" s="3">
        <v>1.25854E-3</v>
      </c>
      <c r="AJ43" s="3">
        <v>-1.25854E-3</v>
      </c>
      <c r="AK43" s="3">
        <v>0</v>
      </c>
      <c r="AL43" t="s">
        <v>1426</v>
      </c>
      <c r="AM43" s="3">
        <v>0</v>
      </c>
      <c r="AP43" s="3">
        <v>0</v>
      </c>
      <c r="AQ43" s="3">
        <v>0.91</v>
      </c>
      <c r="AR43" s="3">
        <v>0.09</v>
      </c>
      <c r="AS43" s="3">
        <v>-0.09</v>
      </c>
      <c r="AT43" s="3">
        <v>0</v>
      </c>
      <c r="AU43" s="3">
        <v>272</v>
      </c>
      <c r="AV43" s="3">
        <v>7</v>
      </c>
      <c r="AW43" s="3">
        <v>-7</v>
      </c>
      <c r="AX43" s="3">
        <v>0</v>
      </c>
      <c r="AY43" s="3">
        <v>0</v>
      </c>
      <c r="AZ43" t="s">
        <v>8028</v>
      </c>
      <c r="BA43" t="s">
        <v>8025</v>
      </c>
      <c r="BB43" s="3">
        <v>3340</v>
      </c>
      <c r="BC43" s="3">
        <v>60</v>
      </c>
      <c r="BD43" s="3">
        <v>-60</v>
      </c>
      <c r="BE43" s="3">
        <v>0</v>
      </c>
      <c r="BF43" s="3">
        <v>0.27500000000000002</v>
      </c>
      <c r="BG43" s="3">
        <v>8.9999999999999993E-3</v>
      </c>
      <c r="BH43" s="3">
        <v>-8.9999999999999993E-3</v>
      </c>
      <c r="BI43" s="3">
        <v>0</v>
      </c>
      <c r="BJ43" s="3">
        <v>0.26200000000000001</v>
      </c>
      <c r="BK43" s="3">
        <v>2.1000000000000001E-2</v>
      </c>
      <c r="BL43" s="3">
        <v>-2.1000000000000001E-2</v>
      </c>
      <c r="BM43" s="3">
        <v>0</v>
      </c>
      <c r="BN43" s="3">
        <v>-0.09</v>
      </c>
      <c r="BO43" s="3">
        <v>0.08</v>
      </c>
      <c r="BP43" s="3">
        <v>-0.08</v>
      </c>
      <c r="BQ43" s="3">
        <v>0</v>
      </c>
      <c r="BR43" t="s">
        <v>7935</v>
      </c>
      <c r="BS43" s="3">
        <v>4.97</v>
      </c>
      <c r="BT43" s="3">
        <v>0.06</v>
      </c>
      <c r="BU43" s="3">
        <v>-0.06</v>
      </c>
      <c r="BV43" s="3">
        <v>0</v>
      </c>
      <c r="BW43" t="s">
        <v>7936</v>
      </c>
      <c r="BX43" t="s">
        <v>8026</v>
      </c>
      <c r="BY43" s="3">
        <v>90.295130200000003</v>
      </c>
      <c r="BZ43" t="s">
        <v>8027</v>
      </c>
      <c r="CA43" s="3">
        <v>59.593191699999998</v>
      </c>
      <c r="CB43" s="3">
        <v>7.7227399999999999</v>
      </c>
      <c r="CC43" s="3">
        <v>4.7999999999999996E-3</v>
      </c>
      <c r="CD43" s="3">
        <v>-4.7999999999999996E-3</v>
      </c>
      <c r="CE43" s="3">
        <v>12.37</v>
      </c>
      <c r="CF43" s="3">
        <v>0.2</v>
      </c>
      <c r="CG43" s="3">
        <v>-0.2</v>
      </c>
      <c r="CH43" s="3">
        <v>6.6390000000000002</v>
      </c>
      <c r="CI43" s="3">
        <v>1.7999999999999999E-2</v>
      </c>
      <c r="CJ43" s="3">
        <v>-1.7999999999999999E-2</v>
      </c>
      <c r="CK43" s="3">
        <v>10.4084</v>
      </c>
      <c r="CL43" s="3">
        <v>7.18E-4</v>
      </c>
      <c r="CM43" s="3">
        <v>-7.18E-4</v>
      </c>
      <c r="CN43" t="s">
        <v>1489</v>
      </c>
      <c r="CO43" t="s">
        <v>8029</v>
      </c>
      <c r="CP43" t="s">
        <v>1489</v>
      </c>
    </row>
    <row r="44" spans="1:94" x14ac:dyDescent="0.45">
      <c r="A44" t="s">
        <v>703</v>
      </c>
      <c r="B44">
        <v>1</v>
      </c>
      <c r="C44" t="s">
        <v>702</v>
      </c>
      <c r="D44" t="s">
        <v>704</v>
      </c>
      <c r="E44" s="3">
        <v>1</v>
      </c>
      <c r="F44" s="3">
        <v>2</v>
      </c>
      <c r="G44" s="3">
        <v>1</v>
      </c>
      <c r="H44" t="s">
        <v>1427</v>
      </c>
      <c r="I44" s="3">
        <v>2020</v>
      </c>
      <c r="J44" t="s">
        <v>7955</v>
      </c>
      <c r="K44" t="s">
        <v>1429</v>
      </c>
      <c r="L44" s="3">
        <v>0</v>
      </c>
      <c r="M44" t="s">
        <v>8030</v>
      </c>
      <c r="N44" s="3">
        <v>24.422000000000001</v>
      </c>
      <c r="O44" s="3">
        <v>1.4E-2</v>
      </c>
      <c r="P44" s="3">
        <v>-1.4E-2</v>
      </c>
      <c r="Q44" s="3">
        <v>0</v>
      </c>
      <c r="R44" s="3">
        <v>0.14199999999999999</v>
      </c>
      <c r="S44" s="3">
        <v>5.0000000000000001E-3</v>
      </c>
      <c r="T44" s="3">
        <v>-5.0000000000000001E-3</v>
      </c>
      <c r="U44" s="3">
        <v>0</v>
      </c>
      <c r="AD44" s="3">
        <v>10.6</v>
      </c>
      <c r="AE44" s="3">
        <v>1.2</v>
      </c>
      <c r="AF44" s="3">
        <v>-1.2</v>
      </c>
      <c r="AG44" s="3">
        <v>0</v>
      </c>
      <c r="AH44" s="3">
        <v>3.3351329999999998E-2</v>
      </c>
      <c r="AI44" s="3">
        <v>3.7756199999999999E-3</v>
      </c>
      <c r="AJ44" s="3">
        <v>-3.7756199999999999E-3</v>
      </c>
      <c r="AK44" s="3">
        <v>0</v>
      </c>
      <c r="AL44" t="s">
        <v>1426</v>
      </c>
      <c r="AM44" s="3">
        <v>0.109</v>
      </c>
      <c r="AN44" s="3">
        <v>0.1</v>
      </c>
      <c r="AO44" s="3">
        <v>-7.4999999999999997E-2</v>
      </c>
      <c r="AP44" s="3">
        <v>0</v>
      </c>
      <c r="AY44" s="3">
        <v>0</v>
      </c>
      <c r="AZ44" t="s">
        <v>8030</v>
      </c>
      <c r="BA44" t="s">
        <v>1246</v>
      </c>
      <c r="BB44" s="3">
        <v>4014</v>
      </c>
      <c r="BC44" s="3">
        <v>100</v>
      </c>
      <c r="BD44" s="3">
        <v>-100</v>
      </c>
      <c r="BE44" s="3">
        <v>0</v>
      </c>
      <c r="BF44" s="3">
        <v>0.57999999999999996</v>
      </c>
      <c r="BG44" s="3">
        <v>0.03</v>
      </c>
      <c r="BH44" s="3">
        <v>-0.03</v>
      </c>
      <c r="BI44" s="3">
        <v>0</v>
      </c>
      <c r="BJ44" s="3">
        <v>0.64</v>
      </c>
      <c r="BK44" s="3">
        <v>7.0000000000000007E-2</v>
      </c>
      <c r="BL44" s="3">
        <v>-7.0000000000000007E-2</v>
      </c>
      <c r="BM44" s="3">
        <v>0</v>
      </c>
      <c r="BN44" s="3">
        <v>-0.03</v>
      </c>
      <c r="BO44" s="3">
        <v>0.16</v>
      </c>
      <c r="BP44" s="3">
        <v>-0.16</v>
      </c>
      <c r="BQ44" s="3">
        <v>0</v>
      </c>
      <c r="BR44" t="s">
        <v>7935</v>
      </c>
      <c r="BS44" s="3">
        <v>4.68</v>
      </c>
      <c r="BT44" s="3">
        <v>7.0000000000000007E-2</v>
      </c>
      <c r="BU44" s="3">
        <v>-7.0000000000000007E-2</v>
      </c>
      <c r="BV44" s="3">
        <v>0</v>
      </c>
      <c r="BW44" t="s">
        <v>7936</v>
      </c>
      <c r="BX44" t="s">
        <v>8031</v>
      </c>
      <c r="BY44" s="3">
        <v>138.5916722</v>
      </c>
      <c r="BZ44" t="s">
        <v>8032</v>
      </c>
      <c r="CA44" s="3">
        <v>52.6835211</v>
      </c>
      <c r="CB44" s="3">
        <v>6.33256</v>
      </c>
      <c r="CC44" s="3">
        <v>1.67E-3</v>
      </c>
      <c r="CD44" s="3">
        <v>-1.6800000000000001E-3</v>
      </c>
      <c r="CE44" s="3">
        <v>7.7</v>
      </c>
      <c r="CF44" s="3">
        <v>0.1</v>
      </c>
      <c r="CG44" s="3">
        <v>-0.1</v>
      </c>
      <c r="CH44" s="3">
        <v>4.1360000000000001</v>
      </c>
      <c r="CI44" s="3">
        <v>0.02</v>
      </c>
      <c r="CJ44" s="3">
        <v>-0.02</v>
      </c>
      <c r="CK44" s="3">
        <v>7.0477499999999997</v>
      </c>
      <c r="CL44" s="3">
        <v>4.4000000000000002E-4</v>
      </c>
      <c r="CM44" s="3">
        <v>-4.4000000000000002E-4</v>
      </c>
      <c r="CN44" t="s">
        <v>1492</v>
      </c>
      <c r="CO44" t="s">
        <v>7965</v>
      </c>
      <c r="CP44" t="s">
        <v>1492</v>
      </c>
    </row>
    <row r="45" spans="1:94" x14ac:dyDescent="0.45">
      <c r="A45" t="s">
        <v>703</v>
      </c>
      <c r="B45">
        <v>0</v>
      </c>
      <c r="C45" t="s">
        <v>702</v>
      </c>
      <c r="D45" t="s">
        <v>704</v>
      </c>
      <c r="E45" s="3">
        <v>0</v>
      </c>
      <c r="F45" s="3">
        <v>2</v>
      </c>
      <c r="G45" s="3">
        <v>1</v>
      </c>
      <c r="H45" t="s">
        <v>1427</v>
      </c>
      <c r="I45" s="3">
        <v>2020</v>
      </c>
      <c r="J45" t="s">
        <v>7955</v>
      </c>
      <c r="K45" t="s">
        <v>1429</v>
      </c>
      <c r="L45" s="3">
        <v>0</v>
      </c>
      <c r="M45" t="s">
        <v>8033</v>
      </c>
      <c r="N45" s="3">
        <v>24.45</v>
      </c>
      <c r="O45" s="3">
        <v>0.02</v>
      </c>
      <c r="P45" s="3">
        <v>-0.02</v>
      </c>
      <c r="Q45" s="3">
        <v>0</v>
      </c>
      <c r="R45" s="3">
        <v>0.14099999999999999</v>
      </c>
      <c r="S45" s="3">
        <v>5.0000000000000001E-3</v>
      </c>
      <c r="T45" s="3">
        <v>-5.0000000000000001E-3</v>
      </c>
      <c r="U45" s="3">
        <v>0</v>
      </c>
      <c r="AD45" s="3">
        <v>10.27</v>
      </c>
      <c r="AE45" s="3">
        <v>1.47</v>
      </c>
      <c r="AF45" s="3">
        <v>-1.38</v>
      </c>
      <c r="AG45" s="3">
        <v>0</v>
      </c>
      <c r="AH45" s="3">
        <v>3.231287E-2</v>
      </c>
      <c r="AI45" s="3">
        <v>4.62511E-3</v>
      </c>
      <c r="AJ45" s="3">
        <v>-4.3419399999999999E-3</v>
      </c>
      <c r="AK45" s="3">
        <v>0</v>
      </c>
      <c r="AL45" t="s">
        <v>1426</v>
      </c>
      <c r="AM45" s="3">
        <v>0.11</v>
      </c>
      <c r="AN45" s="3">
        <v>0.11</v>
      </c>
      <c r="AO45" s="3">
        <v>-0.08</v>
      </c>
      <c r="AP45" s="3">
        <v>0</v>
      </c>
      <c r="AU45" s="3">
        <v>391</v>
      </c>
      <c r="AV45" s="3">
        <v>20</v>
      </c>
      <c r="AW45" s="3">
        <v>-20</v>
      </c>
      <c r="AX45" s="3">
        <v>0</v>
      </c>
      <c r="AY45" s="3">
        <v>0</v>
      </c>
      <c r="AZ45" t="s">
        <v>8033</v>
      </c>
      <c r="BA45" t="s">
        <v>8034</v>
      </c>
      <c r="BB45" s="3">
        <v>4005</v>
      </c>
      <c r="BC45" s="3">
        <v>51</v>
      </c>
      <c r="BD45" s="3">
        <v>-51</v>
      </c>
      <c r="BE45" s="3">
        <v>0</v>
      </c>
      <c r="BF45" s="3">
        <v>0.57999999999999996</v>
      </c>
      <c r="BG45" s="3">
        <v>0.03</v>
      </c>
      <c r="BH45" s="3">
        <v>-0.03</v>
      </c>
      <c r="BI45" s="3">
        <v>0</v>
      </c>
      <c r="BJ45" s="3">
        <v>0.64</v>
      </c>
      <c r="BK45" s="3">
        <v>7.0000000000000007E-2</v>
      </c>
      <c r="BL45" s="3">
        <v>-7.0000000000000007E-2</v>
      </c>
      <c r="BM45" s="3">
        <v>0</v>
      </c>
      <c r="BN45" s="3">
        <v>-0.03</v>
      </c>
      <c r="BO45" s="3">
        <v>0.16</v>
      </c>
      <c r="BP45" s="3">
        <v>-0.16</v>
      </c>
      <c r="BQ45" s="3">
        <v>0</v>
      </c>
      <c r="BR45" t="s">
        <v>7935</v>
      </c>
      <c r="BS45" s="3">
        <v>4.68</v>
      </c>
      <c r="BT45" s="3">
        <v>7.0000000000000007E-2</v>
      </c>
      <c r="BU45" s="3">
        <v>-7.0000000000000007E-2</v>
      </c>
      <c r="BV45" s="3">
        <v>0</v>
      </c>
      <c r="BW45" t="s">
        <v>7936</v>
      </c>
      <c r="BX45" t="s">
        <v>8031</v>
      </c>
      <c r="BY45" s="3">
        <v>138.5916722</v>
      </c>
      <c r="BZ45" t="s">
        <v>8032</v>
      </c>
      <c r="CA45" s="3">
        <v>52.6835211</v>
      </c>
      <c r="CB45" s="3">
        <v>6.33256</v>
      </c>
      <c r="CC45" s="3">
        <v>1.67E-3</v>
      </c>
      <c r="CD45" s="3">
        <v>-1.6800000000000001E-3</v>
      </c>
      <c r="CE45" s="3">
        <v>7.7</v>
      </c>
      <c r="CF45" s="3">
        <v>0.1</v>
      </c>
      <c r="CG45" s="3">
        <v>-0.1</v>
      </c>
      <c r="CH45" s="3">
        <v>4.1360000000000001</v>
      </c>
      <c r="CI45" s="3">
        <v>0.02</v>
      </c>
      <c r="CJ45" s="3">
        <v>-0.02</v>
      </c>
      <c r="CK45" s="3">
        <v>7.0477499999999997</v>
      </c>
      <c r="CL45" s="3">
        <v>4.4000000000000002E-4</v>
      </c>
      <c r="CM45" s="3">
        <v>-4.4000000000000002E-4</v>
      </c>
      <c r="CN45" t="s">
        <v>8035</v>
      </c>
      <c r="CO45" t="s">
        <v>8036</v>
      </c>
      <c r="CP45" t="s">
        <v>8037</v>
      </c>
    </row>
    <row r="46" spans="1:94" x14ac:dyDescent="0.45">
      <c r="A46" t="s">
        <v>1337</v>
      </c>
      <c r="B46">
        <v>0</v>
      </c>
      <c r="C46" t="s">
        <v>1493</v>
      </c>
      <c r="D46" t="s">
        <v>1338</v>
      </c>
      <c r="E46" s="3">
        <v>0</v>
      </c>
      <c r="F46" s="3">
        <v>1</v>
      </c>
      <c r="G46" s="3">
        <v>3</v>
      </c>
      <c r="H46" t="s">
        <v>1494</v>
      </c>
      <c r="I46" s="3">
        <v>2019</v>
      </c>
      <c r="J46" t="s">
        <v>8038</v>
      </c>
      <c r="K46" t="s">
        <v>1429</v>
      </c>
      <c r="L46" s="3">
        <v>0</v>
      </c>
      <c r="M46" t="s">
        <v>8039</v>
      </c>
      <c r="N46" s="3">
        <v>3.9306230000000002</v>
      </c>
      <c r="O46" s="3">
        <v>1.0000000000000001E-5</v>
      </c>
      <c r="P46" s="3">
        <v>-1.0000000000000001E-5</v>
      </c>
      <c r="Q46" s="3">
        <v>0</v>
      </c>
      <c r="AY46" s="3">
        <v>0</v>
      </c>
      <c r="AZ46" t="s">
        <v>8040</v>
      </c>
      <c r="BA46" t="s">
        <v>8041</v>
      </c>
      <c r="BB46" s="3">
        <v>3505</v>
      </c>
      <c r="BC46" s="3">
        <v>51</v>
      </c>
      <c r="BD46" s="3">
        <v>-51</v>
      </c>
      <c r="BE46" s="3">
        <v>0</v>
      </c>
      <c r="BF46" s="3">
        <v>0.33700000000000002</v>
      </c>
      <c r="BG46" s="3">
        <v>1.4999999999999999E-2</v>
      </c>
      <c r="BH46" s="3">
        <v>-1.4999999999999999E-2</v>
      </c>
      <c r="BI46" s="3">
        <v>0</v>
      </c>
      <c r="BJ46" s="3">
        <v>0.34200000000000003</v>
      </c>
      <c r="BK46" s="3">
        <v>1.0999999999999999E-2</v>
      </c>
      <c r="BL46" s="3">
        <v>-1.0999999999999999E-2</v>
      </c>
      <c r="BM46" s="3">
        <v>0</v>
      </c>
      <c r="BN46" s="3">
        <v>-0.12</v>
      </c>
      <c r="BO46" s="3">
        <v>0.16</v>
      </c>
      <c r="BP46" s="3">
        <v>-0.16</v>
      </c>
      <c r="BQ46" s="3">
        <v>0</v>
      </c>
      <c r="BR46" t="s">
        <v>7935</v>
      </c>
      <c r="BS46" s="3">
        <v>4.9400000000000004</v>
      </c>
      <c r="BT46" s="3">
        <v>7.0000000000000007E-2</v>
      </c>
      <c r="BU46" s="3">
        <v>-7.0000000000000007E-2</v>
      </c>
      <c r="BV46" s="3">
        <v>0</v>
      </c>
      <c r="BW46" t="s">
        <v>7936</v>
      </c>
      <c r="BX46" t="s">
        <v>8042</v>
      </c>
      <c r="BY46" s="3">
        <v>144.0074644</v>
      </c>
      <c r="BZ46" t="s">
        <v>8043</v>
      </c>
      <c r="CA46" s="3">
        <v>-21.665063400000001</v>
      </c>
      <c r="CB46" s="3">
        <v>9.4418100000000003</v>
      </c>
      <c r="CC46" s="3">
        <v>5.11E-3</v>
      </c>
      <c r="CD46" s="3">
        <v>-5.11E-3</v>
      </c>
      <c r="CE46" s="3">
        <v>10.91</v>
      </c>
      <c r="CF46" s="3">
        <v>0.1</v>
      </c>
      <c r="CG46" s="3">
        <v>-0.1</v>
      </c>
      <c r="CH46" s="3">
        <v>6.4749999999999996</v>
      </c>
      <c r="CI46" s="3">
        <v>1.7000000000000001E-2</v>
      </c>
      <c r="CJ46" s="3">
        <v>-1.7000000000000001E-2</v>
      </c>
      <c r="CK46" s="3">
        <v>9.8803599999999996</v>
      </c>
      <c r="CL46" s="3">
        <v>1.4400000000000001E-3</v>
      </c>
      <c r="CM46" s="3">
        <v>-1.4400000000000001E-3</v>
      </c>
      <c r="CN46" t="s">
        <v>8044</v>
      </c>
      <c r="CO46" t="s">
        <v>7980</v>
      </c>
      <c r="CP46" t="s">
        <v>8044</v>
      </c>
    </row>
    <row r="47" spans="1:94" x14ac:dyDescent="0.45">
      <c r="A47" t="s">
        <v>1337</v>
      </c>
      <c r="B47">
        <v>1</v>
      </c>
      <c r="C47" t="s">
        <v>1493</v>
      </c>
      <c r="D47" t="s">
        <v>1338</v>
      </c>
      <c r="E47" s="3">
        <v>1</v>
      </c>
      <c r="F47" s="3">
        <v>1</v>
      </c>
      <c r="G47" s="3">
        <v>3</v>
      </c>
      <c r="H47" t="s">
        <v>1494</v>
      </c>
      <c r="I47" s="3">
        <v>2019</v>
      </c>
      <c r="J47" t="s">
        <v>8038</v>
      </c>
      <c r="K47" t="s">
        <v>1429</v>
      </c>
      <c r="L47" s="3">
        <v>0</v>
      </c>
      <c r="M47" t="s">
        <v>8045</v>
      </c>
      <c r="N47" s="3">
        <v>3.9306000000000001</v>
      </c>
      <c r="O47" s="3">
        <v>1.9999999999999999E-6</v>
      </c>
      <c r="P47" s="3">
        <v>-1.9999999999999999E-6</v>
      </c>
      <c r="Q47" s="3">
        <v>0</v>
      </c>
      <c r="R47" s="3">
        <v>3.5999999999999997E-2</v>
      </c>
      <c r="S47" s="3">
        <v>4.0000000000000002E-4</v>
      </c>
      <c r="T47" s="3">
        <v>-4.0000000000000002E-4</v>
      </c>
      <c r="U47" s="3">
        <v>0</v>
      </c>
      <c r="V47" s="3">
        <v>1.2</v>
      </c>
      <c r="W47" s="3">
        <v>0.06</v>
      </c>
      <c r="X47" s="3">
        <v>-0.06</v>
      </c>
      <c r="Y47" s="3">
        <v>0</v>
      </c>
      <c r="Z47" s="3">
        <v>0.10705700999999999</v>
      </c>
      <c r="AA47" s="3">
        <v>5.3528500000000001E-3</v>
      </c>
      <c r="AB47" s="3">
        <v>-5.3528500000000001E-3</v>
      </c>
      <c r="AC47" s="3">
        <v>0</v>
      </c>
      <c r="AU47" s="3">
        <v>518</v>
      </c>
      <c r="AV47" s="3">
        <v>44</v>
      </c>
      <c r="AW47" s="3">
        <v>-44</v>
      </c>
      <c r="AX47" s="3">
        <v>0</v>
      </c>
      <c r="AY47" s="3">
        <v>0</v>
      </c>
      <c r="AZ47" t="s">
        <v>8045</v>
      </c>
      <c r="BA47" t="s">
        <v>8041</v>
      </c>
      <c r="BB47" s="3">
        <v>3505</v>
      </c>
      <c r="BC47" s="3">
        <v>51</v>
      </c>
      <c r="BD47" s="3">
        <v>-51</v>
      </c>
      <c r="BE47" s="3">
        <v>0</v>
      </c>
      <c r="BF47" s="3">
        <v>0.33700000000000002</v>
      </c>
      <c r="BG47" s="3">
        <v>1.4999999999999999E-2</v>
      </c>
      <c r="BH47" s="3">
        <v>-1.4999999999999999E-2</v>
      </c>
      <c r="BI47" s="3">
        <v>0</v>
      </c>
      <c r="BJ47" s="3">
        <v>0.34200000000000003</v>
      </c>
      <c r="BK47" s="3">
        <v>1.0999999999999999E-2</v>
      </c>
      <c r="BL47" s="3">
        <v>-1.0999999999999999E-2</v>
      </c>
      <c r="BM47" s="3">
        <v>0</v>
      </c>
      <c r="BN47" s="3">
        <v>-0.12</v>
      </c>
      <c r="BO47" s="3">
        <v>0.16</v>
      </c>
      <c r="BP47" s="3">
        <v>-0.16</v>
      </c>
      <c r="BQ47" s="3">
        <v>0</v>
      </c>
      <c r="BR47" t="s">
        <v>7935</v>
      </c>
      <c r="BS47" s="3">
        <v>4.9400000000000004</v>
      </c>
      <c r="BT47" s="3">
        <v>7.0000000000000007E-2</v>
      </c>
      <c r="BU47" s="3">
        <v>-7.0000000000000007E-2</v>
      </c>
      <c r="BV47" s="3">
        <v>0</v>
      </c>
      <c r="BW47" t="s">
        <v>7936</v>
      </c>
      <c r="BX47" t="s">
        <v>8042</v>
      </c>
      <c r="BY47" s="3">
        <v>144.0074644</v>
      </c>
      <c r="BZ47" t="s">
        <v>8043</v>
      </c>
      <c r="CA47" s="3">
        <v>-21.665063400000001</v>
      </c>
      <c r="CB47" s="3">
        <v>9.4418100000000003</v>
      </c>
      <c r="CC47" s="3">
        <v>5.11E-3</v>
      </c>
      <c r="CD47" s="3">
        <v>-5.11E-3</v>
      </c>
      <c r="CE47" s="3">
        <v>10.91</v>
      </c>
      <c r="CF47" s="3">
        <v>0.1</v>
      </c>
      <c r="CG47" s="3">
        <v>-0.1</v>
      </c>
      <c r="CH47" s="3">
        <v>6.4749999999999996</v>
      </c>
      <c r="CI47" s="3">
        <v>1.7000000000000001E-2</v>
      </c>
      <c r="CJ47" s="3">
        <v>-1.7000000000000001E-2</v>
      </c>
      <c r="CK47" s="3">
        <v>9.8803599999999996</v>
      </c>
      <c r="CL47" s="3">
        <v>1.4400000000000001E-3</v>
      </c>
      <c r="CM47" s="3">
        <v>-1.4400000000000001E-3</v>
      </c>
      <c r="CN47" t="s">
        <v>1497</v>
      </c>
      <c r="CO47" t="s">
        <v>7980</v>
      </c>
      <c r="CP47" t="s">
        <v>1497</v>
      </c>
    </row>
    <row r="48" spans="1:94" x14ac:dyDescent="0.45">
      <c r="A48" t="s">
        <v>1337</v>
      </c>
      <c r="B48">
        <v>0</v>
      </c>
      <c r="C48" t="s">
        <v>1493</v>
      </c>
      <c r="D48" t="s">
        <v>1338</v>
      </c>
      <c r="E48" s="3">
        <v>0</v>
      </c>
      <c r="F48" s="3">
        <v>1</v>
      </c>
      <c r="G48" s="3">
        <v>3</v>
      </c>
      <c r="H48" t="s">
        <v>1494</v>
      </c>
      <c r="I48" s="3">
        <v>2019</v>
      </c>
      <c r="J48" t="s">
        <v>8038</v>
      </c>
      <c r="K48" t="s">
        <v>8046</v>
      </c>
      <c r="L48" s="3">
        <v>0</v>
      </c>
      <c r="M48" t="s">
        <v>8047</v>
      </c>
      <c r="N48" s="3">
        <v>3.9306027000000001</v>
      </c>
      <c r="O48" s="3">
        <v>3.0000000000000001E-6</v>
      </c>
      <c r="P48" s="3">
        <v>-3.0000000000000001E-6</v>
      </c>
      <c r="Q48" s="3">
        <v>0</v>
      </c>
      <c r="V48" s="3">
        <v>1.2699499999999999</v>
      </c>
      <c r="W48" s="3">
        <v>5.0609500000000002E-2</v>
      </c>
      <c r="X48" s="3">
        <v>-5.0609500000000002E-2</v>
      </c>
      <c r="Y48" s="3">
        <v>0</v>
      </c>
      <c r="Z48" s="3">
        <v>0.11329755</v>
      </c>
      <c r="AA48" s="3">
        <v>4.5150800000000003E-3</v>
      </c>
      <c r="AB48" s="3">
        <v>-4.5150800000000003E-3</v>
      </c>
      <c r="AC48" s="3">
        <v>0</v>
      </c>
      <c r="AQ48" s="3">
        <v>16.490100000000002</v>
      </c>
      <c r="AT48" s="3">
        <v>0</v>
      </c>
      <c r="AU48" s="3">
        <v>561</v>
      </c>
      <c r="AX48" s="3">
        <v>0</v>
      </c>
      <c r="AY48" s="3">
        <v>0</v>
      </c>
      <c r="AZ48" t="s">
        <v>8047</v>
      </c>
      <c r="BB48" s="3">
        <v>3505</v>
      </c>
      <c r="BC48" s="3">
        <v>90</v>
      </c>
      <c r="BD48" s="3">
        <v>-90</v>
      </c>
      <c r="BE48" s="3">
        <v>0</v>
      </c>
      <c r="BF48" s="3">
        <v>0.36</v>
      </c>
      <c r="BG48" s="3">
        <v>0.01</v>
      </c>
      <c r="BH48" s="3">
        <v>-0.01</v>
      </c>
      <c r="BI48" s="3">
        <v>0</v>
      </c>
      <c r="BS48" s="3">
        <v>4.9057300000000001</v>
      </c>
      <c r="BT48" s="3">
        <v>6.1793000000000001E-2</v>
      </c>
      <c r="BU48" s="3">
        <v>-6.1793000000000001E-2</v>
      </c>
      <c r="BV48" s="3">
        <v>0</v>
      </c>
      <c r="BW48" t="s">
        <v>7936</v>
      </c>
      <c r="BX48" t="s">
        <v>8042</v>
      </c>
      <c r="BY48" s="3">
        <v>144.0074644</v>
      </c>
      <c r="BZ48" t="s">
        <v>8043</v>
      </c>
      <c r="CA48" s="3">
        <v>-21.665063400000001</v>
      </c>
      <c r="CB48" s="3">
        <v>9.4418100000000003</v>
      </c>
      <c r="CC48" s="3">
        <v>5.11E-3</v>
      </c>
      <c r="CD48" s="3">
        <v>-5.11E-3</v>
      </c>
      <c r="CE48" s="3">
        <v>10.91</v>
      </c>
      <c r="CF48" s="3">
        <v>0.1</v>
      </c>
      <c r="CG48" s="3">
        <v>-0.1</v>
      </c>
      <c r="CH48" s="3">
        <v>6.4749999999999996</v>
      </c>
      <c r="CI48" s="3">
        <v>1.7000000000000001E-2</v>
      </c>
      <c r="CJ48" s="3">
        <v>-1.7000000000000001E-2</v>
      </c>
      <c r="CK48" s="3">
        <v>9.8803599999999996</v>
      </c>
      <c r="CL48" s="3">
        <v>1.4400000000000001E-3</v>
      </c>
      <c r="CM48" s="3">
        <v>-1.4400000000000001E-3</v>
      </c>
      <c r="CN48" t="s">
        <v>8048</v>
      </c>
      <c r="CO48" t="s">
        <v>8049</v>
      </c>
      <c r="CP48" t="s">
        <v>8048</v>
      </c>
    </row>
    <row r="49" spans="1:94" x14ac:dyDescent="0.45">
      <c r="A49" t="s">
        <v>1337</v>
      </c>
      <c r="B49">
        <v>0</v>
      </c>
      <c r="C49" t="s">
        <v>1493</v>
      </c>
      <c r="D49" t="s">
        <v>1338</v>
      </c>
      <c r="E49" s="3">
        <v>0</v>
      </c>
      <c r="F49" s="3">
        <v>1</v>
      </c>
      <c r="G49" s="3">
        <v>3</v>
      </c>
      <c r="H49" t="s">
        <v>1494</v>
      </c>
      <c r="I49" s="3">
        <v>2019</v>
      </c>
      <c r="J49" t="s">
        <v>8038</v>
      </c>
      <c r="K49" t="s">
        <v>1429</v>
      </c>
      <c r="L49" s="3">
        <v>0</v>
      </c>
      <c r="M49" t="s">
        <v>8040</v>
      </c>
      <c r="N49" s="3">
        <v>3.93072</v>
      </c>
      <c r="O49" s="3">
        <v>8.0000000000000007E-5</v>
      </c>
      <c r="P49" s="3">
        <v>-6.0000000000000002E-5</v>
      </c>
      <c r="Q49" s="3">
        <v>0</v>
      </c>
      <c r="R49" s="3">
        <v>3.5000000000000003E-2</v>
      </c>
      <c r="S49" s="3">
        <v>2E-3</v>
      </c>
      <c r="T49" s="3">
        <v>-2E-3</v>
      </c>
      <c r="U49" s="3">
        <v>0</v>
      </c>
      <c r="V49" s="3">
        <v>1.2170000000000001</v>
      </c>
      <c r="W49" s="3">
        <v>8.4000000000000005E-2</v>
      </c>
      <c r="X49" s="3">
        <v>-8.3000000000000004E-2</v>
      </c>
      <c r="Y49" s="3">
        <v>0</v>
      </c>
      <c r="Z49" s="3">
        <v>0.10857347000000001</v>
      </c>
      <c r="AA49" s="3">
        <v>7.4939799999999999E-3</v>
      </c>
      <c r="AB49" s="3">
        <v>-7.4047599999999998E-3</v>
      </c>
      <c r="AC49" s="3">
        <v>0</v>
      </c>
      <c r="AD49" s="3">
        <v>1.84</v>
      </c>
      <c r="AE49" s="3">
        <v>0.31</v>
      </c>
      <c r="AF49" s="3">
        <v>-0.31</v>
      </c>
      <c r="AG49" s="3">
        <v>0</v>
      </c>
      <c r="AH49" s="3">
        <v>5.7892600000000001E-3</v>
      </c>
      <c r="AI49" s="3">
        <v>9.7535999999999999E-4</v>
      </c>
      <c r="AJ49" s="3">
        <v>-9.7535999999999999E-4</v>
      </c>
      <c r="AK49" s="3">
        <v>0</v>
      </c>
      <c r="AL49" t="s">
        <v>1453</v>
      </c>
      <c r="AQ49" s="3">
        <v>12.6</v>
      </c>
      <c r="AR49" s="3">
        <v>1.1000000000000001</v>
      </c>
      <c r="AS49" s="3">
        <v>-0.8</v>
      </c>
      <c r="AT49" s="3">
        <v>0</v>
      </c>
      <c r="AU49" s="3">
        <v>525</v>
      </c>
      <c r="AV49" s="3">
        <v>11</v>
      </c>
      <c r="AW49" s="3">
        <v>-9</v>
      </c>
      <c r="AX49" s="3">
        <v>0</v>
      </c>
      <c r="AY49" s="3">
        <v>0</v>
      </c>
      <c r="AZ49" t="s">
        <v>8040</v>
      </c>
      <c r="BA49" t="s">
        <v>8041</v>
      </c>
      <c r="BB49" s="3">
        <v>3505</v>
      </c>
      <c r="BC49" s="3">
        <v>51</v>
      </c>
      <c r="BD49" s="3">
        <v>-51</v>
      </c>
      <c r="BE49" s="3">
        <v>0</v>
      </c>
      <c r="BF49" s="3">
        <v>0.33700000000000002</v>
      </c>
      <c r="BG49" s="3">
        <v>1.4999999999999999E-2</v>
      </c>
      <c r="BH49" s="3">
        <v>-1.4999999999999999E-2</v>
      </c>
      <c r="BI49" s="3">
        <v>0</v>
      </c>
      <c r="BJ49" s="3">
        <v>0.34200000000000003</v>
      </c>
      <c r="BK49" s="3">
        <v>1.0999999999999999E-2</v>
      </c>
      <c r="BL49" s="3">
        <v>-1.0999999999999999E-2</v>
      </c>
      <c r="BM49" s="3">
        <v>0</v>
      </c>
      <c r="BN49" s="3">
        <v>-0.12</v>
      </c>
      <c r="BO49" s="3">
        <v>0.16</v>
      </c>
      <c r="BP49" s="3">
        <v>-0.16</v>
      </c>
      <c r="BQ49" s="3">
        <v>0</v>
      </c>
      <c r="BR49" t="s">
        <v>7935</v>
      </c>
      <c r="BS49" s="3">
        <v>4.9400000000000004</v>
      </c>
      <c r="BT49" s="3">
        <v>7.0000000000000007E-2</v>
      </c>
      <c r="BU49" s="3">
        <v>-7.0000000000000007E-2</v>
      </c>
      <c r="BV49" s="3">
        <v>0</v>
      </c>
      <c r="BW49" t="s">
        <v>7936</v>
      </c>
      <c r="BX49" t="s">
        <v>8042</v>
      </c>
      <c r="BY49" s="3">
        <v>144.0074644</v>
      </c>
      <c r="BZ49" t="s">
        <v>8043</v>
      </c>
      <c r="CA49" s="3">
        <v>-21.665063400000001</v>
      </c>
      <c r="CB49" s="3">
        <v>9.4418100000000003</v>
      </c>
      <c r="CC49" s="3">
        <v>5.11E-3</v>
      </c>
      <c r="CD49" s="3">
        <v>-5.11E-3</v>
      </c>
      <c r="CE49" s="3">
        <v>10.91</v>
      </c>
      <c r="CF49" s="3">
        <v>0.1</v>
      </c>
      <c r="CG49" s="3">
        <v>-0.1</v>
      </c>
      <c r="CH49" s="3">
        <v>6.4749999999999996</v>
      </c>
      <c r="CI49" s="3">
        <v>1.7000000000000001E-2</v>
      </c>
      <c r="CJ49" s="3">
        <v>-1.7000000000000001E-2</v>
      </c>
      <c r="CK49" s="3">
        <v>9.8803599999999996</v>
      </c>
      <c r="CL49" s="3">
        <v>1.4400000000000001E-3</v>
      </c>
      <c r="CM49" s="3">
        <v>-1.4400000000000001E-3</v>
      </c>
      <c r="CN49" t="s">
        <v>8050</v>
      </c>
      <c r="CO49" t="s">
        <v>8051</v>
      </c>
      <c r="CP49" t="s">
        <v>8052</v>
      </c>
    </row>
    <row r="50" spans="1:94" x14ac:dyDescent="0.45">
      <c r="A50" t="s">
        <v>1337</v>
      </c>
      <c r="B50">
        <v>0</v>
      </c>
      <c r="C50" t="s">
        <v>1493</v>
      </c>
      <c r="D50" t="s">
        <v>1338</v>
      </c>
      <c r="E50" s="3">
        <v>0</v>
      </c>
      <c r="F50" s="3">
        <v>1</v>
      </c>
      <c r="G50" s="3">
        <v>3</v>
      </c>
      <c r="H50" t="s">
        <v>1494</v>
      </c>
      <c r="I50" s="3">
        <v>2019</v>
      </c>
      <c r="J50" t="s">
        <v>8038</v>
      </c>
      <c r="K50" t="s">
        <v>1429</v>
      </c>
      <c r="L50" s="3">
        <v>0</v>
      </c>
      <c r="M50" t="s">
        <v>8053</v>
      </c>
      <c r="AY50" s="3">
        <v>0</v>
      </c>
      <c r="BW50" t="s">
        <v>7936</v>
      </c>
      <c r="BX50" t="s">
        <v>8042</v>
      </c>
      <c r="BY50" s="3">
        <v>144.0074644</v>
      </c>
      <c r="BZ50" t="s">
        <v>8043</v>
      </c>
      <c r="CA50" s="3">
        <v>-21.665063400000001</v>
      </c>
      <c r="CB50" s="3">
        <v>9.4418100000000003</v>
      </c>
      <c r="CC50" s="3">
        <v>5.11E-3</v>
      </c>
      <c r="CD50" s="3">
        <v>-5.11E-3</v>
      </c>
      <c r="CE50" s="3">
        <v>10.91</v>
      </c>
      <c r="CF50" s="3">
        <v>0.1</v>
      </c>
      <c r="CG50" s="3">
        <v>-0.1</v>
      </c>
      <c r="CH50" s="3">
        <v>6.4749999999999996</v>
      </c>
      <c r="CI50" s="3">
        <v>1.7000000000000001E-2</v>
      </c>
      <c r="CJ50" s="3">
        <v>-1.7000000000000001E-2</v>
      </c>
      <c r="CK50" s="3">
        <v>9.8803599999999996</v>
      </c>
      <c r="CL50" s="3">
        <v>1.4400000000000001E-3</v>
      </c>
      <c r="CM50" s="3">
        <v>-1.4400000000000001E-3</v>
      </c>
      <c r="CN50" t="s">
        <v>8054</v>
      </c>
      <c r="CO50" t="s">
        <v>8055</v>
      </c>
      <c r="CP50" t="s">
        <v>8054</v>
      </c>
    </row>
    <row r="51" spans="1:94" x14ac:dyDescent="0.45">
      <c r="A51" t="s">
        <v>1337</v>
      </c>
      <c r="B51">
        <v>0</v>
      </c>
      <c r="C51" t="s">
        <v>1493</v>
      </c>
      <c r="D51" t="s">
        <v>1338</v>
      </c>
      <c r="E51" s="3">
        <v>0</v>
      </c>
      <c r="F51" s="3">
        <v>1</v>
      </c>
      <c r="G51" s="3">
        <v>3</v>
      </c>
      <c r="H51" t="s">
        <v>1494</v>
      </c>
      <c r="I51" s="3">
        <v>2019</v>
      </c>
      <c r="J51" t="s">
        <v>8038</v>
      </c>
      <c r="K51" t="s">
        <v>1429</v>
      </c>
      <c r="L51" s="3">
        <v>0</v>
      </c>
      <c r="M51" t="s">
        <v>8056</v>
      </c>
      <c r="N51" s="3">
        <v>3.93</v>
      </c>
      <c r="Q51" s="3">
        <v>0</v>
      </c>
      <c r="V51" s="3">
        <v>1.21</v>
      </c>
      <c r="W51" s="3">
        <v>0.05</v>
      </c>
      <c r="X51" s="3">
        <v>-0.05</v>
      </c>
      <c r="Y51" s="3">
        <v>0</v>
      </c>
      <c r="Z51" s="3">
        <v>0.10794916</v>
      </c>
      <c r="AA51" s="3">
        <v>4.4607099999999997E-3</v>
      </c>
      <c r="AB51" s="3">
        <v>-4.4607099999999997E-3</v>
      </c>
      <c r="AC51" s="3">
        <v>0</v>
      </c>
      <c r="AD51" s="3">
        <v>1.83</v>
      </c>
      <c r="AE51" s="3">
        <v>0.3</v>
      </c>
      <c r="AF51" s="3">
        <v>-0.3</v>
      </c>
      <c r="AG51" s="3">
        <v>0</v>
      </c>
      <c r="AH51" s="3">
        <v>5.7578200000000003E-3</v>
      </c>
      <c r="AI51" s="3">
        <v>9.4390999999999995E-4</v>
      </c>
      <c r="AJ51" s="3">
        <v>-9.4390999999999995E-4</v>
      </c>
      <c r="AK51" s="3">
        <v>0</v>
      </c>
      <c r="AL51" t="s">
        <v>1453</v>
      </c>
      <c r="AU51" s="3">
        <v>548</v>
      </c>
      <c r="AV51" s="3">
        <v>11</v>
      </c>
      <c r="AW51" s="3">
        <v>-11</v>
      </c>
      <c r="AX51" s="3">
        <v>0</v>
      </c>
      <c r="AY51" s="3">
        <v>0</v>
      </c>
      <c r="AZ51" t="s">
        <v>8056</v>
      </c>
      <c r="BA51" t="s">
        <v>8041</v>
      </c>
      <c r="BF51" s="3">
        <v>0.36</v>
      </c>
      <c r="BG51" s="3">
        <v>1.0999999999999999E-2</v>
      </c>
      <c r="BH51" s="3">
        <v>-1.0999999999999999E-2</v>
      </c>
      <c r="BI51" s="3">
        <v>0</v>
      </c>
      <c r="BJ51" s="3">
        <v>0.34599999999999997</v>
      </c>
      <c r="BK51" s="3">
        <v>7.0000000000000001E-3</v>
      </c>
      <c r="BL51" s="3">
        <v>-7.0000000000000001E-3</v>
      </c>
      <c r="BM51" s="3">
        <v>0</v>
      </c>
      <c r="BN51" s="3">
        <v>-0.12</v>
      </c>
      <c r="BO51" s="3">
        <v>0.12</v>
      </c>
      <c r="BP51" s="3">
        <v>-0.12</v>
      </c>
      <c r="BQ51" s="3">
        <v>0</v>
      </c>
      <c r="BR51" t="s">
        <v>7935</v>
      </c>
      <c r="BS51" s="3">
        <v>4.8600000000000003</v>
      </c>
      <c r="BT51" s="3">
        <v>0.03</v>
      </c>
      <c r="BU51" s="3">
        <v>-0.03</v>
      </c>
      <c r="BV51" s="3">
        <v>0</v>
      </c>
      <c r="BW51" t="s">
        <v>7936</v>
      </c>
      <c r="BX51" t="s">
        <v>8042</v>
      </c>
      <c r="BY51" s="3">
        <v>144.0074644</v>
      </c>
      <c r="BZ51" t="s">
        <v>8043</v>
      </c>
      <c r="CA51" s="3">
        <v>-21.665063400000001</v>
      </c>
      <c r="CB51" s="3">
        <v>9.4418100000000003</v>
      </c>
      <c r="CC51" s="3">
        <v>5.11E-3</v>
      </c>
      <c r="CD51" s="3">
        <v>-5.11E-3</v>
      </c>
      <c r="CE51" s="3">
        <v>10.91</v>
      </c>
      <c r="CF51" s="3">
        <v>0.1</v>
      </c>
      <c r="CG51" s="3">
        <v>-0.1</v>
      </c>
      <c r="CH51" s="3">
        <v>6.4749999999999996</v>
      </c>
      <c r="CI51" s="3">
        <v>1.7000000000000001E-2</v>
      </c>
      <c r="CJ51" s="3">
        <v>-1.7000000000000001E-2</v>
      </c>
      <c r="CK51" s="3">
        <v>9.8803599999999996</v>
      </c>
      <c r="CL51" s="3">
        <v>1.4400000000000001E-3</v>
      </c>
      <c r="CM51" s="3">
        <v>-1.4400000000000001E-3</v>
      </c>
      <c r="CN51" t="s">
        <v>8057</v>
      </c>
      <c r="CO51" t="s">
        <v>8058</v>
      </c>
      <c r="CP51" t="s">
        <v>8057</v>
      </c>
    </row>
    <row r="52" spans="1:94" x14ac:dyDescent="0.45">
      <c r="A52" t="s">
        <v>1337</v>
      </c>
      <c r="B52">
        <v>1</v>
      </c>
      <c r="C52" t="s">
        <v>1498</v>
      </c>
      <c r="D52" t="s">
        <v>1338</v>
      </c>
      <c r="E52" s="3">
        <v>1</v>
      </c>
      <c r="F52" s="3">
        <v>1</v>
      </c>
      <c r="G52" s="3">
        <v>3</v>
      </c>
      <c r="H52" t="s">
        <v>1427</v>
      </c>
      <c r="I52" s="3">
        <v>2019</v>
      </c>
      <c r="J52" t="s">
        <v>7932</v>
      </c>
      <c r="K52" t="s">
        <v>1429</v>
      </c>
      <c r="L52" s="3">
        <v>0</v>
      </c>
      <c r="M52" t="s">
        <v>8040</v>
      </c>
      <c r="N52" s="3">
        <v>9.1247000000000007</v>
      </c>
      <c r="O52" s="3">
        <v>1.1000000000000001E-3</v>
      </c>
      <c r="P52" s="3">
        <v>-1E-3</v>
      </c>
      <c r="Q52" s="3">
        <v>0</v>
      </c>
      <c r="R52" s="3">
        <v>6.0999999999999999E-2</v>
      </c>
      <c r="S52" s="3">
        <v>4.0000000000000001E-3</v>
      </c>
      <c r="T52" s="3">
        <v>-4.0000000000000001E-3</v>
      </c>
      <c r="U52" s="3">
        <v>0</v>
      </c>
      <c r="AD52" s="3">
        <v>3.4</v>
      </c>
      <c r="AE52" s="3">
        <v>0.46</v>
      </c>
      <c r="AF52" s="3">
        <v>-0.46</v>
      </c>
      <c r="AG52" s="3">
        <v>0</v>
      </c>
      <c r="AH52" s="3">
        <v>1.069754E-2</v>
      </c>
      <c r="AI52" s="3">
        <v>1.44731E-3</v>
      </c>
      <c r="AJ52" s="3">
        <v>-1.44731E-3</v>
      </c>
      <c r="AK52" s="3">
        <v>0</v>
      </c>
      <c r="AL52" t="s">
        <v>1426</v>
      </c>
      <c r="AQ52" s="3">
        <v>4.45</v>
      </c>
      <c r="AR52" s="3">
        <v>0.14000000000000001</v>
      </c>
      <c r="AS52" s="3">
        <v>-0.14000000000000001</v>
      </c>
      <c r="AT52" s="3">
        <v>0</v>
      </c>
      <c r="AU52" s="3">
        <v>401.2</v>
      </c>
      <c r="AV52" s="3">
        <v>10.8</v>
      </c>
      <c r="AW52" s="3">
        <v>-10.7</v>
      </c>
      <c r="AX52" s="3">
        <v>0</v>
      </c>
      <c r="AY52" s="3">
        <v>0</v>
      </c>
      <c r="AZ52" t="s">
        <v>8040</v>
      </c>
      <c r="BA52" t="s">
        <v>8041</v>
      </c>
      <c r="BB52" s="3">
        <v>3505</v>
      </c>
      <c r="BC52" s="3">
        <v>51</v>
      </c>
      <c r="BD52" s="3">
        <v>-51</v>
      </c>
      <c r="BE52" s="3">
        <v>0</v>
      </c>
      <c r="BF52" s="3">
        <v>0.33700000000000002</v>
      </c>
      <c r="BG52" s="3">
        <v>1.4999999999999999E-2</v>
      </c>
      <c r="BH52" s="3">
        <v>-1.4999999999999999E-2</v>
      </c>
      <c r="BI52" s="3">
        <v>0</v>
      </c>
      <c r="BJ52" s="3">
        <v>0.34200000000000003</v>
      </c>
      <c r="BK52" s="3">
        <v>1.0999999999999999E-2</v>
      </c>
      <c r="BL52" s="3">
        <v>-1.0999999999999999E-2</v>
      </c>
      <c r="BM52" s="3">
        <v>0</v>
      </c>
      <c r="BN52" s="3">
        <v>-0.12</v>
      </c>
      <c r="BO52" s="3">
        <v>0.16</v>
      </c>
      <c r="BP52" s="3">
        <v>-0.16</v>
      </c>
      <c r="BQ52" s="3">
        <v>0</v>
      </c>
      <c r="BR52" t="s">
        <v>7935</v>
      </c>
      <c r="BS52" s="3">
        <v>4.9400000000000004</v>
      </c>
      <c r="BT52" s="3">
        <v>7.0000000000000007E-2</v>
      </c>
      <c r="BU52" s="3">
        <v>-7.0000000000000007E-2</v>
      </c>
      <c r="BV52" s="3">
        <v>0</v>
      </c>
      <c r="BW52" t="s">
        <v>7936</v>
      </c>
      <c r="BX52" t="s">
        <v>8042</v>
      </c>
      <c r="BY52" s="3">
        <v>144.0074644</v>
      </c>
      <c r="BZ52" t="s">
        <v>8043</v>
      </c>
      <c r="CA52" s="3">
        <v>-21.665063400000001</v>
      </c>
      <c r="CB52" s="3">
        <v>9.4418100000000003</v>
      </c>
      <c r="CC52" s="3">
        <v>5.11E-3</v>
      </c>
      <c r="CD52" s="3">
        <v>-5.11E-3</v>
      </c>
      <c r="CE52" s="3">
        <v>10.91</v>
      </c>
      <c r="CF52" s="3">
        <v>0.1</v>
      </c>
      <c r="CG52" s="3">
        <v>-0.1</v>
      </c>
      <c r="CH52" s="3">
        <v>6.4749999999999996</v>
      </c>
      <c r="CI52" s="3">
        <v>1.7000000000000001E-2</v>
      </c>
      <c r="CJ52" s="3">
        <v>-1.7000000000000001E-2</v>
      </c>
      <c r="CK52" s="3">
        <v>9.8803599999999996</v>
      </c>
      <c r="CL52" s="3">
        <v>1.4400000000000001E-3</v>
      </c>
      <c r="CM52" s="3">
        <v>-1.4400000000000001E-3</v>
      </c>
      <c r="CN52" t="s">
        <v>1501</v>
      </c>
      <c r="CO52" t="s">
        <v>8051</v>
      </c>
      <c r="CP52" t="s">
        <v>8059</v>
      </c>
    </row>
    <row r="53" spans="1:94" x14ac:dyDescent="0.45">
      <c r="A53" t="s">
        <v>1337</v>
      </c>
      <c r="B53">
        <v>1</v>
      </c>
      <c r="C53" t="s">
        <v>1502</v>
      </c>
      <c r="D53" t="s">
        <v>1338</v>
      </c>
      <c r="E53" s="3">
        <v>1</v>
      </c>
      <c r="F53" s="3">
        <v>1</v>
      </c>
      <c r="G53" s="3">
        <v>3</v>
      </c>
      <c r="H53" t="s">
        <v>1427</v>
      </c>
      <c r="I53" s="3">
        <v>2019</v>
      </c>
      <c r="J53" t="s">
        <v>7932</v>
      </c>
      <c r="K53" t="s">
        <v>1429</v>
      </c>
      <c r="L53" s="3">
        <v>0</v>
      </c>
      <c r="M53" t="s">
        <v>8040</v>
      </c>
      <c r="N53" s="3">
        <v>55.661000000000001</v>
      </c>
      <c r="O53" s="3">
        <v>5.5E-2</v>
      </c>
      <c r="P53" s="3">
        <v>-5.5E-2</v>
      </c>
      <c r="Q53" s="3">
        <v>0</v>
      </c>
      <c r="R53" s="3">
        <v>0.20399999999999999</v>
      </c>
      <c r="S53" s="3">
        <v>1.4999999999999999E-2</v>
      </c>
      <c r="T53" s="3">
        <v>-1.4999999999999999E-2</v>
      </c>
      <c r="U53" s="3">
        <v>0</v>
      </c>
      <c r="AD53" s="3">
        <v>6.1</v>
      </c>
      <c r="AE53" s="3">
        <v>1</v>
      </c>
      <c r="AF53" s="3">
        <v>-1</v>
      </c>
      <c r="AG53" s="3">
        <v>0</v>
      </c>
      <c r="AH53" s="3">
        <v>1.9192649999999999E-2</v>
      </c>
      <c r="AI53" s="3">
        <v>3.1463400000000001E-3</v>
      </c>
      <c r="AJ53" s="3">
        <v>-3.1463400000000001E-3</v>
      </c>
      <c r="AK53" s="3">
        <v>0</v>
      </c>
      <c r="AL53" t="s">
        <v>1426</v>
      </c>
      <c r="AQ53" s="3">
        <v>0.38</v>
      </c>
      <c r="AR53" s="3">
        <v>0.01</v>
      </c>
      <c r="AS53" s="3">
        <v>-0.01</v>
      </c>
      <c r="AT53" s="3">
        <v>0</v>
      </c>
      <c r="AU53" s="3">
        <v>219.6</v>
      </c>
      <c r="AV53" s="3">
        <v>5.9</v>
      </c>
      <c r="AW53" s="3">
        <v>-5.9</v>
      </c>
      <c r="AX53" s="3">
        <v>0</v>
      </c>
      <c r="AY53" s="3">
        <v>0</v>
      </c>
      <c r="AZ53" t="s">
        <v>8040</v>
      </c>
      <c r="BA53" t="s">
        <v>8041</v>
      </c>
      <c r="BB53" s="3">
        <v>3505</v>
      </c>
      <c r="BC53" s="3">
        <v>51</v>
      </c>
      <c r="BD53" s="3">
        <v>-51</v>
      </c>
      <c r="BE53" s="3">
        <v>0</v>
      </c>
      <c r="BF53" s="3">
        <v>0.33700000000000002</v>
      </c>
      <c r="BG53" s="3">
        <v>1.4999999999999999E-2</v>
      </c>
      <c r="BH53" s="3">
        <v>-1.4999999999999999E-2</v>
      </c>
      <c r="BI53" s="3">
        <v>0</v>
      </c>
      <c r="BJ53" s="3">
        <v>0.34200000000000003</v>
      </c>
      <c r="BK53" s="3">
        <v>1.0999999999999999E-2</v>
      </c>
      <c r="BL53" s="3">
        <v>-1.0999999999999999E-2</v>
      </c>
      <c r="BM53" s="3">
        <v>0</v>
      </c>
      <c r="BN53" s="3">
        <v>-0.12</v>
      </c>
      <c r="BO53" s="3">
        <v>0.16</v>
      </c>
      <c r="BP53" s="3">
        <v>-0.16</v>
      </c>
      <c r="BQ53" s="3">
        <v>0</v>
      </c>
      <c r="BR53" t="s">
        <v>7935</v>
      </c>
      <c r="BS53" s="3">
        <v>4.9400000000000004</v>
      </c>
      <c r="BT53" s="3">
        <v>7.0000000000000007E-2</v>
      </c>
      <c r="BU53" s="3">
        <v>-7.0000000000000007E-2</v>
      </c>
      <c r="BV53" s="3">
        <v>0</v>
      </c>
      <c r="BW53" t="s">
        <v>7936</v>
      </c>
      <c r="BX53" t="s">
        <v>8042</v>
      </c>
      <c r="BY53" s="3">
        <v>144.0074644</v>
      </c>
      <c r="BZ53" t="s">
        <v>8043</v>
      </c>
      <c r="CA53" s="3">
        <v>-21.665063400000001</v>
      </c>
      <c r="CB53" s="3">
        <v>9.4418100000000003</v>
      </c>
      <c r="CC53" s="3">
        <v>5.11E-3</v>
      </c>
      <c r="CD53" s="3">
        <v>-5.11E-3</v>
      </c>
      <c r="CE53" s="3">
        <v>10.91</v>
      </c>
      <c r="CF53" s="3">
        <v>0.1</v>
      </c>
      <c r="CG53" s="3">
        <v>-0.1</v>
      </c>
      <c r="CH53" s="3">
        <v>6.4749999999999996</v>
      </c>
      <c r="CI53" s="3">
        <v>1.7000000000000001E-2</v>
      </c>
      <c r="CJ53" s="3">
        <v>-1.7000000000000001E-2</v>
      </c>
      <c r="CK53" s="3">
        <v>9.8803599999999996</v>
      </c>
      <c r="CL53" s="3">
        <v>1.4400000000000001E-3</v>
      </c>
      <c r="CM53" s="3">
        <v>-1.4400000000000001E-3</v>
      </c>
      <c r="CN53" t="s">
        <v>1501</v>
      </c>
      <c r="CO53" t="s">
        <v>8051</v>
      </c>
      <c r="CP53" t="s">
        <v>8059</v>
      </c>
    </row>
    <row r="54" spans="1:94" x14ac:dyDescent="0.45">
      <c r="A54" t="s">
        <v>806</v>
      </c>
      <c r="B54">
        <v>1</v>
      </c>
      <c r="C54" t="s">
        <v>805</v>
      </c>
      <c r="D54" t="s">
        <v>807</v>
      </c>
      <c r="E54" s="3">
        <v>1</v>
      </c>
      <c r="F54" s="3">
        <v>1</v>
      </c>
      <c r="G54" s="3">
        <v>1</v>
      </c>
      <c r="H54" t="s">
        <v>1427</v>
      </c>
      <c r="I54" s="3">
        <v>2021</v>
      </c>
      <c r="J54" t="s">
        <v>7932</v>
      </c>
      <c r="K54" t="s">
        <v>1429</v>
      </c>
      <c r="L54" s="3">
        <v>0</v>
      </c>
      <c r="M54" t="s">
        <v>8060</v>
      </c>
      <c r="N54" s="3">
        <v>7.0267900000000001</v>
      </c>
      <c r="O54" s="3">
        <v>8.1999999999999998E-4</v>
      </c>
      <c r="P54" s="3">
        <v>-8.4999999999999995E-4</v>
      </c>
      <c r="Q54" s="3">
        <v>0</v>
      </c>
      <c r="R54" s="3">
        <v>5.4019999999999999E-2</v>
      </c>
      <c r="S54" s="3">
        <v>7.2000000000000005E-4</v>
      </c>
      <c r="T54" s="3">
        <v>-7.2000000000000005E-4</v>
      </c>
      <c r="U54" s="3">
        <v>0</v>
      </c>
      <c r="AD54" s="3">
        <v>1.71</v>
      </c>
      <c r="AE54" s="3">
        <v>0.24</v>
      </c>
      <c r="AF54" s="3">
        <v>-0.24</v>
      </c>
      <c r="AG54" s="3">
        <v>0</v>
      </c>
      <c r="AH54" s="3">
        <v>5.3802600000000004E-3</v>
      </c>
      <c r="AI54" s="3">
        <v>7.5511999999999997E-4</v>
      </c>
      <c r="AJ54" s="3">
        <v>-7.5511999999999997E-4</v>
      </c>
      <c r="AK54" s="3">
        <v>0</v>
      </c>
      <c r="AL54" t="s">
        <v>1426</v>
      </c>
      <c r="AQ54" s="3">
        <v>9.2100000000000009</v>
      </c>
      <c r="AR54" s="3">
        <v>0.31</v>
      </c>
      <c r="AS54" s="3">
        <v>-0.31</v>
      </c>
      <c r="AT54" s="3">
        <v>0</v>
      </c>
      <c r="AU54" s="3">
        <v>485</v>
      </c>
      <c r="AV54" s="3">
        <v>11</v>
      </c>
      <c r="AW54" s="3">
        <v>-11</v>
      </c>
      <c r="AX54" s="3">
        <v>0</v>
      </c>
      <c r="AY54" s="3">
        <v>0</v>
      </c>
      <c r="AZ54" t="s">
        <v>8060</v>
      </c>
      <c r="BA54" t="s">
        <v>8061</v>
      </c>
      <c r="BB54" s="3">
        <v>3579</v>
      </c>
      <c r="BC54" s="3">
        <v>51</v>
      </c>
      <c r="BD54" s="3">
        <v>-51</v>
      </c>
      <c r="BE54" s="3">
        <v>0</v>
      </c>
      <c r="BF54" s="3">
        <v>0.42599999999999999</v>
      </c>
      <c r="BG54" s="3">
        <v>1.2999999999999999E-2</v>
      </c>
      <c r="BH54" s="3">
        <v>-1.2999999999999999E-2</v>
      </c>
      <c r="BI54" s="3">
        <v>0</v>
      </c>
      <c r="BJ54" s="3">
        <v>0.42599999999999999</v>
      </c>
      <c r="BK54" s="3">
        <v>1.7000000000000001E-2</v>
      </c>
      <c r="BL54" s="3">
        <v>-1.7000000000000001E-2</v>
      </c>
      <c r="BM54" s="3">
        <v>0</v>
      </c>
      <c r="BN54" s="3">
        <v>-0.09</v>
      </c>
      <c r="BO54" s="3">
        <v>0.16</v>
      </c>
      <c r="BP54" s="3">
        <v>-0.16</v>
      </c>
      <c r="BQ54" s="3">
        <v>0</v>
      </c>
      <c r="BR54" t="s">
        <v>7935</v>
      </c>
      <c r="BS54" s="3">
        <v>4.88</v>
      </c>
      <c r="BT54" s="3">
        <v>7.0000000000000007E-2</v>
      </c>
      <c r="BU54" s="3">
        <v>-7.0000000000000007E-2</v>
      </c>
      <c r="BV54" s="3">
        <v>0</v>
      </c>
      <c r="BW54" t="s">
        <v>7936</v>
      </c>
      <c r="BX54" t="s">
        <v>8062</v>
      </c>
      <c r="BY54" s="3">
        <v>157.2288672</v>
      </c>
      <c r="BZ54" t="s">
        <v>8063</v>
      </c>
      <c r="CA54" s="3">
        <v>0.8378485</v>
      </c>
      <c r="CB54" s="3">
        <v>7.0314899999999998</v>
      </c>
      <c r="CC54" s="3">
        <v>2.4849999999999998E-3</v>
      </c>
      <c r="CD54" s="3">
        <v>-2.4849999999999998E-3</v>
      </c>
      <c r="CE54" s="3">
        <v>9.65</v>
      </c>
      <c r="CF54" s="3">
        <v>0.1</v>
      </c>
      <c r="CG54" s="3">
        <v>-0.1</v>
      </c>
      <c r="CH54" s="3">
        <v>5.3109999999999999</v>
      </c>
      <c r="CI54" s="3">
        <v>2.3E-2</v>
      </c>
      <c r="CJ54" s="3">
        <v>-2.3E-2</v>
      </c>
      <c r="CK54" s="3">
        <v>8.6737300000000008</v>
      </c>
      <c r="CL54" s="3">
        <v>7.7999999999999999E-4</v>
      </c>
      <c r="CM54" s="3">
        <v>-7.7999999999999999E-4</v>
      </c>
      <c r="CN54" t="s">
        <v>1505</v>
      </c>
      <c r="CO54" t="s">
        <v>8064</v>
      </c>
      <c r="CP54" t="s">
        <v>1505</v>
      </c>
    </row>
    <row r="55" spans="1:94" x14ac:dyDescent="0.45">
      <c r="A55" t="s">
        <v>86</v>
      </c>
      <c r="B55">
        <v>0</v>
      </c>
      <c r="C55" t="s">
        <v>1506</v>
      </c>
      <c r="D55" t="s">
        <v>87</v>
      </c>
      <c r="E55" s="3">
        <v>0</v>
      </c>
      <c r="F55" s="3">
        <v>1</v>
      </c>
      <c r="G55" s="3">
        <v>2</v>
      </c>
      <c r="H55" t="s">
        <v>1427</v>
      </c>
      <c r="I55" s="3">
        <v>2019</v>
      </c>
      <c r="J55" t="s">
        <v>8065</v>
      </c>
      <c r="K55" t="s">
        <v>1429</v>
      </c>
      <c r="L55" s="3">
        <v>0</v>
      </c>
      <c r="M55" t="s">
        <v>8011</v>
      </c>
      <c r="N55" s="3">
        <v>12.946</v>
      </c>
      <c r="O55" s="3">
        <v>5.0000000000000001E-3</v>
      </c>
      <c r="P55" s="3">
        <v>-5.0000000000000001E-3</v>
      </c>
      <c r="Q55" s="3">
        <v>0</v>
      </c>
      <c r="R55" s="3">
        <v>7.8899999999999998E-2</v>
      </c>
      <c r="S55" s="3">
        <v>6.8000000000000005E-4</v>
      </c>
      <c r="T55" s="3">
        <v>-7.6999999999999996E-4</v>
      </c>
      <c r="U55" s="3">
        <v>0</v>
      </c>
      <c r="AD55" s="3">
        <v>2.69</v>
      </c>
      <c r="AE55" s="3">
        <v>0.25</v>
      </c>
      <c r="AF55" s="3">
        <v>-0.25</v>
      </c>
      <c r="AG55" s="3">
        <v>0</v>
      </c>
      <c r="AH55" s="3">
        <v>8.4636399999999997E-3</v>
      </c>
      <c r="AI55" s="3">
        <v>7.8658000000000005E-4</v>
      </c>
      <c r="AJ55" s="3">
        <v>-7.8658000000000005E-4</v>
      </c>
      <c r="AK55" s="3">
        <v>0</v>
      </c>
      <c r="AL55" t="s">
        <v>1426</v>
      </c>
      <c r="AM55" s="3">
        <v>0.12</v>
      </c>
      <c r="AN55" s="3">
        <v>0.12</v>
      </c>
      <c r="AO55" s="3">
        <v>-0.09</v>
      </c>
      <c r="AP55" s="3">
        <v>0</v>
      </c>
      <c r="AQ55" s="3">
        <v>3.13</v>
      </c>
      <c r="AR55" s="3">
        <v>0.2</v>
      </c>
      <c r="AS55" s="3">
        <v>-0.22</v>
      </c>
      <c r="AT55" s="3">
        <v>0</v>
      </c>
      <c r="AU55" s="3">
        <v>370.1</v>
      </c>
      <c r="AV55" s="3">
        <v>5.8</v>
      </c>
      <c r="AW55" s="3">
        <v>-6.8</v>
      </c>
      <c r="AX55" s="3">
        <v>0</v>
      </c>
      <c r="AY55" s="3">
        <v>0</v>
      </c>
      <c r="AZ55" t="s">
        <v>8011</v>
      </c>
      <c r="BA55" t="s">
        <v>8066</v>
      </c>
      <c r="BB55" s="3">
        <v>3601</v>
      </c>
      <c r="BC55" s="3">
        <v>51</v>
      </c>
      <c r="BD55" s="3">
        <v>-51</v>
      </c>
      <c r="BE55" s="3">
        <v>0</v>
      </c>
      <c r="BF55" s="3">
        <v>0.39200000000000002</v>
      </c>
      <c r="BG55" s="3">
        <v>4.0000000000000001E-3</v>
      </c>
      <c r="BH55" s="3">
        <v>-4.0000000000000001E-3</v>
      </c>
      <c r="BI55" s="3">
        <v>0</v>
      </c>
      <c r="BJ55" s="3">
        <v>0.39</v>
      </c>
      <c r="BK55" s="3">
        <v>1.0999999999999999E-2</v>
      </c>
      <c r="BL55" s="3">
        <v>-1.0999999999999999E-2</v>
      </c>
      <c r="BM55" s="3">
        <v>0</v>
      </c>
      <c r="BN55" s="3">
        <v>-0.09</v>
      </c>
      <c r="BO55" s="3">
        <v>0.16</v>
      </c>
      <c r="BP55" s="3">
        <v>-0.16</v>
      </c>
      <c r="BQ55" s="3">
        <v>0</v>
      </c>
      <c r="BR55" t="s">
        <v>7935</v>
      </c>
      <c r="BS55" s="3">
        <v>4.87</v>
      </c>
      <c r="BT55" s="3">
        <v>7.0000000000000007E-2</v>
      </c>
      <c r="BU55" s="3">
        <v>-7.0000000000000007E-2</v>
      </c>
      <c r="BV55" s="3">
        <v>0</v>
      </c>
      <c r="BW55" t="s">
        <v>7936</v>
      </c>
      <c r="BX55" t="s">
        <v>8067</v>
      </c>
      <c r="BY55" s="3">
        <v>165.83447100000001</v>
      </c>
      <c r="BZ55" t="s">
        <v>8068</v>
      </c>
      <c r="CA55" s="3">
        <v>35.972316999999997</v>
      </c>
      <c r="CB55" s="3">
        <v>5.6757730000000004</v>
      </c>
      <c r="CC55" s="3">
        <v>5.9099E-3</v>
      </c>
      <c r="CD55" s="3">
        <v>-5.9099E-3</v>
      </c>
      <c r="CE55" s="3">
        <v>7.49</v>
      </c>
      <c r="CF55" s="3">
        <v>0.1</v>
      </c>
      <c r="CG55" s="3">
        <v>-0.1</v>
      </c>
      <c r="CH55" s="3">
        <v>3.5009999999999999</v>
      </c>
      <c r="CI55" s="3">
        <v>0.35199999999999998</v>
      </c>
      <c r="CJ55" s="3">
        <v>-0.35199999999999998</v>
      </c>
      <c r="CN55" t="s">
        <v>8013</v>
      </c>
      <c r="CO55" t="s">
        <v>8014</v>
      </c>
      <c r="CP55" t="s">
        <v>8015</v>
      </c>
    </row>
    <row r="56" spans="1:94" x14ac:dyDescent="0.45">
      <c r="A56" t="s">
        <v>86</v>
      </c>
      <c r="B56">
        <v>0</v>
      </c>
      <c r="C56" t="s">
        <v>1506</v>
      </c>
      <c r="D56" t="s">
        <v>87</v>
      </c>
      <c r="E56" s="3">
        <v>0</v>
      </c>
      <c r="F56" s="3">
        <v>1</v>
      </c>
      <c r="G56" s="3">
        <v>2</v>
      </c>
      <c r="H56" t="s">
        <v>1427</v>
      </c>
      <c r="I56" s="3">
        <v>2019</v>
      </c>
      <c r="J56" t="s">
        <v>8065</v>
      </c>
      <c r="K56" t="s">
        <v>1429</v>
      </c>
      <c r="L56" s="3">
        <v>0</v>
      </c>
      <c r="M56" t="s">
        <v>7940</v>
      </c>
      <c r="N56" s="3">
        <v>12.9381</v>
      </c>
      <c r="O56" s="3">
        <v>1.6000000000000001E-3</v>
      </c>
      <c r="P56" s="3">
        <v>-1.6000000000000001E-3</v>
      </c>
      <c r="Q56" s="3">
        <v>0</v>
      </c>
      <c r="R56" s="3">
        <v>7.6700000000000004E-2</v>
      </c>
      <c r="S56" s="3">
        <v>4.0000000000000001E-3</v>
      </c>
      <c r="T56" s="3">
        <v>-4.4999999999999997E-3</v>
      </c>
      <c r="U56" s="3">
        <v>0</v>
      </c>
      <c r="AD56" s="3">
        <v>2.35</v>
      </c>
      <c r="AE56" s="3">
        <v>0.35</v>
      </c>
      <c r="AF56" s="3">
        <v>-0.34</v>
      </c>
      <c r="AG56" s="3">
        <v>0</v>
      </c>
      <c r="AH56" s="3">
        <v>7.3939299999999999E-3</v>
      </c>
      <c r="AI56" s="3">
        <v>1.10122E-3</v>
      </c>
      <c r="AJ56" s="3">
        <v>-1.0697599999999999E-3</v>
      </c>
      <c r="AK56" s="3">
        <v>0</v>
      </c>
      <c r="AL56" t="s">
        <v>1426</v>
      </c>
      <c r="AM56" s="3">
        <v>0.13400000000000001</v>
      </c>
      <c r="AN56" s="3">
        <v>0.11</v>
      </c>
      <c r="AO56" s="3">
        <v>-9.2999999999999999E-2</v>
      </c>
      <c r="AP56" s="3">
        <v>0</v>
      </c>
      <c r="AY56" s="3">
        <v>0</v>
      </c>
      <c r="AZ56" t="s">
        <v>7940</v>
      </c>
      <c r="BB56" s="3">
        <v>3601</v>
      </c>
      <c r="BE56" s="3">
        <v>0</v>
      </c>
      <c r="BW56" t="s">
        <v>7936</v>
      </c>
      <c r="BX56" t="s">
        <v>8067</v>
      </c>
      <c r="BY56" s="3">
        <v>165.83447100000001</v>
      </c>
      <c r="BZ56" t="s">
        <v>8068</v>
      </c>
      <c r="CA56" s="3">
        <v>35.972316999999997</v>
      </c>
      <c r="CB56" s="3">
        <v>5.6757730000000004</v>
      </c>
      <c r="CC56" s="3">
        <v>5.9099E-3</v>
      </c>
      <c r="CD56" s="3">
        <v>-5.9099E-3</v>
      </c>
      <c r="CE56" s="3">
        <v>7.49</v>
      </c>
      <c r="CF56" s="3">
        <v>0.1</v>
      </c>
      <c r="CG56" s="3">
        <v>-0.1</v>
      </c>
      <c r="CH56" s="3">
        <v>3.5009999999999999</v>
      </c>
      <c r="CI56" s="3">
        <v>0.35199999999999998</v>
      </c>
      <c r="CJ56" s="3">
        <v>-0.35199999999999998</v>
      </c>
      <c r="CN56" t="s">
        <v>1513</v>
      </c>
      <c r="CO56" t="s">
        <v>7941</v>
      </c>
      <c r="CP56" t="s">
        <v>1513</v>
      </c>
    </row>
    <row r="57" spans="1:94" x14ac:dyDescent="0.45">
      <c r="A57" t="s">
        <v>86</v>
      </c>
      <c r="B57">
        <v>1</v>
      </c>
      <c r="C57" t="s">
        <v>1506</v>
      </c>
      <c r="D57" t="s">
        <v>87</v>
      </c>
      <c r="E57" s="3">
        <v>1</v>
      </c>
      <c r="F57" s="3">
        <v>1</v>
      </c>
      <c r="G57" s="3">
        <v>2</v>
      </c>
      <c r="H57" t="s">
        <v>1427</v>
      </c>
      <c r="I57" s="3">
        <v>2019</v>
      </c>
      <c r="J57" t="s">
        <v>8065</v>
      </c>
      <c r="K57" t="s">
        <v>1429</v>
      </c>
      <c r="L57" s="3">
        <v>0</v>
      </c>
      <c r="M57" t="s">
        <v>8069</v>
      </c>
      <c r="N57" s="3">
        <v>12.939399999999999</v>
      </c>
      <c r="O57" s="3">
        <v>1.4E-3</v>
      </c>
      <c r="P57" s="3">
        <v>-1.2999999999999999E-3</v>
      </c>
      <c r="Q57" s="3">
        <v>0</v>
      </c>
      <c r="R57" s="3">
        <v>7.8789999999999999E-2</v>
      </c>
      <c r="S57" s="3">
        <v>5.5999999999999995E-4</v>
      </c>
      <c r="T57" s="3">
        <v>-5.5000000000000003E-4</v>
      </c>
      <c r="U57" s="3">
        <v>0</v>
      </c>
      <c r="AD57" s="3">
        <v>2.69</v>
      </c>
      <c r="AE57" s="3">
        <v>0.19</v>
      </c>
      <c r="AF57" s="3">
        <v>-0.18</v>
      </c>
      <c r="AG57" s="3">
        <v>0</v>
      </c>
      <c r="AH57" s="3">
        <v>8.4636899999999994E-3</v>
      </c>
      <c r="AI57" s="3">
        <v>5.9781000000000005E-4</v>
      </c>
      <c r="AJ57" s="3">
        <v>-5.6634000000000003E-4</v>
      </c>
      <c r="AK57" s="3">
        <v>0</v>
      </c>
      <c r="AL57" t="s">
        <v>1426</v>
      </c>
      <c r="AM57" s="3">
        <v>6.3E-2</v>
      </c>
      <c r="AN57" s="3">
        <v>6.0999999999999999E-2</v>
      </c>
      <c r="AO57" s="3">
        <v>-4.2999999999999997E-2</v>
      </c>
      <c r="AP57" s="3">
        <v>0</v>
      </c>
      <c r="AY57" s="3">
        <v>0</v>
      </c>
      <c r="AZ57" t="s">
        <v>8069</v>
      </c>
      <c r="BB57" s="3">
        <v>3719</v>
      </c>
      <c r="BC57" s="3">
        <v>21</v>
      </c>
      <c r="BD57" s="3">
        <v>-31</v>
      </c>
      <c r="BE57" s="3">
        <v>0</v>
      </c>
      <c r="BF57" s="3">
        <v>0.36849999999999999</v>
      </c>
      <c r="BG57" s="3">
        <v>8.0999999999999996E-3</v>
      </c>
      <c r="BH57" s="3">
        <v>-5.4000000000000003E-3</v>
      </c>
      <c r="BI57" s="3">
        <v>0</v>
      </c>
      <c r="BJ57" s="3">
        <v>0.38990000000000002</v>
      </c>
      <c r="BK57" s="3">
        <v>1.06E-2</v>
      </c>
      <c r="BL57" s="3">
        <v>-6.1000000000000004E-3</v>
      </c>
      <c r="BM57" s="3">
        <v>0</v>
      </c>
      <c r="BN57" s="3">
        <v>-0.36209999999999998</v>
      </c>
      <c r="BO57" s="3">
        <v>8.72E-2</v>
      </c>
      <c r="BP57" s="3">
        <v>-6.8699999999999997E-2</v>
      </c>
      <c r="BQ57" s="3">
        <v>0</v>
      </c>
      <c r="BR57" t="s">
        <v>7935</v>
      </c>
      <c r="BS57" s="3">
        <v>4.8949999999999996</v>
      </c>
      <c r="BT57" s="3">
        <v>8.0000000000000002E-3</v>
      </c>
      <c r="BU57" s="3">
        <v>-0.01</v>
      </c>
      <c r="BV57" s="3">
        <v>0</v>
      </c>
      <c r="BW57" t="s">
        <v>7936</v>
      </c>
      <c r="BX57" t="s">
        <v>8067</v>
      </c>
      <c r="BY57" s="3">
        <v>165.83447100000001</v>
      </c>
      <c r="BZ57" t="s">
        <v>8068</v>
      </c>
      <c r="CA57" s="3">
        <v>35.972316999999997</v>
      </c>
      <c r="CB57" s="3">
        <v>5.6757730000000004</v>
      </c>
      <c r="CC57" s="3">
        <v>5.9099E-3</v>
      </c>
      <c r="CD57" s="3">
        <v>-5.9099E-3</v>
      </c>
      <c r="CE57" s="3">
        <v>7.49</v>
      </c>
      <c r="CF57" s="3">
        <v>0.1</v>
      </c>
      <c r="CG57" s="3">
        <v>-0.1</v>
      </c>
      <c r="CH57" s="3">
        <v>3.5009999999999999</v>
      </c>
      <c r="CI57" s="3">
        <v>0.35199999999999998</v>
      </c>
      <c r="CJ57" s="3">
        <v>-0.35199999999999998</v>
      </c>
      <c r="CN57" t="s">
        <v>1509</v>
      </c>
      <c r="CO57" t="s">
        <v>8070</v>
      </c>
      <c r="CP57" t="s">
        <v>1509</v>
      </c>
    </row>
    <row r="58" spans="1:94" x14ac:dyDescent="0.45">
      <c r="A58" t="s">
        <v>86</v>
      </c>
      <c r="B58">
        <v>0</v>
      </c>
      <c r="C58" t="s">
        <v>1506</v>
      </c>
      <c r="D58" t="s">
        <v>87</v>
      </c>
      <c r="E58" s="3">
        <v>0</v>
      </c>
      <c r="F58" s="3">
        <v>1</v>
      </c>
      <c r="G58" s="3">
        <v>2</v>
      </c>
      <c r="H58" t="s">
        <v>1427</v>
      </c>
      <c r="I58" s="3">
        <v>2019</v>
      </c>
      <c r="J58" t="s">
        <v>8065</v>
      </c>
      <c r="K58" t="s">
        <v>1429</v>
      </c>
      <c r="L58" s="3">
        <v>0</v>
      </c>
      <c r="M58" t="s">
        <v>8071</v>
      </c>
      <c r="N58" s="3">
        <v>12.953200000000001</v>
      </c>
      <c r="O58" s="3">
        <v>7.9000000000000008E-3</v>
      </c>
      <c r="P58" s="3">
        <v>-7.9000000000000008E-3</v>
      </c>
      <c r="Q58" s="3">
        <v>0</v>
      </c>
      <c r="R58" s="3">
        <v>7.85E-2</v>
      </c>
      <c r="S58" s="3">
        <v>2.7000000000000001E-3</v>
      </c>
      <c r="T58" s="3">
        <v>-2.7000000000000001E-3</v>
      </c>
      <c r="U58" s="3">
        <v>0</v>
      </c>
      <c r="AD58" s="3">
        <v>2.99</v>
      </c>
      <c r="AE58" s="3">
        <v>0.46</v>
      </c>
      <c r="AF58" s="3">
        <v>-0.46</v>
      </c>
      <c r="AG58" s="3">
        <v>0</v>
      </c>
      <c r="AH58" s="3">
        <v>9.4075400000000007E-3</v>
      </c>
      <c r="AI58" s="3">
        <v>1.44731E-3</v>
      </c>
      <c r="AJ58" s="3">
        <v>-1.44731E-3</v>
      </c>
      <c r="AK58" s="3">
        <v>0</v>
      </c>
      <c r="AL58" t="s">
        <v>1426</v>
      </c>
      <c r="AM58" s="3">
        <v>0.22</v>
      </c>
      <c r="AN58" s="3">
        <v>0.13</v>
      </c>
      <c r="AO58" s="3">
        <v>-0.13</v>
      </c>
      <c r="AP58" s="3">
        <v>0</v>
      </c>
      <c r="AU58" s="3">
        <v>349.83</v>
      </c>
      <c r="AV58" s="3">
        <v>0.32</v>
      </c>
      <c r="AW58" s="3">
        <v>-0.32</v>
      </c>
      <c r="AX58" s="3">
        <v>0</v>
      </c>
      <c r="AY58" s="3">
        <v>0</v>
      </c>
      <c r="AZ58" t="s">
        <v>8071</v>
      </c>
      <c r="BA58" t="s">
        <v>8072</v>
      </c>
      <c r="BB58" s="3">
        <v>3563</v>
      </c>
      <c r="BC58" s="3">
        <v>60</v>
      </c>
      <c r="BD58" s="3">
        <v>-60</v>
      </c>
      <c r="BE58" s="3">
        <v>0</v>
      </c>
      <c r="BF58" s="3">
        <v>0.38900000000000001</v>
      </c>
      <c r="BG58" s="3">
        <v>1.2999999999999999E-2</v>
      </c>
      <c r="BH58" s="3">
        <v>-1.2999999999999999E-2</v>
      </c>
      <c r="BI58" s="3">
        <v>0</v>
      </c>
      <c r="BJ58" s="3">
        <v>0.38600000000000001</v>
      </c>
      <c r="BK58" s="3">
        <v>3.9E-2</v>
      </c>
      <c r="BL58" s="3">
        <v>-3.9E-2</v>
      </c>
      <c r="BM58" s="3">
        <v>0</v>
      </c>
      <c r="BN58" s="3">
        <v>-0.38</v>
      </c>
      <c r="BO58" s="3">
        <v>0.08</v>
      </c>
      <c r="BP58" s="3">
        <v>-0.08</v>
      </c>
      <c r="BQ58" s="3">
        <v>0</v>
      </c>
      <c r="BR58" t="s">
        <v>7935</v>
      </c>
      <c r="BW58" t="s">
        <v>7936</v>
      </c>
      <c r="BX58" t="s">
        <v>8067</v>
      </c>
      <c r="BY58" s="3">
        <v>165.83447100000001</v>
      </c>
      <c r="BZ58" t="s">
        <v>8068</v>
      </c>
      <c r="CA58" s="3">
        <v>35.972316999999997</v>
      </c>
      <c r="CB58" s="3">
        <v>5.6757730000000004</v>
      </c>
      <c r="CC58" s="3">
        <v>5.9099E-3</v>
      </c>
      <c r="CD58" s="3">
        <v>-5.9099E-3</v>
      </c>
      <c r="CE58" s="3">
        <v>7.49</v>
      </c>
      <c r="CF58" s="3">
        <v>0.1</v>
      </c>
      <c r="CG58" s="3">
        <v>-0.1</v>
      </c>
      <c r="CH58" s="3">
        <v>3.5009999999999999</v>
      </c>
      <c r="CI58" s="3">
        <v>0.35199999999999998</v>
      </c>
      <c r="CJ58" s="3">
        <v>-0.35199999999999998</v>
      </c>
      <c r="CN58" t="s">
        <v>8013</v>
      </c>
      <c r="CO58" t="s">
        <v>8073</v>
      </c>
      <c r="CP58" t="s">
        <v>8074</v>
      </c>
    </row>
    <row r="59" spans="1:94" x14ac:dyDescent="0.45">
      <c r="A59" t="s">
        <v>86</v>
      </c>
      <c r="B59">
        <v>0</v>
      </c>
      <c r="C59" t="s">
        <v>1506</v>
      </c>
      <c r="D59" t="s">
        <v>87</v>
      </c>
      <c r="E59" s="3">
        <v>0</v>
      </c>
      <c r="F59" s="3">
        <v>1</v>
      </c>
      <c r="G59" s="3">
        <v>2</v>
      </c>
      <c r="H59" t="s">
        <v>1427</v>
      </c>
      <c r="I59" s="3">
        <v>2019</v>
      </c>
      <c r="J59" t="s">
        <v>8065</v>
      </c>
      <c r="K59" t="s">
        <v>1429</v>
      </c>
      <c r="L59" s="3">
        <v>0</v>
      </c>
      <c r="M59" t="s">
        <v>7942</v>
      </c>
      <c r="N59" s="3">
        <v>12.9382</v>
      </c>
      <c r="O59" s="3">
        <v>1.8E-3</v>
      </c>
      <c r="P59" s="3">
        <v>-1.6000000000000001E-3</v>
      </c>
      <c r="Q59" s="3">
        <v>0</v>
      </c>
      <c r="R59" s="3">
        <v>7.8920000000000004E-2</v>
      </c>
      <c r="S59" s="3">
        <v>5.4000000000000001E-4</v>
      </c>
      <c r="T59" s="3">
        <v>-5.5000000000000003E-4</v>
      </c>
      <c r="U59" s="3">
        <v>0</v>
      </c>
      <c r="AD59" s="3">
        <v>2.8032465499999999</v>
      </c>
      <c r="AE59" s="3">
        <v>0.29240212999999998</v>
      </c>
      <c r="AF59" s="3">
        <v>-0.31147184</v>
      </c>
      <c r="AG59" s="3">
        <v>0</v>
      </c>
      <c r="AH59" s="3">
        <v>8.8199999999999997E-3</v>
      </c>
      <c r="AI59" s="3">
        <v>9.2000000000000003E-4</v>
      </c>
      <c r="AJ59" s="3">
        <v>-9.7999999999999997E-4</v>
      </c>
      <c r="AK59" s="3">
        <v>0</v>
      </c>
      <c r="AL59" t="s">
        <v>1426</v>
      </c>
      <c r="AM59" s="3">
        <v>9.5000000000000001E-2</v>
      </c>
      <c r="AN59" s="3">
        <v>9.9000000000000005E-2</v>
      </c>
      <c r="AO59" s="3">
        <v>-6.6000000000000003E-2</v>
      </c>
      <c r="AP59" s="3">
        <v>0</v>
      </c>
      <c r="AY59" s="3">
        <v>0</v>
      </c>
      <c r="AZ59" t="s">
        <v>7942</v>
      </c>
      <c r="BB59" s="3">
        <v>3719.95</v>
      </c>
      <c r="BC59" s="3">
        <v>28.3</v>
      </c>
      <c r="BD59" s="3">
        <v>-28.3</v>
      </c>
      <c r="BE59" s="3">
        <v>0</v>
      </c>
      <c r="BF59" s="3">
        <v>0.36908299999999999</v>
      </c>
      <c r="BG59" s="3">
        <v>6.6670000000000002E-3</v>
      </c>
      <c r="BH59" s="3">
        <v>-6.6670000000000002E-3</v>
      </c>
      <c r="BI59" s="3">
        <v>0</v>
      </c>
      <c r="BJ59" s="3">
        <v>0.39184600000000003</v>
      </c>
      <c r="BK59" s="3">
        <v>8.1679999999999999E-3</v>
      </c>
      <c r="BL59" s="3">
        <v>-8.1679999999999999E-3</v>
      </c>
      <c r="BM59" s="3">
        <v>0</v>
      </c>
      <c r="BN59" s="3">
        <v>-0.36120000000000002</v>
      </c>
      <c r="BO59" s="3">
        <v>8.1699999999999995E-2</v>
      </c>
      <c r="BP59" s="3">
        <v>-8.1699999999999995E-2</v>
      </c>
      <c r="BQ59" s="3">
        <v>0</v>
      </c>
      <c r="BR59" t="s">
        <v>7935</v>
      </c>
      <c r="BS59" s="3">
        <v>4.8950399999999998</v>
      </c>
      <c r="BT59" s="3">
        <v>8.8780000000000005E-3</v>
      </c>
      <c r="BU59" s="3">
        <v>-8.8780000000000005E-3</v>
      </c>
      <c r="BV59" s="3">
        <v>0</v>
      </c>
      <c r="BW59" t="s">
        <v>7936</v>
      </c>
      <c r="BX59" t="s">
        <v>8067</v>
      </c>
      <c r="BY59" s="3">
        <v>165.83447100000001</v>
      </c>
      <c r="BZ59" t="s">
        <v>8068</v>
      </c>
      <c r="CA59" s="3">
        <v>35.972316999999997</v>
      </c>
      <c r="CB59" s="3">
        <v>5.6757730000000004</v>
      </c>
      <c r="CC59" s="3">
        <v>5.9099E-3</v>
      </c>
      <c r="CD59" s="3">
        <v>-5.9099E-3</v>
      </c>
      <c r="CE59" s="3">
        <v>7.49</v>
      </c>
      <c r="CF59" s="3">
        <v>0.1</v>
      </c>
      <c r="CG59" s="3">
        <v>-0.1</v>
      </c>
      <c r="CH59" s="3">
        <v>3.5009999999999999</v>
      </c>
      <c r="CI59" s="3">
        <v>0.35199999999999998</v>
      </c>
      <c r="CJ59" s="3">
        <v>-0.35199999999999998</v>
      </c>
      <c r="CN59" t="s">
        <v>7943</v>
      </c>
      <c r="CO59" t="s">
        <v>7944</v>
      </c>
      <c r="CP59" t="s">
        <v>7943</v>
      </c>
    </row>
    <row r="60" spans="1:94" x14ac:dyDescent="0.45">
      <c r="A60" t="s">
        <v>849</v>
      </c>
      <c r="B60">
        <v>1</v>
      </c>
      <c r="C60" t="s">
        <v>1510</v>
      </c>
      <c r="D60" t="s">
        <v>847</v>
      </c>
      <c r="E60" s="3">
        <v>1</v>
      </c>
      <c r="F60" s="3">
        <v>1</v>
      </c>
      <c r="G60" s="3">
        <v>2</v>
      </c>
      <c r="H60" t="s">
        <v>1427</v>
      </c>
      <c r="I60" s="3">
        <v>2026</v>
      </c>
      <c r="J60" t="s">
        <v>8023</v>
      </c>
      <c r="K60" t="s">
        <v>1429</v>
      </c>
      <c r="L60" s="3">
        <v>0</v>
      </c>
      <c r="M60" t="s">
        <v>8075</v>
      </c>
      <c r="N60" s="3">
        <v>1.6338999999999999</v>
      </c>
      <c r="O60" s="3">
        <v>1E-4</v>
      </c>
      <c r="P60" s="3">
        <v>-1E-4</v>
      </c>
      <c r="Q60" s="3">
        <v>0</v>
      </c>
      <c r="R60" s="3">
        <v>1.5299999999999999E-2</v>
      </c>
      <c r="S60" s="3">
        <v>8.0000000000000004E-4</v>
      </c>
      <c r="T60" s="3">
        <v>-8.0000000000000004E-4</v>
      </c>
      <c r="U60" s="3">
        <v>0</v>
      </c>
      <c r="AD60" s="3">
        <v>2.97</v>
      </c>
      <c r="AE60" s="3">
        <v>0.54</v>
      </c>
      <c r="AF60" s="3">
        <v>-0.5</v>
      </c>
      <c r="AG60" s="3">
        <v>0</v>
      </c>
      <c r="AH60" s="3">
        <v>9.3446699999999994E-3</v>
      </c>
      <c r="AI60" s="3">
        <v>1.69903E-3</v>
      </c>
      <c r="AJ60" s="3">
        <v>-1.57318E-3</v>
      </c>
      <c r="AK60" s="3">
        <v>0</v>
      </c>
      <c r="AL60" t="s">
        <v>1426</v>
      </c>
      <c r="AQ60" s="3">
        <v>14.7</v>
      </c>
      <c r="AR60" s="3">
        <v>1.5</v>
      </c>
      <c r="AS60" s="3">
        <v>-1.5</v>
      </c>
      <c r="AT60" s="3">
        <v>0</v>
      </c>
      <c r="AY60" s="3">
        <v>0</v>
      </c>
      <c r="AZ60" t="s">
        <v>8075</v>
      </c>
      <c r="BA60" t="s">
        <v>8076</v>
      </c>
      <c r="BB60" s="3">
        <v>3228</v>
      </c>
      <c r="BC60" s="3">
        <v>19</v>
      </c>
      <c r="BD60" s="3">
        <v>-19</v>
      </c>
      <c r="BE60" s="3">
        <v>0</v>
      </c>
      <c r="BF60" s="3">
        <v>0.19</v>
      </c>
      <c r="BG60" s="3">
        <v>0.01</v>
      </c>
      <c r="BH60" s="3">
        <v>-0.01</v>
      </c>
      <c r="BI60" s="3">
        <v>0</v>
      </c>
      <c r="BJ60" s="3">
        <v>0.18</v>
      </c>
      <c r="BK60" s="3">
        <v>0.03</v>
      </c>
      <c r="BL60" s="3">
        <v>-0.03</v>
      </c>
      <c r="BM60" s="3">
        <v>0</v>
      </c>
      <c r="BN60" s="3">
        <v>-0.19</v>
      </c>
      <c r="BO60" s="3">
        <v>0.1</v>
      </c>
      <c r="BP60" s="3">
        <v>-0.1</v>
      </c>
      <c r="BQ60" s="3">
        <v>0</v>
      </c>
      <c r="BR60" t="s">
        <v>7935</v>
      </c>
      <c r="BS60" s="3">
        <v>5.26</v>
      </c>
      <c r="BT60" s="3">
        <v>0.13</v>
      </c>
      <c r="BU60" s="3">
        <v>-0.13</v>
      </c>
      <c r="BV60" s="3">
        <v>0</v>
      </c>
      <c r="BW60" t="s">
        <v>7936</v>
      </c>
      <c r="BX60" t="s">
        <v>8077</v>
      </c>
      <c r="BY60" s="3">
        <v>335.78054780000002</v>
      </c>
      <c r="BZ60" t="s">
        <v>8078</v>
      </c>
      <c r="CA60" s="3">
        <v>-17.610407800000001</v>
      </c>
      <c r="CB60" s="3">
        <v>7.2355600000000004</v>
      </c>
      <c r="CC60" s="3">
        <v>1.3129999999999999E-2</v>
      </c>
      <c r="CD60" s="3">
        <v>-1.308E-2</v>
      </c>
      <c r="CE60" s="3">
        <v>13.31</v>
      </c>
      <c r="CF60" s="3">
        <v>0.2</v>
      </c>
      <c r="CG60" s="3">
        <v>-0.2</v>
      </c>
      <c r="CH60" s="3">
        <v>7.319</v>
      </c>
      <c r="CI60" s="3">
        <v>1.7999999999999999E-2</v>
      </c>
      <c r="CJ60" s="3">
        <v>-1.7999999999999999E-2</v>
      </c>
      <c r="CK60" s="3">
        <v>11.5542</v>
      </c>
      <c r="CL60" s="3">
        <v>1.5640000000000001E-3</v>
      </c>
      <c r="CM60" s="3">
        <v>-1.5640000000000001E-3</v>
      </c>
      <c r="CN60" t="s">
        <v>1513</v>
      </c>
      <c r="CO60" t="s">
        <v>8079</v>
      </c>
      <c r="CP60" t="s">
        <v>1513</v>
      </c>
    </row>
    <row r="61" spans="1:94" x14ac:dyDescent="0.45">
      <c r="A61" t="s">
        <v>849</v>
      </c>
      <c r="B61">
        <v>1</v>
      </c>
      <c r="C61" t="s">
        <v>1514</v>
      </c>
      <c r="D61" t="s">
        <v>847</v>
      </c>
      <c r="E61" s="3">
        <v>1</v>
      </c>
      <c r="F61" s="3">
        <v>1</v>
      </c>
      <c r="G61" s="3">
        <v>2</v>
      </c>
      <c r="H61" t="s">
        <v>1427</v>
      </c>
      <c r="I61" s="3">
        <v>2026</v>
      </c>
      <c r="J61" t="s">
        <v>8023</v>
      </c>
      <c r="K61" t="s">
        <v>1429</v>
      </c>
      <c r="L61" s="3">
        <v>0</v>
      </c>
      <c r="M61" t="s">
        <v>8075</v>
      </c>
      <c r="N61" s="3">
        <v>69.569999999999993</v>
      </c>
      <c r="O61" s="3">
        <v>0.32</v>
      </c>
      <c r="P61" s="3">
        <v>-1.1399999999999999</v>
      </c>
      <c r="Q61" s="3">
        <v>0</v>
      </c>
      <c r="R61" s="3">
        <v>0.186</v>
      </c>
      <c r="S61" s="3">
        <v>0.01</v>
      </c>
      <c r="T61" s="3">
        <v>-0.01</v>
      </c>
      <c r="U61" s="3">
        <v>0</v>
      </c>
      <c r="AD61" s="3">
        <v>8.39</v>
      </c>
      <c r="AE61" s="3">
        <v>1.68</v>
      </c>
      <c r="AF61" s="3">
        <v>-1.57</v>
      </c>
      <c r="AG61" s="3">
        <v>0</v>
      </c>
      <c r="AH61" s="3">
        <v>2.639789E-2</v>
      </c>
      <c r="AI61" s="3">
        <v>5.2858699999999998E-3</v>
      </c>
      <c r="AJ61" s="3">
        <v>-4.9397699999999996E-3</v>
      </c>
      <c r="AK61" s="3">
        <v>0</v>
      </c>
      <c r="AL61" t="s">
        <v>1426</v>
      </c>
      <c r="AQ61" s="3">
        <v>0.1</v>
      </c>
      <c r="AR61" s="3">
        <v>1.0999999999999999E-2</v>
      </c>
      <c r="AS61" s="3">
        <v>-1.0999999999999999E-2</v>
      </c>
      <c r="AT61" s="3">
        <v>0</v>
      </c>
      <c r="AY61" s="3">
        <v>0</v>
      </c>
      <c r="AZ61" t="s">
        <v>8075</v>
      </c>
      <c r="BA61" t="s">
        <v>8076</v>
      </c>
      <c r="BB61" s="3">
        <v>3228</v>
      </c>
      <c r="BC61" s="3">
        <v>19</v>
      </c>
      <c r="BD61" s="3">
        <v>-19</v>
      </c>
      <c r="BE61" s="3">
        <v>0</v>
      </c>
      <c r="BF61" s="3">
        <v>0.19</v>
      </c>
      <c r="BG61" s="3">
        <v>0.01</v>
      </c>
      <c r="BH61" s="3">
        <v>-0.01</v>
      </c>
      <c r="BI61" s="3">
        <v>0</v>
      </c>
      <c r="BJ61" s="3">
        <v>0.18</v>
      </c>
      <c r="BK61" s="3">
        <v>0.03</v>
      </c>
      <c r="BL61" s="3">
        <v>-0.03</v>
      </c>
      <c r="BM61" s="3">
        <v>0</v>
      </c>
      <c r="BN61" s="3">
        <v>-0.19</v>
      </c>
      <c r="BO61" s="3">
        <v>0.1</v>
      </c>
      <c r="BP61" s="3">
        <v>-0.1</v>
      </c>
      <c r="BQ61" s="3">
        <v>0</v>
      </c>
      <c r="BR61" t="s">
        <v>7935</v>
      </c>
      <c r="BS61" s="3">
        <v>5.26</v>
      </c>
      <c r="BT61" s="3">
        <v>0.13</v>
      </c>
      <c r="BU61" s="3">
        <v>-0.13</v>
      </c>
      <c r="BV61" s="3">
        <v>0</v>
      </c>
      <c r="BW61" t="s">
        <v>7936</v>
      </c>
      <c r="BX61" t="s">
        <v>8077</v>
      </c>
      <c r="BY61" s="3">
        <v>335.78054780000002</v>
      </c>
      <c r="BZ61" t="s">
        <v>8078</v>
      </c>
      <c r="CA61" s="3">
        <v>-17.610407800000001</v>
      </c>
      <c r="CB61" s="3">
        <v>7.2355600000000004</v>
      </c>
      <c r="CC61" s="3">
        <v>1.3129999999999999E-2</v>
      </c>
      <c r="CD61" s="3">
        <v>-1.308E-2</v>
      </c>
      <c r="CE61" s="3">
        <v>13.31</v>
      </c>
      <c r="CF61" s="3">
        <v>0.2</v>
      </c>
      <c r="CG61" s="3">
        <v>-0.2</v>
      </c>
      <c r="CH61" s="3">
        <v>7.319</v>
      </c>
      <c r="CI61" s="3">
        <v>1.7999999999999999E-2</v>
      </c>
      <c r="CJ61" s="3">
        <v>-1.7999999999999999E-2</v>
      </c>
      <c r="CK61" s="3">
        <v>11.5542</v>
      </c>
      <c r="CL61" s="3">
        <v>1.5640000000000001E-3</v>
      </c>
      <c r="CM61" s="3">
        <v>-1.5640000000000001E-3</v>
      </c>
      <c r="CN61" t="s">
        <v>1513</v>
      </c>
      <c r="CO61" t="s">
        <v>8079</v>
      </c>
      <c r="CP61" t="s">
        <v>1513</v>
      </c>
    </row>
    <row r="62" spans="1:94" x14ac:dyDescent="0.45">
      <c r="A62" t="s">
        <v>1268</v>
      </c>
      <c r="B62">
        <v>0</v>
      </c>
      <c r="C62" t="s">
        <v>1515</v>
      </c>
      <c r="D62" t="s">
        <v>1269</v>
      </c>
      <c r="E62" s="3">
        <v>0</v>
      </c>
      <c r="F62" s="3">
        <v>1</v>
      </c>
      <c r="G62" s="3">
        <v>3</v>
      </c>
      <c r="H62" t="s">
        <v>1427</v>
      </c>
      <c r="I62" s="3">
        <v>2013</v>
      </c>
      <c r="J62" t="s">
        <v>7966</v>
      </c>
      <c r="K62" t="s">
        <v>1429</v>
      </c>
      <c r="L62" s="3">
        <v>0</v>
      </c>
      <c r="M62" t="s">
        <v>8080</v>
      </c>
      <c r="N62" s="3">
        <v>7.3708999999999998</v>
      </c>
      <c r="O62" s="3">
        <v>8.0000000000000004E-4</v>
      </c>
      <c r="P62" s="3">
        <v>-8.0000000000000004E-4</v>
      </c>
      <c r="Q62" s="3">
        <v>0</v>
      </c>
      <c r="R62" s="3">
        <v>5.8000000000000003E-2</v>
      </c>
      <c r="U62" s="3">
        <v>0</v>
      </c>
      <c r="AD62" s="3">
        <v>5.79</v>
      </c>
      <c r="AG62" s="3">
        <v>0</v>
      </c>
      <c r="AH62" s="3">
        <v>1.7999999999999999E-2</v>
      </c>
      <c r="AK62" s="3">
        <v>0</v>
      </c>
      <c r="AL62" t="s">
        <v>1426</v>
      </c>
      <c r="AM62" s="3">
        <v>0.08</v>
      </c>
      <c r="AN62" s="3">
        <v>0.08</v>
      </c>
      <c r="AO62" s="3">
        <v>-0.08</v>
      </c>
      <c r="AP62" s="3">
        <v>0</v>
      </c>
      <c r="AY62" s="3">
        <v>0</v>
      </c>
      <c r="AZ62" t="s">
        <v>8080</v>
      </c>
      <c r="BA62" t="s">
        <v>8081</v>
      </c>
      <c r="BB62" s="3">
        <v>3600</v>
      </c>
      <c r="BE62" s="3">
        <v>0</v>
      </c>
      <c r="BJ62" s="3">
        <v>0.48</v>
      </c>
      <c r="BM62" s="3">
        <v>0</v>
      </c>
      <c r="BN62" s="3">
        <v>-0.22</v>
      </c>
      <c r="BQ62" s="3">
        <v>0</v>
      </c>
      <c r="BR62" t="s">
        <v>7935</v>
      </c>
      <c r="BW62" t="s">
        <v>7936</v>
      </c>
      <c r="BX62" t="s">
        <v>8082</v>
      </c>
      <c r="BY62" s="3">
        <v>173.8619194</v>
      </c>
      <c r="BZ62" t="s">
        <v>8083</v>
      </c>
      <c r="CA62" s="3">
        <v>-32.543630200000003</v>
      </c>
      <c r="CB62" s="3">
        <v>9.0645600000000002</v>
      </c>
      <c r="CC62" s="3">
        <v>3.6700000000000001E-3</v>
      </c>
      <c r="CD62" s="3">
        <v>-3.6700000000000001E-3</v>
      </c>
      <c r="CE62" s="3">
        <v>9.81</v>
      </c>
      <c r="CF62" s="3">
        <v>0.1</v>
      </c>
      <c r="CG62" s="3">
        <v>-0.1</v>
      </c>
      <c r="CH62" s="3">
        <v>5.6230000000000002</v>
      </c>
      <c r="CI62" s="3">
        <v>2.1000000000000001E-2</v>
      </c>
      <c r="CJ62" s="3">
        <v>-2.1000000000000001E-2</v>
      </c>
      <c r="CK62" s="3">
        <v>8.8913799999999998</v>
      </c>
      <c r="CL62" s="3">
        <v>3.7399999999999998E-4</v>
      </c>
      <c r="CM62" s="3">
        <v>-3.7399999999999998E-4</v>
      </c>
      <c r="CN62" t="s">
        <v>1518</v>
      </c>
      <c r="CO62" t="s">
        <v>8084</v>
      </c>
      <c r="CP62" t="s">
        <v>1433</v>
      </c>
    </row>
    <row r="63" spans="1:94" x14ac:dyDescent="0.45">
      <c r="A63" t="s">
        <v>1268</v>
      </c>
      <c r="B63">
        <v>0</v>
      </c>
      <c r="C63" t="s">
        <v>1515</v>
      </c>
      <c r="D63" t="s">
        <v>1269</v>
      </c>
      <c r="E63" s="3">
        <v>0</v>
      </c>
      <c r="F63" s="3">
        <v>1</v>
      </c>
      <c r="G63" s="3">
        <v>3</v>
      </c>
      <c r="H63" t="s">
        <v>1427</v>
      </c>
      <c r="I63" s="3">
        <v>2013</v>
      </c>
      <c r="J63" t="s">
        <v>7966</v>
      </c>
      <c r="K63" t="s">
        <v>1429</v>
      </c>
      <c r="L63" s="3">
        <v>0</v>
      </c>
      <c r="M63" t="s">
        <v>8004</v>
      </c>
      <c r="N63" s="3">
        <v>7.3696999999999999</v>
      </c>
      <c r="O63" s="3">
        <v>3.3999999999999998E-3</v>
      </c>
      <c r="P63" s="3">
        <v>-3.5999999999999999E-3</v>
      </c>
      <c r="Q63" s="3">
        <v>0</v>
      </c>
      <c r="R63" s="3">
        <v>0.06</v>
      </c>
      <c r="S63" s="3">
        <v>4.0000000000000001E-3</v>
      </c>
      <c r="T63" s="3">
        <v>-8.0000000000000002E-3</v>
      </c>
      <c r="U63" s="3">
        <v>0</v>
      </c>
      <c r="AD63" s="3">
        <v>5.3</v>
      </c>
      <c r="AE63" s="3">
        <v>2</v>
      </c>
      <c r="AF63" s="3">
        <v>-1.9</v>
      </c>
      <c r="AG63" s="3">
        <v>0</v>
      </c>
      <c r="AH63" s="3">
        <v>1.6675579999999999E-2</v>
      </c>
      <c r="AI63" s="3">
        <v>6.2926700000000002E-3</v>
      </c>
      <c r="AJ63" s="3">
        <v>-5.9780399999999996E-3</v>
      </c>
      <c r="AK63" s="3">
        <v>0</v>
      </c>
      <c r="AL63" t="s">
        <v>1426</v>
      </c>
      <c r="AM63" s="3">
        <v>0.05</v>
      </c>
      <c r="AN63" s="3">
        <v>0.16</v>
      </c>
      <c r="AO63" s="3">
        <v>-0.05</v>
      </c>
      <c r="AP63" s="3">
        <v>0</v>
      </c>
      <c r="AY63" s="3">
        <v>0</v>
      </c>
      <c r="AZ63" t="s">
        <v>8004</v>
      </c>
      <c r="BA63" t="s">
        <v>8066</v>
      </c>
      <c r="BB63" s="3">
        <v>3472</v>
      </c>
      <c r="BE63" s="3">
        <v>0</v>
      </c>
      <c r="BJ63" s="3">
        <v>0.48</v>
      </c>
      <c r="BM63" s="3">
        <v>0</v>
      </c>
      <c r="BW63" t="s">
        <v>7936</v>
      </c>
      <c r="BX63" t="s">
        <v>8082</v>
      </c>
      <c r="BY63" s="3">
        <v>173.8619194</v>
      </c>
      <c r="BZ63" t="s">
        <v>8083</v>
      </c>
      <c r="CA63" s="3">
        <v>-32.543630200000003</v>
      </c>
      <c r="CB63" s="3">
        <v>9.0645600000000002</v>
      </c>
      <c r="CC63" s="3">
        <v>3.6700000000000001E-3</v>
      </c>
      <c r="CD63" s="3">
        <v>-3.6700000000000001E-3</v>
      </c>
      <c r="CE63" s="3">
        <v>9.81</v>
      </c>
      <c r="CF63" s="3">
        <v>0.1</v>
      </c>
      <c r="CG63" s="3">
        <v>-0.1</v>
      </c>
      <c r="CH63" s="3">
        <v>5.6230000000000002</v>
      </c>
      <c r="CI63" s="3">
        <v>2.1000000000000001E-2</v>
      </c>
      <c r="CJ63" s="3">
        <v>-2.1000000000000001E-2</v>
      </c>
      <c r="CK63" s="3">
        <v>8.8913799999999998</v>
      </c>
      <c r="CL63" s="3">
        <v>3.7399999999999998E-4</v>
      </c>
      <c r="CM63" s="3">
        <v>-3.7399999999999998E-4</v>
      </c>
      <c r="CN63" t="s">
        <v>1518</v>
      </c>
      <c r="CO63" t="s">
        <v>8006</v>
      </c>
      <c r="CP63" t="s">
        <v>7993</v>
      </c>
    </row>
    <row r="64" spans="1:94" x14ac:dyDescent="0.45">
      <c r="A64" t="s">
        <v>1268</v>
      </c>
      <c r="B64">
        <v>1</v>
      </c>
      <c r="C64" t="s">
        <v>1515</v>
      </c>
      <c r="D64" t="s">
        <v>1269</v>
      </c>
      <c r="E64" s="3">
        <v>1</v>
      </c>
      <c r="F64" s="3">
        <v>1</v>
      </c>
      <c r="G64" s="3">
        <v>3</v>
      </c>
      <c r="H64" t="s">
        <v>1427</v>
      </c>
      <c r="I64" s="3">
        <v>2013</v>
      </c>
      <c r="J64" t="s">
        <v>7966</v>
      </c>
      <c r="K64" t="s">
        <v>1429</v>
      </c>
      <c r="L64" s="3">
        <v>0</v>
      </c>
      <c r="M64" t="s">
        <v>7997</v>
      </c>
      <c r="N64" s="3">
        <v>7.3704999999999998</v>
      </c>
      <c r="O64" s="3">
        <v>5.0000000000000001E-4</v>
      </c>
      <c r="P64" s="3">
        <v>-5.0000000000000001E-4</v>
      </c>
      <c r="Q64" s="3">
        <v>0</v>
      </c>
      <c r="R64" s="3">
        <v>6.2E-2</v>
      </c>
      <c r="S64" s="3">
        <v>2E-3</v>
      </c>
      <c r="T64" s="3">
        <v>-2E-3</v>
      </c>
      <c r="U64" s="3">
        <v>0</v>
      </c>
      <c r="AD64" s="3">
        <v>6.0430000000000001</v>
      </c>
      <c r="AE64" s="3">
        <v>0.59699999999999998</v>
      </c>
      <c r="AF64" s="3">
        <v>-0.59699999999999998</v>
      </c>
      <c r="AG64" s="3">
        <v>0</v>
      </c>
      <c r="AH64" s="3">
        <v>1.9013309999999999E-2</v>
      </c>
      <c r="AI64" s="3">
        <v>1.8783599999999999E-3</v>
      </c>
      <c r="AJ64" s="3">
        <v>-1.8783599999999999E-3</v>
      </c>
      <c r="AK64" s="3">
        <v>0</v>
      </c>
      <c r="AL64" t="s">
        <v>1426</v>
      </c>
      <c r="AM64" s="3">
        <v>0.04</v>
      </c>
      <c r="AN64" s="3">
        <v>0.03</v>
      </c>
      <c r="AO64" s="3">
        <v>-0.03</v>
      </c>
      <c r="AP64" s="3">
        <v>0</v>
      </c>
      <c r="AY64" s="3">
        <v>0</v>
      </c>
      <c r="AZ64" t="s">
        <v>7997</v>
      </c>
      <c r="BJ64" s="3">
        <v>0.48</v>
      </c>
      <c r="BM64" s="3">
        <v>0</v>
      </c>
      <c r="BW64" t="s">
        <v>7936</v>
      </c>
      <c r="BX64" t="s">
        <v>8082</v>
      </c>
      <c r="BY64" s="3">
        <v>173.8619194</v>
      </c>
      <c r="BZ64" t="s">
        <v>8083</v>
      </c>
      <c r="CA64" s="3">
        <v>-32.543630200000003</v>
      </c>
      <c r="CB64" s="3">
        <v>9.0645600000000002</v>
      </c>
      <c r="CC64" s="3">
        <v>3.6700000000000001E-3</v>
      </c>
      <c r="CD64" s="3">
        <v>-3.6700000000000001E-3</v>
      </c>
      <c r="CE64" s="3">
        <v>9.81</v>
      </c>
      <c r="CF64" s="3">
        <v>0.1</v>
      </c>
      <c r="CG64" s="3">
        <v>-0.1</v>
      </c>
      <c r="CH64" s="3">
        <v>5.6230000000000002</v>
      </c>
      <c r="CI64" s="3">
        <v>2.1000000000000001E-2</v>
      </c>
      <c r="CJ64" s="3">
        <v>-2.1000000000000001E-2</v>
      </c>
      <c r="CK64" s="3">
        <v>8.8913799999999998</v>
      </c>
      <c r="CL64" s="3">
        <v>3.7399999999999998E-4</v>
      </c>
      <c r="CM64" s="3">
        <v>-3.7399999999999998E-4</v>
      </c>
      <c r="CN64" t="s">
        <v>1518</v>
      </c>
      <c r="CO64" t="s">
        <v>8000</v>
      </c>
      <c r="CP64" t="s">
        <v>8001</v>
      </c>
    </row>
    <row r="65" spans="1:94" x14ac:dyDescent="0.45">
      <c r="A65" t="s">
        <v>1268</v>
      </c>
      <c r="B65">
        <v>0</v>
      </c>
      <c r="C65" t="s">
        <v>1515</v>
      </c>
      <c r="D65" t="s">
        <v>1269</v>
      </c>
      <c r="E65" s="3">
        <v>0</v>
      </c>
      <c r="F65" s="3">
        <v>1</v>
      </c>
      <c r="G65" s="3">
        <v>3</v>
      </c>
      <c r="H65" t="s">
        <v>1427</v>
      </c>
      <c r="I65" s="3">
        <v>2013</v>
      </c>
      <c r="J65" t="s">
        <v>7966</v>
      </c>
      <c r="K65" t="s">
        <v>1429</v>
      </c>
      <c r="L65" s="3">
        <v>0</v>
      </c>
      <c r="M65" t="s">
        <v>8085</v>
      </c>
      <c r="N65" s="3">
        <v>7.3708999999999998</v>
      </c>
      <c r="O65" s="3">
        <v>8.0000000000000004E-4</v>
      </c>
      <c r="P65" s="3">
        <v>-8.0000000000000004E-4</v>
      </c>
      <c r="Q65" s="3">
        <v>0</v>
      </c>
      <c r="R65" s="3">
        <v>0.06</v>
      </c>
      <c r="S65" s="3">
        <v>0</v>
      </c>
      <c r="T65" s="3">
        <v>0</v>
      </c>
      <c r="U65" s="3">
        <v>0</v>
      </c>
      <c r="AD65" s="3">
        <v>6.3566000000000003</v>
      </c>
      <c r="AE65" s="3">
        <v>3.1783000000000001</v>
      </c>
      <c r="AF65" s="3">
        <v>-3.1783000000000001</v>
      </c>
      <c r="AG65" s="3">
        <v>0</v>
      </c>
      <c r="AH65" s="3">
        <v>0.02</v>
      </c>
      <c r="AI65" s="3">
        <v>0.01</v>
      </c>
      <c r="AJ65" s="3">
        <v>-0.01</v>
      </c>
      <c r="AK65" s="3">
        <v>0</v>
      </c>
      <c r="AL65" t="s">
        <v>1426</v>
      </c>
      <c r="AM65" s="3">
        <v>0.08</v>
      </c>
      <c r="AN65" s="3">
        <v>0.08</v>
      </c>
      <c r="AO65" s="3">
        <v>-0.08</v>
      </c>
      <c r="AP65" s="3">
        <v>0</v>
      </c>
      <c r="AY65" s="3">
        <v>0</v>
      </c>
      <c r="AZ65" t="s">
        <v>8085</v>
      </c>
      <c r="BB65" s="3">
        <v>3461</v>
      </c>
      <c r="BC65" s="3">
        <v>150</v>
      </c>
      <c r="BD65" s="3">
        <v>-150</v>
      </c>
      <c r="BE65" s="3">
        <v>0</v>
      </c>
      <c r="BF65" s="3">
        <v>0.5</v>
      </c>
      <c r="BG65" s="3">
        <v>0.04</v>
      </c>
      <c r="BH65" s="3">
        <v>-0.04</v>
      </c>
      <c r="BI65" s="3">
        <v>0</v>
      </c>
      <c r="BJ65" s="3">
        <v>0.59</v>
      </c>
      <c r="BK65" s="3">
        <v>0.22</v>
      </c>
      <c r="BL65" s="3">
        <v>-0.22</v>
      </c>
      <c r="BM65" s="3">
        <v>0</v>
      </c>
      <c r="BN65" s="3">
        <v>-0.17</v>
      </c>
      <c r="BQ65" s="3">
        <v>0</v>
      </c>
      <c r="BR65" t="s">
        <v>7935</v>
      </c>
      <c r="BS65" s="3">
        <v>4.8099999999999996</v>
      </c>
      <c r="BT65" s="3">
        <v>0.14000000000000001</v>
      </c>
      <c r="BU65" s="3">
        <v>-0.14000000000000001</v>
      </c>
      <c r="BV65" s="3">
        <v>0</v>
      </c>
      <c r="BW65" t="s">
        <v>7936</v>
      </c>
      <c r="BX65" t="s">
        <v>8082</v>
      </c>
      <c r="BY65" s="3">
        <v>173.8619194</v>
      </c>
      <c r="BZ65" t="s">
        <v>8083</v>
      </c>
      <c r="CA65" s="3">
        <v>-32.543630200000003</v>
      </c>
      <c r="CB65" s="3">
        <v>9.0645600000000002</v>
      </c>
      <c r="CC65" s="3">
        <v>3.6700000000000001E-3</v>
      </c>
      <c r="CD65" s="3">
        <v>-3.6700000000000001E-3</v>
      </c>
      <c r="CE65" s="3">
        <v>9.81</v>
      </c>
      <c r="CF65" s="3">
        <v>0.1</v>
      </c>
      <c r="CG65" s="3">
        <v>-0.1</v>
      </c>
      <c r="CH65" s="3">
        <v>5.6230000000000002</v>
      </c>
      <c r="CI65" s="3">
        <v>2.1000000000000001E-2</v>
      </c>
      <c r="CJ65" s="3">
        <v>-2.1000000000000001E-2</v>
      </c>
      <c r="CK65" s="3">
        <v>8.8913799999999998</v>
      </c>
      <c r="CL65" s="3">
        <v>3.7399999999999998E-4</v>
      </c>
      <c r="CM65" s="3">
        <v>-3.7399999999999998E-4</v>
      </c>
      <c r="CN65" t="s">
        <v>1518</v>
      </c>
      <c r="CO65" t="s">
        <v>8086</v>
      </c>
      <c r="CP65" t="s">
        <v>8087</v>
      </c>
    </row>
    <row r="66" spans="1:94" x14ac:dyDescent="0.45">
      <c r="A66" t="s">
        <v>1268</v>
      </c>
      <c r="B66">
        <v>1</v>
      </c>
      <c r="C66" t="s">
        <v>1519</v>
      </c>
      <c r="D66" t="s">
        <v>1269</v>
      </c>
      <c r="E66" s="3">
        <v>1</v>
      </c>
      <c r="F66" s="3">
        <v>1</v>
      </c>
      <c r="G66" s="3">
        <v>3</v>
      </c>
      <c r="H66" t="s">
        <v>1427</v>
      </c>
      <c r="I66" s="3">
        <v>2014</v>
      </c>
      <c r="J66" t="s">
        <v>7932</v>
      </c>
      <c r="K66" t="s">
        <v>1429</v>
      </c>
      <c r="L66" s="3">
        <v>0</v>
      </c>
      <c r="M66" t="s">
        <v>7997</v>
      </c>
      <c r="N66" s="3">
        <v>5094.1049999999996</v>
      </c>
      <c r="O66" s="3">
        <v>608.61699999999996</v>
      </c>
      <c r="P66" s="3">
        <v>-608.61699999999996</v>
      </c>
      <c r="Q66" s="3">
        <v>0</v>
      </c>
      <c r="R66" s="3">
        <v>4.819</v>
      </c>
      <c r="S66" s="3">
        <v>0.41699999999999998</v>
      </c>
      <c r="T66" s="3">
        <v>-0.41699999999999998</v>
      </c>
      <c r="U66" s="3">
        <v>0</v>
      </c>
      <c r="AD66" s="3">
        <v>32.421999999999997</v>
      </c>
      <c r="AE66" s="3">
        <v>6.3289999999999997</v>
      </c>
      <c r="AF66" s="3">
        <v>-6.3289999999999997</v>
      </c>
      <c r="AG66" s="3">
        <v>0</v>
      </c>
      <c r="AH66" s="3">
        <v>0.10201051</v>
      </c>
      <c r="AI66" s="3">
        <v>1.9913159999999999E-2</v>
      </c>
      <c r="AJ66" s="3">
        <v>-1.9913159999999999E-2</v>
      </c>
      <c r="AK66" s="3">
        <v>0</v>
      </c>
      <c r="AL66" t="s">
        <v>1426</v>
      </c>
      <c r="AM66" s="3">
        <v>0.12</v>
      </c>
      <c r="AN66" s="3">
        <v>7.0000000000000007E-2</v>
      </c>
      <c r="AO66" s="3">
        <v>-7.0000000000000007E-2</v>
      </c>
      <c r="AP66" s="3">
        <v>0</v>
      </c>
      <c r="AY66" s="3">
        <v>0</v>
      </c>
      <c r="AZ66" t="s">
        <v>7997</v>
      </c>
      <c r="BJ66" s="3">
        <v>0.48</v>
      </c>
      <c r="BM66" s="3">
        <v>0</v>
      </c>
      <c r="BW66" t="s">
        <v>7936</v>
      </c>
      <c r="BX66" t="s">
        <v>8082</v>
      </c>
      <c r="BY66" s="3">
        <v>173.8619194</v>
      </c>
      <c r="BZ66" t="s">
        <v>8083</v>
      </c>
      <c r="CA66" s="3">
        <v>-32.543630200000003</v>
      </c>
      <c r="CB66" s="3">
        <v>9.0645600000000002</v>
      </c>
      <c r="CC66" s="3">
        <v>3.6700000000000001E-3</v>
      </c>
      <c r="CD66" s="3">
        <v>-3.6700000000000001E-3</v>
      </c>
      <c r="CE66" s="3">
        <v>9.81</v>
      </c>
      <c r="CF66" s="3">
        <v>0.1</v>
      </c>
      <c r="CG66" s="3">
        <v>-0.1</v>
      </c>
      <c r="CH66" s="3">
        <v>5.6230000000000002</v>
      </c>
      <c r="CI66" s="3">
        <v>2.1000000000000001E-2</v>
      </c>
      <c r="CJ66" s="3">
        <v>-2.1000000000000001E-2</v>
      </c>
      <c r="CK66" s="3">
        <v>8.8913799999999998</v>
      </c>
      <c r="CL66" s="3">
        <v>3.7399999999999998E-4</v>
      </c>
      <c r="CM66" s="3">
        <v>-3.7399999999999998E-4</v>
      </c>
      <c r="CN66" t="s">
        <v>1520</v>
      </c>
      <c r="CO66" t="s">
        <v>8000</v>
      </c>
      <c r="CP66" t="s">
        <v>8001</v>
      </c>
    </row>
    <row r="67" spans="1:94" x14ac:dyDescent="0.45">
      <c r="A67" t="s">
        <v>1268</v>
      </c>
      <c r="B67">
        <v>0</v>
      </c>
      <c r="C67" t="s">
        <v>1519</v>
      </c>
      <c r="D67" t="s">
        <v>1269</v>
      </c>
      <c r="E67" s="3">
        <v>0</v>
      </c>
      <c r="F67" s="3">
        <v>1</v>
      </c>
      <c r="G67" s="3">
        <v>3</v>
      </c>
      <c r="H67" t="s">
        <v>1427</v>
      </c>
      <c r="I67" s="3">
        <v>2014</v>
      </c>
      <c r="J67" t="s">
        <v>7932</v>
      </c>
      <c r="K67" t="s">
        <v>1429</v>
      </c>
      <c r="L67" s="3">
        <v>0</v>
      </c>
      <c r="M67" t="s">
        <v>8004</v>
      </c>
      <c r="N67" s="3">
        <v>3400</v>
      </c>
      <c r="Q67" s="3">
        <v>0</v>
      </c>
      <c r="R67" s="3">
        <v>3.6</v>
      </c>
      <c r="U67" s="3">
        <v>0</v>
      </c>
      <c r="AD67" s="3">
        <v>45</v>
      </c>
      <c r="AG67" s="3">
        <v>0</v>
      </c>
      <c r="AH67" s="3">
        <v>0.14158512000000001</v>
      </c>
      <c r="AK67" s="3">
        <v>0</v>
      </c>
      <c r="AL67" t="s">
        <v>1426</v>
      </c>
      <c r="AM67" s="3">
        <v>0.08</v>
      </c>
      <c r="AN67" s="3">
        <v>0.16</v>
      </c>
      <c r="AO67" s="3">
        <v>-0.08</v>
      </c>
      <c r="AP67" s="3">
        <v>0</v>
      </c>
      <c r="AY67" s="3">
        <v>0</v>
      </c>
      <c r="AZ67" t="s">
        <v>8004</v>
      </c>
      <c r="BA67" t="s">
        <v>8066</v>
      </c>
      <c r="BB67" s="3">
        <v>3472</v>
      </c>
      <c r="BE67" s="3">
        <v>0</v>
      </c>
      <c r="BJ67" s="3">
        <v>0.48</v>
      </c>
      <c r="BM67" s="3">
        <v>0</v>
      </c>
      <c r="BW67" t="s">
        <v>7936</v>
      </c>
      <c r="BX67" t="s">
        <v>8082</v>
      </c>
      <c r="BY67" s="3">
        <v>173.8619194</v>
      </c>
      <c r="BZ67" t="s">
        <v>8083</v>
      </c>
      <c r="CA67" s="3">
        <v>-32.543630200000003</v>
      </c>
      <c r="CB67" s="3">
        <v>9.0645600000000002</v>
      </c>
      <c r="CC67" s="3">
        <v>3.6700000000000001E-3</v>
      </c>
      <c r="CD67" s="3">
        <v>-3.6700000000000001E-3</v>
      </c>
      <c r="CE67" s="3">
        <v>9.81</v>
      </c>
      <c r="CF67" s="3">
        <v>0.1</v>
      </c>
      <c r="CG67" s="3">
        <v>-0.1</v>
      </c>
      <c r="CH67" s="3">
        <v>5.6230000000000002</v>
      </c>
      <c r="CI67" s="3">
        <v>2.1000000000000001E-2</v>
      </c>
      <c r="CJ67" s="3">
        <v>-2.1000000000000001E-2</v>
      </c>
      <c r="CK67" s="3">
        <v>8.8913799999999998</v>
      </c>
      <c r="CL67" s="3">
        <v>3.7399999999999998E-4</v>
      </c>
      <c r="CM67" s="3">
        <v>-3.7399999999999998E-4</v>
      </c>
      <c r="CN67" t="s">
        <v>1520</v>
      </c>
      <c r="CO67" t="s">
        <v>8006</v>
      </c>
      <c r="CP67" t="s">
        <v>7993</v>
      </c>
    </row>
    <row r="68" spans="1:94" x14ac:dyDescent="0.45">
      <c r="A68" t="s">
        <v>1268</v>
      </c>
      <c r="B68">
        <v>1</v>
      </c>
      <c r="C68" t="s">
        <v>1521</v>
      </c>
      <c r="D68" t="s">
        <v>1269</v>
      </c>
      <c r="E68" s="3">
        <v>1</v>
      </c>
      <c r="F68" s="3">
        <v>1</v>
      </c>
      <c r="G68" s="3">
        <v>3</v>
      </c>
      <c r="H68" t="s">
        <v>1427</v>
      </c>
      <c r="I68" s="3">
        <v>2020</v>
      </c>
      <c r="J68" t="s">
        <v>7975</v>
      </c>
      <c r="K68" t="s">
        <v>1429</v>
      </c>
      <c r="L68" s="3">
        <v>0</v>
      </c>
      <c r="M68" t="s">
        <v>7997</v>
      </c>
      <c r="N68" s="3">
        <v>36.058999999999997</v>
      </c>
      <c r="O68" s="3">
        <v>1.6E-2</v>
      </c>
      <c r="P68" s="3">
        <v>-1.6E-2</v>
      </c>
      <c r="Q68" s="3">
        <v>0</v>
      </c>
      <c r="R68" s="3">
        <v>0.17799999999999999</v>
      </c>
      <c r="S68" s="3">
        <v>6.0000000000000001E-3</v>
      </c>
      <c r="T68" s="3">
        <v>-6.0000000000000001E-3</v>
      </c>
      <c r="U68" s="3">
        <v>0</v>
      </c>
      <c r="AD68" s="3">
        <v>5.2229999999999999</v>
      </c>
      <c r="AE68" s="3">
        <v>0.92100000000000004</v>
      </c>
      <c r="AF68" s="3">
        <v>-0.92100000000000004</v>
      </c>
      <c r="AG68" s="3">
        <v>0</v>
      </c>
      <c r="AH68" s="3">
        <v>1.643331E-2</v>
      </c>
      <c r="AI68" s="3">
        <v>2.89778E-3</v>
      </c>
      <c r="AJ68" s="3">
        <v>-2.89778E-3</v>
      </c>
      <c r="AK68" s="3">
        <v>0</v>
      </c>
      <c r="AL68" t="s">
        <v>1426</v>
      </c>
      <c r="AM68" s="3">
        <v>7.0000000000000007E-2</v>
      </c>
      <c r="AN68" s="3">
        <v>0.05</v>
      </c>
      <c r="AO68" s="3">
        <v>-0.05</v>
      </c>
      <c r="AP68" s="3">
        <v>0</v>
      </c>
      <c r="AY68" s="3">
        <v>0</v>
      </c>
      <c r="AZ68" t="s">
        <v>7997</v>
      </c>
      <c r="BJ68" s="3">
        <v>0.48</v>
      </c>
      <c r="BM68" s="3">
        <v>0</v>
      </c>
      <c r="BW68" t="s">
        <v>7936</v>
      </c>
      <c r="BX68" t="s">
        <v>8082</v>
      </c>
      <c r="BY68" s="3">
        <v>173.8619194</v>
      </c>
      <c r="BZ68" t="s">
        <v>8083</v>
      </c>
      <c r="CA68" s="3">
        <v>-32.543630200000003</v>
      </c>
      <c r="CB68" s="3">
        <v>9.0645600000000002</v>
      </c>
      <c r="CC68" s="3">
        <v>3.6700000000000001E-3</v>
      </c>
      <c r="CD68" s="3">
        <v>-3.6700000000000001E-3</v>
      </c>
      <c r="CE68" s="3">
        <v>9.81</v>
      </c>
      <c r="CF68" s="3">
        <v>0.1</v>
      </c>
      <c r="CG68" s="3">
        <v>-0.1</v>
      </c>
      <c r="CH68" s="3">
        <v>5.6230000000000002</v>
      </c>
      <c r="CI68" s="3">
        <v>2.1000000000000001E-2</v>
      </c>
      <c r="CJ68" s="3">
        <v>-2.1000000000000001E-2</v>
      </c>
      <c r="CK68" s="3">
        <v>8.8913799999999998</v>
      </c>
      <c r="CL68" s="3">
        <v>3.7399999999999998E-4</v>
      </c>
      <c r="CM68" s="3">
        <v>-3.7399999999999998E-4</v>
      </c>
      <c r="CN68" t="s">
        <v>1518</v>
      </c>
      <c r="CO68" t="s">
        <v>8000</v>
      </c>
      <c r="CP68" t="s">
        <v>8001</v>
      </c>
    </row>
    <row r="69" spans="1:94" x14ac:dyDescent="0.45">
      <c r="A69" t="s">
        <v>1103</v>
      </c>
      <c r="B69">
        <v>1</v>
      </c>
      <c r="C69" t="s">
        <v>1102</v>
      </c>
      <c r="D69" t="s">
        <v>1104</v>
      </c>
      <c r="E69" s="3">
        <v>1</v>
      </c>
      <c r="F69" s="3">
        <v>1</v>
      </c>
      <c r="G69" s="3">
        <v>1</v>
      </c>
      <c r="H69" t="s">
        <v>1427</v>
      </c>
      <c r="I69" s="3">
        <v>2021</v>
      </c>
      <c r="J69" t="s">
        <v>7955</v>
      </c>
      <c r="K69" t="s">
        <v>1429</v>
      </c>
      <c r="L69" s="3">
        <v>0</v>
      </c>
      <c r="M69" t="s">
        <v>8088</v>
      </c>
      <c r="N69" s="3">
        <v>1.46712127</v>
      </c>
      <c r="O69" s="3">
        <v>3.1E-7</v>
      </c>
      <c r="P69" s="3">
        <v>-3.4999999999999998E-7</v>
      </c>
      <c r="Q69" s="3">
        <v>0</v>
      </c>
      <c r="R69" s="3">
        <v>1.7139999999999999E-2</v>
      </c>
      <c r="S69" s="3">
        <v>1.2999999999999999E-4</v>
      </c>
      <c r="T69" s="3">
        <v>-1.2999999999999999E-4</v>
      </c>
      <c r="U69" s="3">
        <v>0</v>
      </c>
      <c r="V69" s="3">
        <v>1.2889999999999999</v>
      </c>
      <c r="W69" s="3">
        <v>1.9E-2</v>
      </c>
      <c r="X69" s="3">
        <v>-1.4E-2</v>
      </c>
      <c r="Y69" s="3">
        <v>0</v>
      </c>
      <c r="Z69" s="3">
        <v>0.11499708</v>
      </c>
      <c r="AA69" s="3">
        <v>1.6950699999999999E-3</v>
      </c>
      <c r="AB69" s="3">
        <v>-1.2489999999999999E-3</v>
      </c>
      <c r="AC69" s="3">
        <v>0</v>
      </c>
      <c r="AD69" s="3">
        <v>2.77</v>
      </c>
      <c r="AE69" s="3">
        <v>7.5999999999999998E-2</v>
      </c>
      <c r="AF69" s="3">
        <v>-7.2999999999999995E-2</v>
      </c>
      <c r="AG69" s="3">
        <v>0</v>
      </c>
      <c r="AH69" s="3">
        <v>8.7153899999999999E-3</v>
      </c>
      <c r="AI69" s="3">
        <v>2.3912E-4</v>
      </c>
      <c r="AJ69" s="3">
        <v>-2.2968000000000001E-4</v>
      </c>
      <c r="AK69" s="3">
        <v>0</v>
      </c>
      <c r="AL69" t="s">
        <v>1453</v>
      </c>
      <c r="AM69" s="3">
        <v>8.5999999999999998E-4</v>
      </c>
      <c r="AN69" s="3">
        <v>1.6000000000000001E-3</v>
      </c>
      <c r="AO69" s="3">
        <v>-4.2999999999999999E-4</v>
      </c>
      <c r="AP69" s="3">
        <v>0</v>
      </c>
      <c r="AQ69" s="3">
        <v>39.200000000000003</v>
      </c>
      <c r="AR69" s="3">
        <v>1.7</v>
      </c>
      <c r="AS69" s="3">
        <v>-1.6</v>
      </c>
      <c r="AT69" s="3">
        <v>0</v>
      </c>
      <c r="AU69" s="3">
        <v>696.3</v>
      </c>
      <c r="AV69" s="3">
        <v>7.2</v>
      </c>
      <c r="AW69" s="3">
        <v>-7.3</v>
      </c>
      <c r="AX69" s="3">
        <v>0</v>
      </c>
      <c r="AY69" s="3">
        <v>0</v>
      </c>
      <c r="AZ69" t="s">
        <v>8088</v>
      </c>
      <c r="BB69" s="3">
        <v>3317</v>
      </c>
      <c r="BC69" s="3">
        <v>36</v>
      </c>
      <c r="BD69" s="3">
        <v>-37</v>
      </c>
      <c r="BE69" s="3">
        <v>0</v>
      </c>
      <c r="BF69" s="3">
        <v>0.32429999999999998</v>
      </c>
      <c r="BG69" s="3">
        <v>4.4000000000000003E-3</v>
      </c>
      <c r="BH69" s="3">
        <v>-3.3999999999999998E-3</v>
      </c>
      <c r="BI69" s="3">
        <v>0</v>
      </c>
      <c r="BJ69" s="3">
        <v>0.312</v>
      </c>
      <c r="BK69" s="3">
        <v>7.0000000000000001E-3</v>
      </c>
      <c r="BL69" s="3">
        <v>-6.8999999999999999E-3</v>
      </c>
      <c r="BM69" s="3">
        <v>0</v>
      </c>
      <c r="BN69" s="3">
        <v>-0.15</v>
      </c>
      <c r="BO69" s="3">
        <v>0.13</v>
      </c>
      <c r="BP69" s="3">
        <v>-0.12</v>
      </c>
      <c r="BQ69" s="3">
        <v>0</v>
      </c>
      <c r="BR69" t="s">
        <v>7935</v>
      </c>
      <c r="BS69" s="3">
        <v>4.9111000000000002</v>
      </c>
      <c r="BT69" s="3">
        <v>6.7999999999999996E-3</v>
      </c>
      <c r="BU69" s="3">
        <v>-1.0999999999999999E-2</v>
      </c>
      <c r="BV69" s="3">
        <v>0</v>
      </c>
      <c r="BW69" t="s">
        <v>7936</v>
      </c>
      <c r="BX69" t="s">
        <v>8089</v>
      </c>
      <c r="BY69" s="3">
        <v>191.98153099999999</v>
      </c>
      <c r="BZ69" t="s">
        <v>8090</v>
      </c>
      <c r="CA69" s="3">
        <v>9.7494180999999998</v>
      </c>
      <c r="CB69" s="3">
        <v>8.0742600000000007</v>
      </c>
      <c r="CC69" s="3">
        <v>4.0949999999999997E-3</v>
      </c>
      <c r="CD69" s="3">
        <v>-4.0949999999999997E-3</v>
      </c>
      <c r="CE69" s="3">
        <v>11.39</v>
      </c>
      <c r="CF69" s="3">
        <v>0.1</v>
      </c>
      <c r="CG69" s="3">
        <v>-0.1</v>
      </c>
      <c r="CH69" s="3">
        <v>6.3620000000000001</v>
      </c>
      <c r="CI69" s="3">
        <v>1.7999999999999999E-2</v>
      </c>
      <c r="CJ69" s="3">
        <v>-1.7999999999999999E-2</v>
      </c>
      <c r="CK69" s="3">
        <v>10.093999999999999</v>
      </c>
      <c r="CL69" s="3">
        <v>7.4600000000000003E-4</v>
      </c>
      <c r="CM69" s="3">
        <v>-7.4600000000000003E-4</v>
      </c>
      <c r="CN69" t="s">
        <v>1524</v>
      </c>
      <c r="CO69" t="s">
        <v>8091</v>
      </c>
      <c r="CP69" t="s">
        <v>1524</v>
      </c>
    </row>
    <row r="70" spans="1:94" x14ac:dyDescent="0.45">
      <c r="A70" t="s">
        <v>1103</v>
      </c>
      <c r="B70">
        <v>0</v>
      </c>
      <c r="C70" t="s">
        <v>1102</v>
      </c>
      <c r="D70" t="s">
        <v>1104</v>
      </c>
      <c r="E70" s="3">
        <v>0</v>
      </c>
      <c r="F70" s="3">
        <v>1</v>
      </c>
      <c r="G70" s="3">
        <v>1</v>
      </c>
      <c r="H70" t="s">
        <v>1427</v>
      </c>
      <c r="I70" s="3">
        <v>2021</v>
      </c>
      <c r="J70" t="s">
        <v>7955</v>
      </c>
      <c r="K70" t="s">
        <v>1429</v>
      </c>
      <c r="L70" s="3">
        <v>0</v>
      </c>
      <c r="M70" t="s">
        <v>8092</v>
      </c>
      <c r="N70" s="3">
        <v>1.4671190000000001</v>
      </c>
      <c r="O70" s="3">
        <v>3.1000000000000001E-5</v>
      </c>
      <c r="P70" s="3">
        <v>-3.0000000000000001E-5</v>
      </c>
      <c r="Q70" s="3">
        <v>0</v>
      </c>
      <c r="R70" s="3">
        <v>1.7340000000000001E-2</v>
      </c>
      <c r="S70" s="3">
        <v>2.5999999999999998E-4</v>
      </c>
      <c r="T70" s="3">
        <v>-2.7E-4</v>
      </c>
      <c r="U70" s="3">
        <v>0</v>
      </c>
      <c r="V70" s="3">
        <v>1.3049999999999999</v>
      </c>
      <c r="W70" s="3">
        <v>6.3E-2</v>
      </c>
      <c r="X70" s="3">
        <v>-6.7000000000000004E-2</v>
      </c>
      <c r="Y70" s="3">
        <v>0</v>
      </c>
      <c r="Z70" s="3">
        <v>0.11642429999999999</v>
      </c>
      <c r="AA70" s="3">
        <v>5.6204799999999997E-3</v>
      </c>
      <c r="AB70" s="3">
        <v>-5.9773400000000003E-3</v>
      </c>
      <c r="AC70" s="3">
        <v>0</v>
      </c>
      <c r="AD70" s="3">
        <v>2.82</v>
      </c>
      <c r="AE70" s="3">
        <v>0.11</v>
      </c>
      <c r="AF70" s="3">
        <v>-0.12</v>
      </c>
      <c r="AG70" s="3">
        <v>0</v>
      </c>
      <c r="AH70" s="3">
        <v>8.8726699999999992E-3</v>
      </c>
      <c r="AI70" s="3">
        <v>3.4610000000000001E-4</v>
      </c>
      <c r="AJ70" s="3">
        <v>-3.7755999999999998E-4</v>
      </c>
      <c r="AK70" s="3">
        <v>0</v>
      </c>
      <c r="AL70" t="s">
        <v>1453</v>
      </c>
      <c r="AM70" s="3">
        <v>0.05</v>
      </c>
      <c r="AP70" s="3">
        <v>1</v>
      </c>
      <c r="AQ70" s="3">
        <v>40.299999999999997</v>
      </c>
      <c r="AR70" s="3">
        <v>1.5</v>
      </c>
      <c r="AS70" s="3">
        <v>-1.4</v>
      </c>
      <c r="AT70" s="3">
        <v>0</v>
      </c>
      <c r="AU70" s="3">
        <v>701</v>
      </c>
      <c r="AV70" s="3">
        <v>13</v>
      </c>
      <c r="AW70" s="3">
        <v>-13</v>
      </c>
      <c r="AX70" s="3">
        <v>0</v>
      </c>
      <c r="AY70" s="3">
        <v>0</v>
      </c>
      <c r="AZ70" t="s">
        <v>8092</v>
      </c>
      <c r="BA70" t="s">
        <v>8093</v>
      </c>
      <c r="BB70" s="3">
        <v>3340</v>
      </c>
      <c r="BC70" s="3">
        <v>54</v>
      </c>
      <c r="BD70" s="3">
        <v>-54</v>
      </c>
      <c r="BE70" s="3">
        <v>0</v>
      </c>
      <c r="BF70" s="3">
        <v>0.32800000000000001</v>
      </c>
      <c r="BG70" s="3">
        <v>1.0999999999999999E-2</v>
      </c>
      <c r="BH70" s="3">
        <v>-1.0999999999999999E-2</v>
      </c>
      <c r="BI70" s="3">
        <v>0</v>
      </c>
      <c r="BJ70" s="3">
        <v>0.32300000000000001</v>
      </c>
      <c r="BK70" s="3">
        <v>1.4999999999999999E-2</v>
      </c>
      <c r="BL70" s="3">
        <v>-1.4999999999999999E-2</v>
      </c>
      <c r="BM70" s="3">
        <v>0</v>
      </c>
      <c r="BN70" s="3">
        <v>7.0000000000000007E-2</v>
      </c>
      <c r="BO70" s="3">
        <v>0.16</v>
      </c>
      <c r="BP70" s="3">
        <v>-0.16</v>
      </c>
      <c r="BQ70" s="3">
        <v>0</v>
      </c>
      <c r="BR70" t="s">
        <v>7935</v>
      </c>
      <c r="BW70" t="s">
        <v>7936</v>
      </c>
      <c r="BX70" t="s">
        <v>8089</v>
      </c>
      <c r="BY70" s="3">
        <v>191.98153099999999</v>
      </c>
      <c r="BZ70" t="s">
        <v>8090</v>
      </c>
      <c r="CA70" s="3">
        <v>9.7494180999999998</v>
      </c>
      <c r="CB70" s="3">
        <v>8.0742600000000007</v>
      </c>
      <c r="CC70" s="3">
        <v>4.0949999999999997E-3</v>
      </c>
      <c r="CD70" s="3">
        <v>-4.0949999999999997E-3</v>
      </c>
      <c r="CE70" s="3">
        <v>11.39</v>
      </c>
      <c r="CF70" s="3">
        <v>0.1</v>
      </c>
      <c r="CG70" s="3">
        <v>-0.1</v>
      </c>
      <c r="CH70" s="3">
        <v>6.3620000000000001</v>
      </c>
      <c r="CI70" s="3">
        <v>1.7999999999999999E-2</v>
      </c>
      <c r="CJ70" s="3">
        <v>-1.7999999999999999E-2</v>
      </c>
      <c r="CK70" s="3">
        <v>10.093999999999999</v>
      </c>
      <c r="CL70" s="3">
        <v>7.4600000000000003E-4</v>
      </c>
      <c r="CM70" s="3">
        <v>-7.4600000000000003E-4</v>
      </c>
      <c r="CN70" t="s">
        <v>8094</v>
      </c>
      <c r="CO70" t="s">
        <v>8095</v>
      </c>
      <c r="CP70" t="s">
        <v>8094</v>
      </c>
    </row>
    <row r="71" spans="1:94" x14ac:dyDescent="0.45">
      <c r="A71" t="s">
        <v>1103</v>
      </c>
      <c r="B71">
        <v>0</v>
      </c>
      <c r="C71" t="s">
        <v>1102</v>
      </c>
      <c r="D71" t="s">
        <v>1104</v>
      </c>
      <c r="E71" s="3">
        <v>0</v>
      </c>
      <c r="F71" s="3">
        <v>1</v>
      </c>
      <c r="G71" s="3">
        <v>1</v>
      </c>
      <c r="H71" t="s">
        <v>1427</v>
      </c>
      <c r="I71" s="3">
        <v>2021</v>
      </c>
      <c r="J71" t="s">
        <v>7955</v>
      </c>
      <c r="K71" t="s">
        <v>1429</v>
      </c>
      <c r="L71" s="3">
        <v>0</v>
      </c>
      <c r="M71" t="s">
        <v>8096</v>
      </c>
      <c r="N71" s="3">
        <v>1.4671205</v>
      </c>
      <c r="O71" s="3">
        <v>1.1999999999999999E-6</v>
      </c>
      <c r="P71" s="3">
        <v>-1.1000000000000001E-6</v>
      </c>
      <c r="Q71" s="3">
        <v>0</v>
      </c>
      <c r="R71" s="3">
        <v>1.7129999999999999E-2</v>
      </c>
      <c r="S71" s="3">
        <v>9.1E-4</v>
      </c>
      <c r="T71" s="3">
        <v>-9.7999999999999997E-4</v>
      </c>
      <c r="U71" s="3">
        <v>0</v>
      </c>
      <c r="V71" s="3">
        <v>1.343</v>
      </c>
      <c r="W71" s="3">
        <v>6.3E-2</v>
      </c>
      <c r="X71" s="3">
        <v>-6.2E-2</v>
      </c>
      <c r="Y71" s="3">
        <v>0</v>
      </c>
      <c r="Z71" s="3">
        <v>0.11981464</v>
      </c>
      <c r="AA71" s="3">
        <v>5.6204899999999997E-3</v>
      </c>
      <c r="AB71" s="3">
        <v>-5.5312800000000004E-3</v>
      </c>
      <c r="AC71" s="3">
        <v>0</v>
      </c>
      <c r="AD71" s="3">
        <v>3</v>
      </c>
      <c r="AE71" s="3">
        <v>0.13</v>
      </c>
      <c r="AF71" s="3">
        <v>-0.13</v>
      </c>
      <c r="AG71" s="3">
        <v>0</v>
      </c>
      <c r="AH71" s="3">
        <v>9.4390600000000009E-3</v>
      </c>
      <c r="AI71" s="3">
        <v>4.0903000000000001E-4</v>
      </c>
      <c r="AJ71" s="3">
        <v>-4.0903000000000001E-4</v>
      </c>
      <c r="AK71" s="3">
        <v>0</v>
      </c>
      <c r="AL71" t="s">
        <v>1453</v>
      </c>
      <c r="AM71" s="3">
        <v>0</v>
      </c>
      <c r="AP71" s="3">
        <v>0</v>
      </c>
      <c r="AQ71" s="3">
        <v>41.3</v>
      </c>
      <c r="AR71" s="3">
        <v>4.4000000000000004</v>
      </c>
      <c r="AS71" s="3">
        <v>-4.8</v>
      </c>
      <c r="AT71" s="3">
        <v>0</v>
      </c>
      <c r="AU71" s="3">
        <v>706</v>
      </c>
      <c r="AV71" s="3">
        <v>19</v>
      </c>
      <c r="AW71" s="3">
        <v>-20</v>
      </c>
      <c r="AX71" s="3">
        <v>0</v>
      </c>
      <c r="AY71" s="3">
        <v>0</v>
      </c>
      <c r="AZ71" t="s">
        <v>8096</v>
      </c>
      <c r="BA71" t="s">
        <v>8093</v>
      </c>
      <c r="BB71" s="3">
        <v>3291</v>
      </c>
      <c r="BC71" s="3">
        <v>75</v>
      </c>
      <c r="BD71" s="3">
        <v>-75</v>
      </c>
      <c r="BE71" s="3">
        <v>0</v>
      </c>
      <c r="BF71" s="3">
        <v>0.33900000000000002</v>
      </c>
      <c r="BG71" s="3">
        <v>1.4999999999999999E-2</v>
      </c>
      <c r="BH71" s="3">
        <v>-1.4999999999999999E-2</v>
      </c>
      <c r="BI71" s="3">
        <v>0</v>
      </c>
      <c r="BJ71" s="3">
        <v>0.33300000000000002</v>
      </c>
      <c r="BK71" s="3">
        <v>1.9E-2</v>
      </c>
      <c r="BL71" s="3">
        <v>-1.9E-2</v>
      </c>
      <c r="BM71" s="3">
        <v>0</v>
      </c>
      <c r="BN71" s="3">
        <v>-0.15</v>
      </c>
      <c r="BO71" s="3">
        <v>0.13</v>
      </c>
      <c r="BP71" s="3">
        <v>-0.13</v>
      </c>
      <c r="BQ71" s="3">
        <v>0</v>
      </c>
      <c r="BR71" t="s">
        <v>7935</v>
      </c>
      <c r="BS71" s="3">
        <v>4.82</v>
      </c>
      <c r="BT71" s="3">
        <v>0.12</v>
      </c>
      <c r="BU71" s="3">
        <v>-0.12</v>
      </c>
      <c r="BV71" s="3">
        <v>0</v>
      </c>
      <c r="BW71" t="s">
        <v>7936</v>
      </c>
      <c r="BX71" t="s">
        <v>8089</v>
      </c>
      <c r="BY71" s="3">
        <v>191.98153099999999</v>
      </c>
      <c r="BZ71" t="s">
        <v>8090</v>
      </c>
      <c r="CA71" s="3">
        <v>9.7494180999999998</v>
      </c>
      <c r="CB71" s="3">
        <v>8.0742600000000007</v>
      </c>
      <c r="CC71" s="3">
        <v>4.0949999999999997E-3</v>
      </c>
      <c r="CD71" s="3">
        <v>-4.0949999999999997E-3</v>
      </c>
      <c r="CE71" s="3">
        <v>11.39</v>
      </c>
      <c r="CF71" s="3">
        <v>0.1</v>
      </c>
      <c r="CG71" s="3">
        <v>-0.1</v>
      </c>
      <c r="CH71" s="3">
        <v>6.3620000000000001</v>
      </c>
      <c r="CI71" s="3">
        <v>1.7999999999999999E-2</v>
      </c>
      <c r="CJ71" s="3">
        <v>-1.7999999999999999E-2</v>
      </c>
      <c r="CK71" s="3">
        <v>10.093999999999999</v>
      </c>
      <c r="CL71" s="3">
        <v>7.4600000000000003E-4</v>
      </c>
      <c r="CM71" s="3">
        <v>-7.4600000000000003E-4</v>
      </c>
      <c r="CN71" t="s">
        <v>8097</v>
      </c>
      <c r="CO71" t="s">
        <v>8003</v>
      </c>
      <c r="CP71" t="s">
        <v>8097</v>
      </c>
    </row>
    <row r="72" spans="1:94" x14ac:dyDescent="0.45">
      <c r="A72" t="s">
        <v>1103</v>
      </c>
      <c r="B72">
        <v>0</v>
      </c>
      <c r="C72" t="s">
        <v>1102</v>
      </c>
      <c r="D72" t="s">
        <v>1104</v>
      </c>
      <c r="E72" s="3">
        <v>0</v>
      </c>
      <c r="F72" s="3">
        <v>1</v>
      </c>
      <c r="G72" s="3">
        <v>1</v>
      </c>
      <c r="H72" t="s">
        <v>1427</v>
      </c>
      <c r="I72" s="3">
        <v>2021</v>
      </c>
      <c r="J72" t="s">
        <v>7955</v>
      </c>
      <c r="K72" t="s">
        <v>8046</v>
      </c>
      <c r="L72" s="3">
        <v>0</v>
      </c>
      <c r="M72" t="s">
        <v>8047</v>
      </c>
      <c r="N72" s="3">
        <v>1.46711903473</v>
      </c>
      <c r="O72" s="3">
        <v>2.4536000000000001E-6</v>
      </c>
      <c r="P72" s="3">
        <v>-2.4536000000000001E-6</v>
      </c>
      <c r="Q72" s="3">
        <v>0</v>
      </c>
      <c r="V72" s="3">
        <v>1.3241394</v>
      </c>
      <c r="W72" s="3">
        <v>0.33019074999999998</v>
      </c>
      <c r="X72" s="3">
        <v>-0.33019074999999998</v>
      </c>
      <c r="Y72" s="3">
        <v>0</v>
      </c>
      <c r="Z72" s="3">
        <v>0.11813201</v>
      </c>
      <c r="AA72" s="3">
        <v>2.94577E-2</v>
      </c>
      <c r="AB72" s="3">
        <v>-2.94577E-2</v>
      </c>
      <c r="AC72" s="3">
        <v>0</v>
      </c>
      <c r="AQ72" s="3">
        <v>39.492199999999997</v>
      </c>
      <c r="AT72" s="3">
        <v>0</v>
      </c>
      <c r="AU72" s="3">
        <v>639.36</v>
      </c>
      <c r="AX72" s="3">
        <v>0</v>
      </c>
      <c r="AY72" s="3">
        <v>0</v>
      </c>
      <c r="AZ72" t="s">
        <v>8047</v>
      </c>
      <c r="BB72" s="3">
        <v>3297</v>
      </c>
      <c r="BC72" s="3">
        <v>157</v>
      </c>
      <c r="BD72" s="3">
        <v>-157</v>
      </c>
      <c r="BE72" s="3">
        <v>0</v>
      </c>
      <c r="BF72" s="3">
        <v>0.33147199999999999</v>
      </c>
      <c r="BG72" s="3">
        <v>9.8309999999999995E-3</v>
      </c>
      <c r="BH72" s="3">
        <v>-9.8309999999999995E-3</v>
      </c>
      <c r="BI72" s="3">
        <v>0</v>
      </c>
      <c r="BS72" s="3">
        <v>4.8899999999999997</v>
      </c>
      <c r="BV72" s="3">
        <v>0</v>
      </c>
      <c r="BW72" t="s">
        <v>7936</v>
      </c>
      <c r="BX72" t="s">
        <v>8089</v>
      </c>
      <c r="BY72" s="3">
        <v>191.98153099999999</v>
      </c>
      <c r="BZ72" t="s">
        <v>8090</v>
      </c>
      <c r="CA72" s="3">
        <v>9.7494180999999998</v>
      </c>
      <c r="CB72" s="3">
        <v>8.0742600000000007</v>
      </c>
      <c r="CC72" s="3">
        <v>4.0949999999999997E-3</v>
      </c>
      <c r="CD72" s="3">
        <v>-4.0949999999999997E-3</v>
      </c>
      <c r="CE72" s="3">
        <v>11.39</v>
      </c>
      <c r="CF72" s="3">
        <v>0.1</v>
      </c>
      <c r="CG72" s="3">
        <v>-0.1</v>
      </c>
      <c r="CH72" s="3">
        <v>6.3620000000000001</v>
      </c>
      <c r="CI72" s="3">
        <v>1.7999999999999999E-2</v>
      </c>
      <c r="CJ72" s="3">
        <v>-1.7999999999999999E-2</v>
      </c>
      <c r="CK72" s="3">
        <v>10.093999999999999</v>
      </c>
      <c r="CL72" s="3">
        <v>7.4600000000000003E-4</v>
      </c>
      <c r="CM72" s="3">
        <v>-7.4600000000000003E-4</v>
      </c>
      <c r="CN72" t="s">
        <v>8098</v>
      </c>
      <c r="CO72" t="s">
        <v>8049</v>
      </c>
      <c r="CP72" t="s">
        <v>8098</v>
      </c>
    </row>
    <row r="73" spans="1:94" x14ac:dyDescent="0.45">
      <c r="A73" t="s">
        <v>911</v>
      </c>
      <c r="B73">
        <v>1</v>
      </c>
      <c r="C73" t="s">
        <v>910</v>
      </c>
      <c r="D73" t="s">
        <v>912</v>
      </c>
      <c r="E73" s="3">
        <v>1</v>
      </c>
      <c r="F73" s="3">
        <v>1</v>
      </c>
      <c r="G73" s="3">
        <v>1</v>
      </c>
      <c r="H73" t="s">
        <v>1427</v>
      </c>
      <c r="I73" s="3">
        <v>2022</v>
      </c>
      <c r="J73" t="s">
        <v>7932</v>
      </c>
      <c r="K73" t="s">
        <v>1429</v>
      </c>
      <c r="L73" s="3">
        <v>0</v>
      </c>
      <c r="M73" t="s">
        <v>8099</v>
      </c>
      <c r="N73" s="3">
        <v>140.43</v>
      </c>
      <c r="O73" s="3">
        <v>0.41</v>
      </c>
      <c r="P73" s="3">
        <v>-0.41</v>
      </c>
      <c r="Q73" s="3">
        <v>0</v>
      </c>
      <c r="R73" s="3">
        <v>0.42199999999999999</v>
      </c>
      <c r="S73" s="3">
        <v>1.4E-2</v>
      </c>
      <c r="T73" s="3">
        <v>-1.4999999999999999E-2</v>
      </c>
      <c r="U73" s="3">
        <v>0</v>
      </c>
      <c r="AD73" s="3">
        <v>5.2</v>
      </c>
      <c r="AE73" s="3">
        <v>0.9</v>
      </c>
      <c r="AF73" s="3">
        <v>-0.9</v>
      </c>
      <c r="AG73" s="3">
        <v>0</v>
      </c>
      <c r="AH73" s="3">
        <v>1.6361029999999999E-2</v>
      </c>
      <c r="AI73" s="3">
        <v>2.8317199999999998E-3</v>
      </c>
      <c r="AJ73" s="3">
        <v>-2.8317199999999998E-3</v>
      </c>
      <c r="AK73" s="3">
        <v>0</v>
      </c>
      <c r="AL73" t="s">
        <v>1426</v>
      </c>
      <c r="AM73" s="3">
        <v>0.45</v>
      </c>
      <c r="AN73" s="3">
        <v>0.15</v>
      </c>
      <c r="AO73" s="3">
        <v>-0.14000000000000001</v>
      </c>
      <c r="AP73" s="3">
        <v>0</v>
      </c>
      <c r="AQ73" s="3">
        <v>0.28000000000000003</v>
      </c>
      <c r="AR73" s="3">
        <v>7.0000000000000007E-2</v>
      </c>
      <c r="AS73" s="3">
        <v>-0.06</v>
      </c>
      <c r="AT73" s="3">
        <v>0</v>
      </c>
      <c r="AU73" s="3">
        <v>202</v>
      </c>
      <c r="AV73" s="3">
        <v>11</v>
      </c>
      <c r="AW73" s="3">
        <v>-11</v>
      </c>
      <c r="AX73" s="3">
        <v>0</v>
      </c>
      <c r="AY73" s="3">
        <v>0</v>
      </c>
      <c r="AZ73" t="s">
        <v>8099</v>
      </c>
      <c r="BA73" t="s">
        <v>8100</v>
      </c>
      <c r="BB73" s="3">
        <v>3728</v>
      </c>
      <c r="BC73" s="3">
        <v>68</v>
      </c>
      <c r="BD73" s="3">
        <v>-68</v>
      </c>
      <c r="BE73" s="3">
        <v>0</v>
      </c>
      <c r="BF73" s="3">
        <v>0.5</v>
      </c>
      <c r="BG73" s="3">
        <v>4.7E-2</v>
      </c>
      <c r="BH73" s="3">
        <v>-4.7E-2</v>
      </c>
      <c r="BI73" s="3">
        <v>0</v>
      </c>
      <c r="BJ73" s="3">
        <v>0.51</v>
      </c>
      <c r="BK73" s="3">
        <v>5.0999999999999997E-2</v>
      </c>
      <c r="BL73" s="3">
        <v>-5.0999999999999997E-2</v>
      </c>
      <c r="BM73" s="3">
        <v>0</v>
      </c>
      <c r="BN73" s="3">
        <v>-0.14000000000000001</v>
      </c>
      <c r="BO73" s="3">
        <v>0.09</v>
      </c>
      <c r="BP73" s="3">
        <v>-0.09</v>
      </c>
      <c r="BQ73" s="3">
        <v>0</v>
      </c>
      <c r="BR73" t="s">
        <v>7935</v>
      </c>
      <c r="BS73" s="3">
        <v>4.76</v>
      </c>
      <c r="BT73" s="3">
        <v>0.04</v>
      </c>
      <c r="BU73" s="3">
        <v>-0.04</v>
      </c>
      <c r="BV73" s="3">
        <v>0</v>
      </c>
      <c r="BW73" t="s">
        <v>7936</v>
      </c>
      <c r="BX73" t="s">
        <v>8101</v>
      </c>
      <c r="BY73" s="3">
        <v>202.5040424</v>
      </c>
      <c r="BZ73" t="s">
        <v>8102</v>
      </c>
      <c r="CA73" s="3">
        <v>10.3725387</v>
      </c>
      <c r="CB73" s="3">
        <v>7.6177799999999998</v>
      </c>
      <c r="CC73" s="3">
        <v>3.1749999999999999E-3</v>
      </c>
      <c r="CD73" s="3">
        <v>-3.1749999999999999E-3</v>
      </c>
      <c r="CE73" s="3">
        <v>9.0500000000000007</v>
      </c>
      <c r="CF73" s="3">
        <v>0.1</v>
      </c>
      <c r="CG73" s="3">
        <v>-0.1</v>
      </c>
      <c r="CH73" s="3">
        <v>5.0359999999999996</v>
      </c>
      <c r="CI73" s="3">
        <v>2.7E-2</v>
      </c>
      <c r="CJ73" s="3">
        <v>-2.7E-2</v>
      </c>
      <c r="CK73" s="3">
        <v>8.2062100000000004</v>
      </c>
      <c r="CL73" s="3">
        <v>7.1100000000000004E-4</v>
      </c>
      <c r="CM73" s="3">
        <v>-7.1100000000000004E-4</v>
      </c>
      <c r="CN73" t="s">
        <v>1527</v>
      </c>
      <c r="CO73" t="s">
        <v>8103</v>
      </c>
      <c r="CP73" t="s">
        <v>1527</v>
      </c>
    </row>
    <row r="74" spans="1:94" x14ac:dyDescent="0.45">
      <c r="A74" t="s">
        <v>689</v>
      </c>
      <c r="B74">
        <v>0</v>
      </c>
      <c r="C74" t="s">
        <v>1528</v>
      </c>
      <c r="D74" t="s">
        <v>690</v>
      </c>
      <c r="E74" s="3">
        <v>0</v>
      </c>
      <c r="F74" s="3">
        <v>1</v>
      </c>
      <c r="G74" s="3">
        <v>3</v>
      </c>
      <c r="H74" t="s">
        <v>1427</v>
      </c>
      <c r="I74" s="3">
        <v>2005</v>
      </c>
      <c r="J74" t="s">
        <v>7966</v>
      </c>
      <c r="K74" t="s">
        <v>1429</v>
      </c>
      <c r="L74" s="3">
        <v>0</v>
      </c>
      <c r="M74" t="s">
        <v>8104</v>
      </c>
      <c r="N74" s="3">
        <v>5.3687399999999998</v>
      </c>
      <c r="O74" s="3">
        <v>1.9000000000000001E-4</v>
      </c>
      <c r="P74" s="3">
        <v>-1.9000000000000001E-4</v>
      </c>
      <c r="Q74" s="3">
        <v>0</v>
      </c>
      <c r="R74" s="3">
        <v>0.04</v>
      </c>
      <c r="U74" s="3">
        <v>0</v>
      </c>
      <c r="AD74" s="3">
        <v>15.65</v>
      </c>
      <c r="AG74" s="3">
        <v>0</v>
      </c>
      <c r="AH74" s="3">
        <v>4.9000000000000002E-2</v>
      </c>
      <c r="AK74" s="3">
        <v>0</v>
      </c>
      <c r="AL74" t="s">
        <v>1426</v>
      </c>
      <c r="AM74" s="3">
        <v>0</v>
      </c>
      <c r="AP74" s="3">
        <v>0</v>
      </c>
      <c r="AY74" s="3">
        <v>0</v>
      </c>
      <c r="AZ74" t="s">
        <v>8104</v>
      </c>
      <c r="BW74" t="s">
        <v>7936</v>
      </c>
      <c r="BX74" t="s">
        <v>8105</v>
      </c>
      <c r="BY74" s="3">
        <v>229.8564725</v>
      </c>
      <c r="BZ74" t="s">
        <v>8106</v>
      </c>
      <c r="CA74" s="3">
        <v>-7.7226935000000001</v>
      </c>
      <c r="CB74" s="3">
        <v>6.2980999999999998</v>
      </c>
      <c r="CC74" s="3">
        <v>2.0950000000000001E-3</v>
      </c>
      <c r="CD74" s="3">
        <v>-2.0950000000000001E-3</v>
      </c>
      <c r="CE74" s="3">
        <v>10.57</v>
      </c>
      <c r="CF74" s="3">
        <v>0.1</v>
      </c>
      <c r="CG74" s="3">
        <v>-0.1</v>
      </c>
      <c r="CH74" s="3">
        <v>5.8369999999999997</v>
      </c>
      <c r="CI74" s="3">
        <v>2.3E-2</v>
      </c>
      <c r="CJ74" s="3">
        <v>-2.3E-2</v>
      </c>
      <c r="CK74" s="3">
        <v>9.4109999999999996</v>
      </c>
      <c r="CL74" s="3">
        <v>1.1969999999999999E-3</v>
      </c>
      <c r="CM74" s="3">
        <v>-1.1969999999999999E-3</v>
      </c>
      <c r="CN74" t="s">
        <v>1433</v>
      </c>
      <c r="CO74" t="s">
        <v>8107</v>
      </c>
      <c r="CP74" t="s">
        <v>1433</v>
      </c>
    </row>
    <row r="75" spans="1:94" x14ac:dyDescent="0.45">
      <c r="A75" t="s">
        <v>689</v>
      </c>
      <c r="B75">
        <v>0</v>
      </c>
      <c r="C75" t="s">
        <v>1528</v>
      </c>
      <c r="D75" t="s">
        <v>690</v>
      </c>
      <c r="E75" s="3">
        <v>0</v>
      </c>
      <c r="F75" s="3">
        <v>1</v>
      </c>
      <c r="G75" s="3">
        <v>3</v>
      </c>
      <c r="H75" t="s">
        <v>1427</v>
      </c>
      <c r="I75" s="3">
        <v>2005</v>
      </c>
      <c r="J75" t="s">
        <v>7966</v>
      </c>
      <c r="K75" t="s">
        <v>1429</v>
      </c>
      <c r="L75" s="3">
        <v>0</v>
      </c>
      <c r="M75" t="s">
        <v>7942</v>
      </c>
      <c r="N75" s="3">
        <v>5.3687899999999997</v>
      </c>
      <c r="O75" s="3">
        <v>1.4999999999999999E-4</v>
      </c>
      <c r="P75" s="3">
        <v>-1.4999999999999999E-4</v>
      </c>
      <c r="Q75" s="3">
        <v>0</v>
      </c>
      <c r="R75" s="3">
        <v>4.0989999999999999E-2</v>
      </c>
      <c r="S75" s="3">
        <v>4.2000000000000002E-4</v>
      </c>
      <c r="T75" s="3">
        <v>-4.4000000000000002E-4</v>
      </c>
      <c r="U75" s="3">
        <v>0</v>
      </c>
      <c r="AD75" s="3">
        <v>16.241031599999999</v>
      </c>
      <c r="AE75" s="3">
        <v>0.60387396999999998</v>
      </c>
      <c r="AF75" s="3">
        <v>-0.60387396999999998</v>
      </c>
      <c r="AG75" s="3">
        <v>0</v>
      </c>
      <c r="AH75" s="3">
        <v>5.11E-2</v>
      </c>
      <c r="AI75" s="3">
        <v>1.9E-3</v>
      </c>
      <c r="AJ75" s="3">
        <v>-1.9E-3</v>
      </c>
      <c r="AK75" s="3">
        <v>0</v>
      </c>
      <c r="AL75" t="s">
        <v>1426</v>
      </c>
      <c r="AM75" s="3">
        <v>0.02</v>
      </c>
      <c r="AN75" s="3">
        <v>2.1999999999999999E-2</v>
      </c>
      <c r="AO75" s="3">
        <v>-1.4E-2</v>
      </c>
      <c r="AP75" s="3">
        <v>0</v>
      </c>
      <c r="AY75" s="3">
        <v>0</v>
      </c>
      <c r="AZ75" t="s">
        <v>7942</v>
      </c>
      <c r="BB75" s="3">
        <v>3490.39</v>
      </c>
      <c r="BC75" s="3">
        <v>42.51</v>
      </c>
      <c r="BD75" s="3">
        <v>-42.51</v>
      </c>
      <c r="BE75" s="3">
        <v>0</v>
      </c>
      <c r="BF75" s="3">
        <v>0.31525399999999998</v>
      </c>
      <c r="BG75" s="3">
        <v>7.3289999999999996E-3</v>
      </c>
      <c r="BH75" s="3">
        <v>-7.3289999999999996E-3</v>
      </c>
      <c r="BI75" s="3">
        <v>0</v>
      </c>
      <c r="BJ75" s="3">
        <v>0.318714</v>
      </c>
      <c r="BK75" s="3">
        <v>1.0055E-2</v>
      </c>
      <c r="BL75" s="3">
        <v>-1.0055E-2</v>
      </c>
      <c r="BM75" s="3">
        <v>0</v>
      </c>
      <c r="BN75" s="3">
        <v>-8.8099999999999998E-2</v>
      </c>
      <c r="BO75" s="3">
        <v>7.3999999999999996E-2</v>
      </c>
      <c r="BP75" s="3">
        <v>-7.3999999999999996E-2</v>
      </c>
      <c r="BQ75" s="3">
        <v>0</v>
      </c>
      <c r="BR75" t="s">
        <v>7935</v>
      </c>
      <c r="BS75" s="3">
        <v>4.9423969999999997</v>
      </c>
      <c r="BT75" s="3">
        <v>1.2805E-2</v>
      </c>
      <c r="BU75" s="3">
        <v>-1.2805E-2</v>
      </c>
      <c r="BV75" s="3">
        <v>0</v>
      </c>
      <c r="BW75" t="s">
        <v>7936</v>
      </c>
      <c r="BX75" t="s">
        <v>8105</v>
      </c>
      <c r="BY75" s="3">
        <v>229.8564725</v>
      </c>
      <c r="BZ75" t="s">
        <v>8106</v>
      </c>
      <c r="CA75" s="3">
        <v>-7.7226935000000001</v>
      </c>
      <c r="CB75" s="3">
        <v>6.2980999999999998</v>
      </c>
      <c r="CC75" s="3">
        <v>2.0950000000000001E-3</v>
      </c>
      <c r="CD75" s="3">
        <v>-2.0950000000000001E-3</v>
      </c>
      <c r="CE75" s="3">
        <v>10.57</v>
      </c>
      <c r="CF75" s="3">
        <v>0.1</v>
      </c>
      <c r="CG75" s="3">
        <v>-0.1</v>
      </c>
      <c r="CH75" s="3">
        <v>5.8369999999999997</v>
      </c>
      <c r="CI75" s="3">
        <v>2.3E-2</v>
      </c>
      <c r="CJ75" s="3">
        <v>-2.3E-2</v>
      </c>
      <c r="CK75" s="3">
        <v>9.4109999999999996</v>
      </c>
      <c r="CL75" s="3">
        <v>1.1969999999999999E-3</v>
      </c>
      <c r="CM75" s="3">
        <v>-1.1969999999999999E-3</v>
      </c>
      <c r="CN75" t="s">
        <v>7943</v>
      </c>
      <c r="CO75" t="s">
        <v>7944</v>
      </c>
      <c r="CP75" t="s">
        <v>7943</v>
      </c>
    </row>
    <row r="76" spans="1:94" x14ac:dyDescent="0.45">
      <c r="A76" t="s">
        <v>689</v>
      </c>
      <c r="B76">
        <v>0</v>
      </c>
      <c r="C76" t="s">
        <v>1528</v>
      </c>
      <c r="D76" t="s">
        <v>690</v>
      </c>
      <c r="E76" s="3">
        <v>0</v>
      </c>
      <c r="F76" s="3">
        <v>1</v>
      </c>
      <c r="G76" s="3">
        <v>3</v>
      </c>
      <c r="H76" t="s">
        <v>1427</v>
      </c>
      <c r="I76" s="3">
        <v>2005</v>
      </c>
      <c r="J76" t="s">
        <v>7966</v>
      </c>
      <c r="K76" t="s">
        <v>1429</v>
      </c>
      <c r="L76" s="3">
        <v>0</v>
      </c>
      <c r="M76" t="s">
        <v>8108</v>
      </c>
      <c r="N76" s="3">
        <v>5.3685999999999998</v>
      </c>
      <c r="O76" s="3">
        <v>1E-4</v>
      </c>
      <c r="P76" s="3">
        <v>-1E-4</v>
      </c>
      <c r="Q76" s="3">
        <v>0</v>
      </c>
      <c r="R76" s="3">
        <v>4.061E-2</v>
      </c>
      <c r="S76" s="3">
        <v>3.0000000000000001E-5</v>
      </c>
      <c r="T76" s="3">
        <v>-3.0000000000000001E-5</v>
      </c>
      <c r="U76" s="3">
        <v>0</v>
      </c>
      <c r="AD76" s="3">
        <v>15.8</v>
      </c>
      <c r="AE76" s="3">
        <v>0.3</v>
      </c>
      <c r="AF76" s="3">
        <v>-0.3</v>
      </c>
      <c r="AG76" s="3">
        <v>0</v>
      </c>
      <c r="AH76" s="3">
        <v>4.9700000000000001E-2</v>
      </c>
      <c r="AI76" s="3">
        <v>8.9999999999999998E-4</v>
      </c>
      <c r="AJ76" s="3">
        <v>-8.9999999999999998E-4</v>
      </c>
      <c r="AK76" s="3">
        <v>0</v>
      </c>
      <c r="AL76" t="s">
        <v>1426</v>
      </c>
      <c r="AM76" s="3">
        <v>0</v>
      </c>
      <c r="AN76" s="3">
        <v>0.03</v>
      </c>
      <c r="AO76" s="3">
        <v>-0.03</v>
      </c>
      <c r="AP76" s="3">
        <v>0</v>
      </c>
      <c r="AY76" s="3">
        <v>0</v>
      </c>
      <c r="AZ76" t="s">
        <v>7936</v>
      </c>
      <c r="BB76" s="3">
        <v>3396</v>
      </c>
      <c r="BC76" s="3">
        <v>157</v>
      </c>
      <c r="BD76" s="3">
        <v>-157</v>
      </c>
      <c r="BE76" s="3">
        <v>0</v>
      </c>
      <c r="BF76" s="3">
        <v>0.329702</v>
      </c>
      <c r="BG76" s="3">
        <v>9.9340000000000001E-3</v>
      </c>
      <c r="BH76" s="3">
        <v>-9.9340000000000001E-3</v>
      </c>
      <c r="BI76" s="3">
        <v>0</v>
      </c>
      <c r="BJ76" s="3">
        <v>0.310747</v>
      </c>
      <c r="BK76" s="3">
        <v>2.0261999999999999E-2</v>
      </c>
      <c r="BL76" s="3">
        <v>-2.0261999999999999E-2</v>
      </c>
      <c r="BM76" s="3">
        <v>0</v>
      </c>
      <c r="BS76" s="3">
        <v>4.8942300000000003</v>
      </c>
      <c r="BT76" s="3">
        <v>2.1779999999999998E-3</v>
      </c>
      <c r="BU76" s="3">
        <v>-2.1779999999999998E-3</v>
      </c>
      <c r="BV76" s="3">
        <v>0</v>
      </c>
      <c r="BW76" t="s">
        <v>7936</v>
      </c>
      <c r="BX76" t="s">
        <v>8105</v>
      </c>
      <c r="BY76" s="3">
        <v>229.8564725</v>
      </c>
      <c r="BZ76" t="s">
        <v>8106</v>
      </c>
      <c r="CA76" s="3">
        <v>-7.7226935000000001</v>
      </c>
      <c r="CB76" s="3">
        <v>6.2980999999999998</v>
      </c>
      <c r="CC76" s="3">
        <v>2.0950000000000001E-3</v>
      </c>
      <c r="CD76" s="3">
        <v>-2.0950000000000001E-3</v>
      </c>
      <c r="CE76" s="3">
        <v>10.57</v>
      </c>
      <c r="CF76" s="3">
        <v>0.1</v>
      </c>
      <c r="CG76" s="3">
        <v>-0.1</v>
      </c>
      <c r="CH76" s="3">
        <v>5.8369999999999997</v>
      </c>
      <c r="CI76" s="3">
        <v>2.3E-2</v>
      </c>
      <c r="CJ76" s="3">
        <v>-2.3E-2</v>
      </c>
      <c r="CK76" s="3">
        <v>9.4109999999999996</v>
      </c>
      <c r="CL76" s="3">
        <v>1.1969999999999999E-3</v>
      </c>
      <c r="CM76" s="3">
        <v>-1.1969999999999999E-3</v>
      </c>
      <c r="CN76" t="s">
        <v>8109</v>
      </c>
      <c r="CO76" t="s">
        <v>8110</v>
      </c>
      <c r="CP76" t="s">
        <v>8109</v>
      </c>
    </row>
    <row r="77" spans="1:94" x14ac:dyDescent="0.45">
      <c r="A77" t="s">
        <v>689</v>
      </c>
      <c r="B77">
        <v>0</v>
      </c>
      <c r="C77" t="s">
        <v>1528</v>
      </c>
      <c r="D77" t="s">
        <v>690</v>
      </c>
      <c r="E77" s="3">
        <v>0</v>
      </c>
      <c r="F77" s="3">
        <v>1</v>
      </c>
      <c r="G77" s="3">
        <v>3</v>
      </c>
      <c r="H77" t="s">
        <v>1427</v>
      </c>
      <c r="I77" s="3">
        <v>2005</v>
      </c>
      <c r="J77" t="s">
        <v>7966</v>
      </c>
      <c r="K77" t="s">
        <v>1429</v>
      </c>
      <c r="L77" s="3">
        <v>0</v>
      </c>
      <c r="M77" t="s">
        <v>8111</v>
      </c>
      <c r="N77" s="3">
        <v>5.3659999999999997</v>
      </c>
      <c r="O77" s="3">
        <v>1E-3</v>
      </c>
      <c r="P77" s="3">
        <v>-1E-3</v>
      </c>
      <c r="Q77" s="3">
        <v>0</v>
      </c>
      <c r="R77" s="3">
        <v>4.1000000000000002E-2</v>
      </c>
      <c r="U77" s="3">
        <v>0</v>
      </c>
      <c r="AD77" s="3">
        <v>16.600000000000001</v>
      </c>
      <c r="AG77" s="3">
        <v>0</v>
      </c>
      <c r="AH77" s="3">
        <v>5.222918E-2</v>
      </c>
      <c r="AK77" s="3">
        <v>0</v>
      </c>
      <c r="AL77" t="s">
        <v>1426</v>
      </c>
      <c r="AM77" s="3">
        <v>0</v>
      </c>
      <c r="AP77" s="3">
        <v>0</v>
      </c>
      <c r="AY77" s="3">
        <v>0</v>
      </c>
      <c r="AZ77" t="s">
        <v>8111</v>
      </c>
      <c r="BA77" t="s">
        <v>8112</v>
      </c>
      <c r="BF77" s="3">
        <v>0.28999999999999998</v>
      </c>
      <c r="BI77" s="3">
        <v>0</v>
      </c>
      <c r="BJ77" s="3">
        <v>0.31</v>
      </c>
      <c r="BK77" s="3">
        <v>0.02</v>
      </c>
      <c r="BL77" s="3">
        <v>-0.02</v>
      </c>
      <c r="BM77" s="3">
        <v>0</v>
      </c>
      <c r="BN77" s="3">
        <v>-0.25</v>
      </c>
      <c r="BQ77" s="3">
        <v>0</v>
      </c>
      <c r="BR77" t="s">
        <v>7935</v>
      </c>
      <c r="BW77" t="s">
        <v>7936</v>
      </c>
      <c r="BX77" t="s">
        <v>8105</v>
      </c>
      <c r="BY77" s="3">
        <v>229.8564725</v>
      </c>
      <c r="BZ77" t="s">
        <v>8106</v>
      </c>
      <c r="CA77" s="3">
        <v>-7.7226935000000001</v>
      </c>
      <c r="CB77" s="3">
        <v>6.2980999999999998</v>
      </c>
      <c r="CC77" s="3">
        <v>2.0950000000000001E-3</v>
      </c>
      <c r="CD77" s="3">
        <v>-2.0950000000000001E-3</v>
      </c>
      <c r="CE77" s="3">
        <v>10.57</v>
      </c>
      <c r="CF77" s="3">
        <v>0.1</v>
      </c>
      <c r="CG77" s="3">
        <v>-0.1</v>
      </c>
      <c r="CH77" s="3">
        <v>5.8369999999999997</v>
      </c>
      <c r="CI77" s="3">
        <v>2.3E-2</v>
      </c>
      <c r="CJ77" s="3">
        <v>-2.3E-2</v>
      </c>
      <c r="CK77" s="3">
        <v>9.4109999999999996</v>
      </c>
      <c r="CL77" s="3">
        <v>1.1969999999999999E-3</v>
      </c>
      <c r="CM77" s="3">
        <v>-1.1969999999999999E-3</v>
      </c>
      <c r="CN77" t="s">
        <v>8113</v>
      </c>
      <c r="CO77" t="s">
        <v>8114</v>
      </c>
      <c r="CP77" t="s">
        <v>8115</v>
      </c>
    </row>
    <row r="78" spans="1:94" x14ac:dyDescent="0.45">
      <c r="A78" t="s">
        <v>689</v>
      </c>
      <c r="B78">
        <v>1</v>
      </c>
      <c r="C78" t="s">
        <v>1528</v>
      </c>
      <c r="D78" t="s">
        <v>690</v>
      </c>
      <c r="E78" s="3">
        <v>1</v>
      </c>
      <c r="F78" s="3">
        <v>1</v>
      </c>
      <c r="G78" s="3">
        <v>3</v>
      </c>
      <c r="H78" t="s">
        <v>1427</v>
      </c>
      <c r="I78" s="3">
        <v>2005</v>
      </c>
      <c r="J78" t="s">
        <v>7966</v>
      </c>
      <c r="K78" t="s">
        <v>1429</v>
      </c>
      <c r="L78" s="3">
        <v>0</v>
      </c>
      <c r="M78" t="s">
        <v>8116</v>
      </c>
      <c r="N78" s="3">
        <v>5.3685999999999998</v>
      </c>
      <c r="O78" s="3">
        <v>1E-4</v>
      </c>
      <c r="P78" s="3">
        <v>-1E-4</v>
      </c>
      <c r="Q78" s="3">
        <v>0</v>
      </c>
      <c r="R78" s="3">
        <v>3.9899999999999998E-2</v>
      </c>
      <c r="S78" s="3">
        <v>5.0000000000000001E-4</v>
      </c>
      <c r="T78" s="3">
        <v>-5.0000000000000001E-4</v>
      </c>
      <c r="U78" s="3">
        <v>0</v>
      </c>
      <c r="AD78" s="3">
        <v>20.5</v>
      </c>
      <c r="AE78" s="3">
        <v>6.2</v>
      </c>
      <c r="AF78" s="3">
        <v>-3.5</v>
      </c>
      <c r="AG78" s="3">
        <v>0</v>
      </c>
      <c r="AH78" s="3">
        <v>6.4500210000000002E-2</v>
      </c>
      <c r="AI78" s="3">
        <v>1.9507380000000001E-2</v>
      </c>
      <c r="AJ78" s="3">
        <v>-1.101223E-2</v>
      </c>
      <c r="AK78" s="3">
        <v>0</v>
      </c>
      <c r="AL78" t="s">
        <v>1453</v>
      </c>
      <c r="AM78" s="3">
        <v>3.4200000000000001E-2</v>
      </c>
      <c r="AN78" s="3">
        <v>8.9999999999999993E-3</v>
      </c>
      <c r="AO78" s="3">
        <v>-0.01</v>
      </c>
      <c r="AP78" s="3">
        <v>0</v>
      </c>
      <c r="AY78" s="3">
        <v>0</v>
      </c>
      <c r="AZ78" t="s">
        <v>8116</v>
      </c>
      <c r="BA78" t="s">
        <v>8012</v>
      </c>
      <c r="BB78" s="3">
        <v>3500</v>
      </c>
      <c r="BC78" s="3">
        <v>26</v>
      </c>
      <c r="BD78" s="3">
        <v>-26</v>
      </c>
      <c r="BE78" s="3">
        <v>0</v>
      </c>
      <c r="BF78" s="3">
        <v>0.30199999999999999</v>
      </c>
      <c r="BG78" s="3">
        <v>5.0000000000000001E-3</v>
      </c>
      <c r="BH78" s="3">
        <v>-5.0000000000000001E-3</v>
      </c>
      <c r="BI78" s="3">
        <v>0</v>
      </c>
      <c r="BJ78" s="3">
        <v>0.29499999999999998</v>
      </c>
      <c r="BK78" s="3">
        <v>0.01</v>
      </c>
      <c r="BL78" s="3">
        <v>-0.01</v>
      </c>
      <c r="BM78" s="3">
        <v>0</v>
      </c>
      <c r="BN78" s="3">
        <v>-0.08</v>
      </c>
      <c r="BO78" s="3">
        <v>7.0000000000000007E-2</v>
      </c>
      <c r="BP78" s="3">
        <v>-7.0000000000000007E-2</v>
      </c>
      <c r="BQ78" s="3">
        <v>0</v>
      </c>
      <c r="BR78" t="s">
        <v>7935</v>
      </c>
      <c r="BS78" s="3">
        <v>4.97</v>
      </c>
      <c r="BT78" s="3">
        <v>0.11</v>
      </c>
      <c r="BU78" s="3">
        <v>-0.11</v>
      </c>
      <c r="BV78" s="3">
        <v>0</v>
      </c>
      <c r="BW78" t="s">
        <v>7936</v>
      </c>
      <c r="BX78" t="s">
        <v>8105</v>
      </c>
      <c r="BY78" s="3">
        <v>229.8564725</v>
      </c>
      <c r="BZ78" t="s">
        <v>8106</v>
      </c>
      <c r="CA78" s="3">
        <v>-7.7226935000000001</v>
      </c>
      <c r="CB78" s="3">
        <v>6.2980999999999998</v>
      </c>
      <c r="CC78" s="3">
        <v>2.0950000000000001E-3</v>
      </c>
      <c r="CD78" s="3">
        <v>-2.0950000000000001E-3</v>
      </c>
      <c r="CE78" s="3">
        <v>10.57</v>
      </c>
      <c r="CF78" s="3">
        <v>0.1</v>
      </c>
      <c r="CG78" s="3">
        <v>-0.1</v>
      </c>
      <c r="CH78" s="3">
        <v>5.8369999999999997</v>
      </c>
      <c r="CI78" s="3">
        <v>2.3E-2</v>
      </c>
      <c r="CJ78" s="3">
        <v>-2.3E-2</v>
      </c>
      <c r="CK78" s="3">
        <v>9.4109999999999996</v>
      </c>
      <c r="CL78" s="3">
        <v>1.1969999999999999E-3</v>
      </c>
      <c r="CM78" s="3">
        <v>-1.1969999999999999E-3</v>
      </c>
      <c r="CN78" t="s">
        <v>1531</v>
      </c>
      <c r="CO78" t="s">
        <v>7986</v>
      </c>
      <c r="CP78" t="s">
        <v>1531</v>
      </c>
    </row>
    <row r="79" spans="1:94" x14ac:dyDescent="0.45">
      <c r="A79" t="s">
        <v>689</v>
      </c>
      <c r="B79">
        <v>0</v>
      </c>
      <c r="C79" t="s">
        <v>1528</v>
      </c>
      <c r="D79" t="s">
        <v>690</v>
      </c>
      <c r="E79" s="3">
        <v>0</v>
      </c>
      <c r="F79" s="3">
        <v>1</v>
      </c>
      <c r="G79" s="3">
        <v>3</v>
      </c>
      <c r="H79" t="s">
        <v>1427</v>
      </c>
      <c r="I79" s="3">
        <v>2005</v>
      </c>
      <c r="J79" t="s">
        <v>7966</v>
      </c>
      <c r="K79" t="s">
        <v>1429</v>
      </c>
      <c r="L79" s="3">
        <v>0</v>
      </c>
      <c r="M79" t="s">
        <v>8117</v>
      </c>
      <c r="N79" s="3">
        <v>5.3684099999999999</v>
      </c>
      <c r="O79" s="3">
        <v>2.5999999999999998E-4</v>
      </c>
      <c r="P79" s="3">
        <v>-2.5999999999999998E-4</v>
      </c>
      <c r="Q79" s="3">
        <v>0</v>
      </c>
      <c r="R79" s="3">
        <v>4.0616300000000001E-2</v>
      </c>
      <c r="S79" s="3">
        <v>1.3E-6</v>
      </c>
      <c r="T79" s="3">
        <v>-1.3E-6</v>
      </c>
      <c r="U79" s="3">
        <v>0</v>
      </c>
      <c r="AD79" s="3">
        <v>15.6</v>
      </c>
      <c r="AE79" s="3">
        <v>0.3</v>
      </c>
      <c r="AF79" s="3">
        <v>-0.3</v>
      </c>
      <c r="AG79" s="3">
        <v>0</v>
      </c>
      <c r="AH79" s="3">
        <v>4.9082840000000003E-2</v>
      </c>
      <c r="AI79" s="3">
        <v>9.4390000000000001E-4</v>
      </c>
      <c r="AJ79" s="3">
        <v>-9.4390000000000001E-4</v>
      </c>
      <c r="AK79" s="3">
        <v>0</v>
      </c>
      <c r="AL79" t="s">
        <v>1426</v>
      </c>
      <c r="AM79" s="3">
        <v>0</v>
      </c>
      <c r="AP79" s="3">
        <v>0</v>
      </c>
      <c r="AY79" s="3">
        <v>0</v>
      </c>
      <c r="AZ79" t="s">
        <v>8117</v>
      </c>
      <c r="BA79" t="s">
        <v>8112</v>
      </c>
      <c r="BF79" s="3">
        <v>0.28999999999999998</v>
      </c>
      <c r="BI79" s="3">
        <v>0</v>
      </c>
      <c r="BJ79" s="3">
        <v>0.31</v>
      </c>
      <c r="BK79" s="3">
        <v>0.02</v>
      </c>
      <c r="BL79" s="3">
        <v>-0.02</v>
      </c>
      <c r="BM79" s="3">
        <v>0</v>
      </c>
      <c r="BW79" t="s">
        <v>7936</v>
      </c>
      <c r="BX79" t="s">
        <v>8105</v>
      </c>
      <c r="BY79" s="3">
        <v>229.8564725</v>
      </c>
      <c r="BZ79" t="s">
        <v>8106</v>
      </c>
      <c r="CA79" s="3">
        <v>-7.7226935000000001</v>
      </c>
      <c r="CB79" s="3">
        <v>6.2980999999999998</v>
      </c>
      <c r="CC79" s="3">
        <v>2.0950000000000001E-3</v>
      </c>
      <c r="CD79" s="3">
        <v>-2.0950000000000001E-3</v>
      </c>
      <c r="CE79" s="3">
        <v>10.57</v>
      </c>
      <c r="CF79" s="3">
        <v>0.1</v>
      </c>
      <c r="CG79" s="3">
        <v>-0.1</v>
      </c>
      <c r="CH79" s="3">
        <v>5.8369999999999997</v>
      </c>
      <c r="CI79" s="3">
        <v>2.3E-2</v>
      </c>
      <c r="CJ79" s="3">
        <v>-2.3E-2</v>
      </c>
      <c r="CK79" s="3">
        <v>9.4109999999999996</v>
      </c>
      <c r="CL79" s="3">
        <v>1.1969999999999999E-3</v>
      </c>
      <c r="CM79" s="3">
        <v>-1.1969999999999999E-3</v>
      </c>
      <c r="CN79" t="s">
        <v>8118</v>
      </c>
      <c r="CO79" t="s">
        <v>8119</v>
      </c>
      <c r="CP79" t="s">
        <v>8120</v>
      </c>
    </row>
    <row r="80" spans="1:94" x14ac:dyDescent="0.45">
      <c r="A80" t="s">
        <v>689</v>
      </c>
      <c r="B80">
        <v>0</v>
      </c>
      <c r="C80" t="s">
        <v>1528</v>
      </c>
      <c r="D80" t="s">
        <v>690</v>
      </c>
      <c r="E80" s="3">
        <v>0</v>
      </c>
      <c r="F80" s="3">
        <v>1</v>
      </c>
      <c r="G80" s="3">
        <v>3</v>
      </c>
      <c r="H80" t="s">
        <v>1427</v>
      </c>
      <c r="I80" s="3">
        <v>2005</v>
      </c>
      <c r="J80" t="s">
        <v>7966</v>
      </c>
      <c r="K80" t="s">
        <v>1429</v>
      </c>
      <c r="L80" s="3">
        <v>0</v>
      </c>
      <c r="M80" t="s">
        <v>8121</v>
      </c>
      <c r="N80" s="3">
        <v>5.3680000000000003</v>
      </c>
      <c r="O80" s="3">
        <v>1E-3</v>
      </c>
      <c r="P80" s="3">
        <v>-1E-3</v>
      </c>
      <c r="Q80" s="3">
        <v>0</v>
      </c>
      <c r="R80" s="3">
        <v>4.1000000000000002E-2</v>
      </c>
      <c r="S80" s="3">
        <v>1E-3</v>
      </c>
      <c r="T80" s="3">
        <v>-1E-3</v>
      </c>
      <c r="U80" s="3">
        <v>0</v>
      </c>
      <c r="AD80" s="3">
        <v>15.2</v>
      </c>
      <c r="AE80" s="3">
        <v>0.22</v>
      </c>
      <c r="AF80" s="3">
        <v>-0.27</v>
      </c>
      <c r="AG80" s="3">
        <v>0</v>
      </c>
      <c r="AH80" s="3">
        <v>4.7824310000000002E-2</v>
      </c>
      <c r="AI80" s="3">
        <v>6.9218999999999997E-4</v>
      </c>
      <c r="AJ80" s="3">
        <v>-8.4951000000000004E-4</v>
      </c>
      <c r="AK80" s="3">
        <v>0</v>
      </c>
      <c r="AL80" t="s">
        <v>1426</v>
      </c>
      <c r="AM80" s="3">
        <v>2.1999999999999999E-2</v>
      </c>
      <c r="AN80" s="3">
        <v>2.7E-2</v>
      </c>
      <c r="AO80" s="3">
        <v>-5.0000000000000001E-3</v>
      </c>
      <c r="AP80" s="3">
        <v>0</v>
      </c>
      <c r="AY80" s="3">
        <v>0</v>
      </c>
      <c r="AZ80" t="s">
        <v>7936</v>
      </c>
      <c r="BB80" s="3">
        <v>3396</v>
      </c>
      <c r="BC80" s="3">
        <v>157</v>
      </c>
      <c r="BD80" s="3">
        <v>-157</v>
      </c>
      <c r="BE80" s="3">
        <v>0</v>
      </c>
      <c r="BF80" s="3">
        <v>0.329702</v>
      </c>
      <c r="BG80" s="3">
        <v>9.9340000000000001E-3</v>
      </c>
      <c r="BH80" s="3">
        <v>-9.9340000000000001E-3</v>
      </c>
      <c r="BI80" s="3">
        <v>0</v>
      </c>
      <c r="BJ80" s="3">
        <v>0.310747</v>
      </c>
      <c r="BK80" s="3">
        <v>2.0261999999999999E-2</v>
      </c>
      <c r="BL80" s="3">
        <v>-2.0261999999999999E-2</v>
      </c>
      <c r="BM80" s="3">
        <v>0</v>
      </c>
      <c r="BS80" s="3">
        <v>4.8942300000000003</v>
      </c>
      <c r="BT80" s="3">
        <v>2.1779999999999998E-3</v>
      </c>
      <c r="BU80" s="3">
        <v>-2.1779999999999998E-3</v>
      </c>
      <c r="BV80" s="3">
        <v>0</v>
      </c>
      <c r="BW80" t="s">
        <v>7936</v>
      </c>
      <c r="BX80" t="s">
        <v>8105</v>
      </c>
      <c r="BY80" s="3">
        <v>229.8564725</v>
      </c>
      <c r="BZ80" t="s">
        <v>8106</v>
      </c>
      <c r="CA80" s="3">
        <v>-7.7226935000000001</v>
      </c>
      <c r="CB80" s="3">
        <v>6.2980999999999998</v>
      </c>
      <c r="CC80" s="3">
        <v>2.0950000000000001E-3</v>
      </c>
      <c r="CD80" s="3">
        <v>-2.0950000000000001E-3</v>
      </c>
      <c r="CE80" s="3">
        <v>10.57</v>
      </c>
      <c r="CF80" s="3">
        <v>0.1</v>
      </c>
      <c r="CG80" s="3">
        <v>-0.1</v>
      </c>
      <c r="CH80" s="3">
        <v>5.8369999999999997</v>
      </c>
      <c r="CI80" s="3">
        <v>2.3E-2</v>
      </c>
      <c r="CJ80" s="3">
        <v>-2.3E-2</v>
      </c>
      <c r="CK80" s="3">
        <v>9.4109999999999996</v>
      </c>
      <c r="CL80" s="3">
        <v>1.1969999999999999E-3</v>
      </c>
      <c r="CM80" s="3">
        <v>-1.1969999999999999E-3</v>
      </c>
      <c r="CN80" t="s">
        <v>8122</v>
      </c>
      <c r="CO80" t="s">
        <v>8123</v>
      </c>
      <c r="CP80" t="s">
        <v>8124</v>
      </c>
    </row>
    <row r="81" spans="1:94" x14ac:dyDescent="0.45">
      <c r="A81" t="s">
        <v>689</v>
      </c>
      <c r="B81">
        <v>0</v>
      </c>
      <c r="C81" t="s">
        <v>1532</v>
      </c>
      <c r="D81" t="s">
        <v>690</v>
      </c>
      <c r="E81" s="3">
        <v>0</v>
      </c>
      <c r="F81" s="3">
        <v>1</v>
      </c>
      <c r="G81" s="3">
        <v>3</v>
      </c>
      <c r="H81" t="s">
        <v>1427</v>
      </c>
      <c r="I81" s="3">
        <v>2007</v>
      </c>
      <c r="J81" t="s">
        <v>7966</v>
      </c>
      <c r="K81" t="s">
        <v>1429</v>
      </c>
      <c r="L81" s="3">
        <v>0</v>
      </c>
      <c r="M81" t="s">
        <v>7942</v>
      </c>
      <c r="N81" s="3">
        <v>12.914400000000001</v>
      </c>
      <c r="O81" s="3">
        <v>4.4999999999999997E-3</v>
      </c>
      <c r="P81" s="3">
        <v>-4.7999999999999996E-3</v>
      </c>
      <c r="Q81" s="3">
        <v>0</v>
      </c>
      <c r="R81" s="3">
        <v>7.3590000000000003E-2</v>
      </c>
      <c r="S81" s="3">
        <v>7.6000000000000004E-4</v>
      </c>
      <c r="T81" s="3">
        <v>-7.7999999999999999E-4</v>
      </c>
      <c r="U81" s="3">
        <v>0</v>
      </c>
      <c r="AD81" s="3">
        <v>5.0534716700000004</v>
      </c>
      <c r="AE81" s="3">
        <v>0.69922249999999997</v>
      </c>
      <c r="AF81" s="3">
        <v>-0.69922249999999997</v>
      </c>
      <c r="AG81" s="3">
        <v>0</v>
      </c>
      <c r="AH81" s="3">
        <v>1.5900000000000001E-2</v>
      </c>
      <c r="AI81" s="3">
        <v>2.2000000000000001E-3</v>
      </c>
      <c r="AJ81" s="3">
        <v>-2.2000000000000001E-3</v>
      </c>
      <c r="AK81" s="3">
        <v>0</v>
      </c>
      <c r="AL81" t="s">
        <v>1426</v>
      </c>
      <c r="AM81" s="3">
        <v>0.12</v>
      </c>
      <c r="AN81" s="3">
        <v>0.12</v>
      </c>
      <c r="AO81" s="3">
        <v>-8.4000000000000005E-2</v>
      </c>
      <c r="AP81" s="3">
        <v>0</v>
      </c>
      <c r="AY81" s="3">
        <v>0</v>
      </c>
      <c r="AZ81" t="s">
        <v>7942</v>
      </c>
      <c r="BB81" s="3">
        <v>3490.39</v>
      </c>
      <c r="BC81" s="3">
        <v>42.51</v>
      </c>
      <c r="BD81" s="3">
        <v>-42.51</v>
      </c>
      <c r="BE81" s="3">
        <v>0</v>
      </c>
      <c r="BF81" s="3">
        <v>0.31525399999999998</v>
      </c>
      <c r="BG81" s="3">
        <v>7.3289999999999996E-3</v>
      </c>
      <c r="BH81" s="3">
        <v>-7.3289999999999996E-3</v>
      </c>
      <c r="BI81" s="3">
        <v>0</v>
      </c>
      <c r="BJ81" s="3">
        <v>0.318714</v>
      </c>
      <c r="BK81" s="3">
        <v>1.0055E-2</v>
      </c>
      <c r="BL81" s="3">
        <v>-1.0055E-2</v>
      </c>
      <c r="BM81" s="3">
        <v>0</v>
      </c>
      <c r="BN81" s="3">
        <v>-8.8099999999999998E-2</v>
      </c>
      <c r="BO81" s="3">
        <v>7.3999999999999996E-2</v>
      </c>
      <c r="BP81" s="3">
        <v>-7.3999999999999996E-2</v>
      </c>
      <c r="BQ81" s="3">
        <v>0</v>
      </c>
      <c r="BR81" t="s">
        <v>7935</v>
      </c>
      <c r="BS81" s="3">
        <v>4.9423969999999997</v>
      </c>
      <c r="BT81" s="3">
        <v>1.2805E-2</v>
      </c>
      <c r="BU81" s="3">
        <v>-1.2805E-2</v>
      </c>
      <c r="BV81" s="3">
        <v>0</v>
      </c>
      <c r="BW81" t="s">
        <v>7936</v>
      </c>
      <c r="BX81" t="s">
        <v>8105</v>
      </c>
      <c r="BY81" s="3">
        <v>229.8564725</v>
      </c>
      <c r="BZ81" t="s">
        <v>8106</v>
      </c>
      <c r="CA81" s="3">
        <v>-7.7226935000000001</v>
      </c>
      <c r="CB81" s="3">
        <v>6.2980999999999998</v>
      </c>
      <c r="CC81" s="3">
        <v>2.0950000000000001E-3</v>
      </c>
      <c r="CD81" s="3">
        <v>-2.0950000000000001E-3</v>
      </c>
      <c r="CE81" s="3">
        <v>10.57</v>
      </c>
      <c r="CF81" s="3">
        <v>0.1</v>
      </c>
      <c r="CG81" s="3">
        <v>-0.1</v>
      </c>
      <c r="CH81" s="3">
        <v>5.8369999999999997</v>
      </c>
      <c r="CI81" s="3">
        <v>2.3E-2</v>
      </c>
      <c r="CJ81" s="3">
        <v>-2.3E-2</v>
      </c>
      <c r="CK81" s="3">
        <v>9.4109999999999996</v>
      </c>
      <c r="CL81" s="3">
        <v>1.1969999999999999E-3</v>
      </c>
      <c r="CM81" s="3">
        <v>-1.1969999999999999E-3</v>
      </c>
      <c r="CN81" t="s">
        <v>7943</v>
      </c>
      <c r="CO81" t="s">
        <v>7944</v>
      </c>
      <c r="CP81" t="s">
        <v>7943</v>
      </c>
    </row>
    <row r="82" spans="1:94" x14ac:dyDescent="0.45">
      <c r="A82" t="s">
        <v>689</v>
      </c>
      <c r="B82">
        <v>0</v>
      </c>
      <c r="C82" t="s">
        <v>1532</v>
      </c>
      <c r="D82" t="s">
        <v>690</v>
      </c>
      <c r="E82" s="3">
        <v>0</v>
      </c>
      <c r="F82" s="3">
        <v>1</v>
      </c>
      <c r="G82" s="3">
        <v>3</v>
      </c>
      <c r="H82" t="s">
        <v>1427</v>
      </c>
      <c r="I82" s="3">
        <v>2007</v>
      </c>
      <c r="J82" t="s">
        <v>7966</v>
      </c>
      <c r="K82" t="s">
        <v>1429</v>
      </c>
      <c r="L82" s="3">
        <v>0</v>
      </c>
      <c r="M82" t="s">
        <v>8104</v>
      </c>
      <c r="N82" s="3">
        <v>12.9292</v>
      </c>
      <c r="O82" s="3">
        <v>4.7000000000000002E-3</v>
      </c>
      <c r="P82" s="3">
        <v>-4.7000000000000002E-3</v>
      </c>
      <c r="Q82" s="3">
        <v>0</v>
      </c>
      <c r="R82" s="3">
        <v>7.0000000000000007E-2</v>
      </c>
      <c r="U82" s="3">
        <v>0</v>
      </c>
      <c r="AD82" s="3">
        <v>5.36</v>
      </c>
      <c r="AG82" s="3">
        <v>0</v>
      </c>
      <c r="AH82" s="3">
        <v>1.7000000000000001E-2</v>
      </c>
      <c r="AK82" s="3">
        <v>0</v>
      </c>
      <c r="AL82" t="s">
        <v>1426</v>
      </c>
      <c r="AM82" s="3">
        <v>0.17</v>
      </c>
      <c r="AN82" s="3">
        <v>7.0000000000000007E-2</v>
      </c>
      <c r="AO82" s="3">
        <v>-7.0000000000000007E-2</v>
      </c>
      <c r="AP82" s="3">
        <v>0</v>
      </c>
      <c r="AY82" s="3">
        <v>0</v>
      </c>
      <c r="AZ82" t="s">
        <v>8104</v>
      </c>
      <c r="BW82" t="s">
        <v>7936</v>
      </c>
      <c r="BX82" t="s">
        <v>8105</v>
      </c>
      <c r="BY82" s="3">
        <v>229.8564725</v>
      </c>
      <c r="BZ82" t="s">
        <v>8106</v>
      </c>
      <c r="CA82" s="3">
        <v>-7.7226935000000001</v>
      </c>
      <c r="CB82" s="3">
        <v>6.2980999999999998</v>
      </c>
      <c r="CC82" s="3">
        <v>2.0950000000000001E-3</v>
      </c>
      <c r="CD82" s="3">
        <v>-2.0950000000000001E-3</v>
      </c>
      <c r="CE82" s="3">
        <v>10.57</v>
      </c>
      <c r="CF82" s="3">
        <v>0.1</v>
      </c>
      <c r="CG82" s="3">
        <v>-0.1</v>
      </c>
      <c r="CH82" s="3">
        <v>5.8369999999999997</v>
      </c>
      <c r="CI82" s="3">
        <v>2.3E-2</v>
      </c>
      <c r="CJ82" s="3">
        <v>-2.3E-2</v>
      </c>
      <c r="CK82" s="3">
        <v>9.4109999999999996</v>
      </c>
      <c r="CL82" s="3">
        <v>1.1969999999999999E-3</v>
      </c>
      <c r="CM82" s="3">
        <v>-1.1969999999999999E-3</v>
      </c>
      <c r="CN82" t="s">
        <v>1433</v>
      </c>
      <c r="CO82" t="s">
        <v>8107</v>
      </c>
      <c r="CP82" t="s">
        <v>1433</v>
      </c>
    </row>
    <row r="83" spans="1:94" x14ac:dyDescent="0.45">
      <c r="A83" t="s">
        <v>689</v>
      </c>
      <c r="B83">
        <v>1</v>
      </c>
      <c r="C83" t="s">
        <v>1532</v>
      </c>
      <c r="D83" t="s">
        <v>690</v>
      </c>
      <c r="E83" s="3">
        <v>1</v>
      </c>
      <c r="F83" s="3">
        <v>1</v>
      </c>
      <c r="G83" s="3">
        <v>3</v>
      </c>
      <c r="H83" t="s">
        <v>1427</v>
      </c>
      <c r="I83" s="3">
        <v>2007</v>
      </c>
      <c r="J83" t="s">
        <v>7966</v>
      </c>
      <c r="K83" t="s">
        <v>1429</v>
      </c>
      <c r="L83" s="3">
        <v>0</v>
      </c>
      <c r="M83" t="s">
        <v>8116</v>
      </c>
      <c r="N83" s="3">
        <v>12.921099999999999</v>
      </c>
      <c r="O83" s="3">
        <v>8.0000000000000004E-4</v>
      </c>
      <c r="P83" s="3">
        <v>-6.9999999999999999E-4</v>
      </c>
      <c r="Q83" s="3">
        <v>0</v>
      </c>
      <c r="R83" s="3">
        <v>7.1800000000000003E-2</v>
      </c>
      <c r="S83" s="3">
        <v>8.0000000000000004E-4</v>
      </c>
      <c r="T83" s="3">
        <v>-8.9999999999999998E-4</v>
      </c>
      <c r="U83" s="3">
        <v>0</v>
      </c>
      <c r="AD83" s="3">
        <v>6.81</v>
      </c>
      <c r="AE83" s="3">
        <v>0.21</v>
      </c>
      <c r="AF83" s="3">
        <v>-1.1599999999999999</v>
      </c>
      <c r="AG83" s="3">
        <v>0</v>
      </c>
      <c r="AH83" s="3">
        <v>2.142666E-2</v>
      </c>
      <c r="AI83" s="3">
        <v>6.6073E-4</v>
      </c>
      <c r="AJ83" s="3">
        <v>-3.6497700000000001E-3</v>
      </c>
      <c r="AK83" s="3">
        <v>0</v>
      </c>
      <c r="AL83" t="s">
        <v>1453</v>
      </c>
      <c r="AM83" s="3">
        <v>3.2000000000000001E-2</v>
      </c>
      <c r="AN83" s="3">
        <v>2.7E-2</v>
      </c>
      <c r="AO83" s="3">
        <v>-2.1000000000000001E-2</v>
      </c>
      <c r="AP83" s="3">
        <v>0</v>
      </c>
      <c r="AY83" s="3">
        <v>0</v>
      </c>
      <c r="AZ83" t="s">
        <v>8116</v>
      </c>
      <c r="BA83" t="s">
        <v>8012</v>
      </c>
      <c r="BB83" s="3">
        <v>3500</v>
      </c>
      <c r="BC83" s="3">
        <v>26</v>
      </c>
      <c r="BD83" s="3">
        <v>-26</v>
      </c>
      <c r="BE83" s="3">
        <v>0</v>
      </c>
      <c r="BF83" s="3">
        <v>0.30199999999999999</v>
      </c>
      <c r="BG83" s="3">
        <v>5.0000000000000001E-3</v>
      </c>
      <c r="BH83" s="3">
        <v>-5.0000000000000001E-3</v>
      </c>
      <c r="BI83" s="3">
        <v>0</v>
      </c>
      <c r="BJ83" s="3">
        <v>0.29499999999999998</v>
      </c>
      <c r="BK83" s="3">
        <v>0.01</v>
      </c>
      <c r="BL83" s="3">
        <v>-0.01</v>
      </c>
      <c r="BM83" s="3">
        <v>0</v>
      </c>
      <c r="BN83" s="3">
        <v>-0.08</v>
      </c>
      <c r="BO83" s="3">
        <v>7.0000000000000007E-2</v>
      </c>
      <c r="BP83" s="3">
        <v>-7.0000000000000007E-2</v>
      </c>
      <c r="BQ83" s="3">
        <v>0</v>
      </c>
      <c r="BR83" t="s">
        <v>7935</v>
      </c>
      <c r="BS83" s="3">
        <v>4.97</v>
      </c>
      <c r="BT83" s="3">
        <v>0.11</v>
      </c>
      <c r="BU83" s="3">
        <v>-0.11</v>
      </c>
      <c r="BV83" s="3">
        <v>0</v>
      </c>
      <c r="BW83" t="s">
        <v>7936</v>
      </c>
      <c r="BX83" t="s">
        <v>8105</v>
      </c>
      <c r="BY83" s="3">
        <v>229.8564725</v>
      </c>
      <c r="BZ83" t="s">
        <v>8106</v>
      </c>
      <c r="CA83" s="3">
        <v>-7.7226935000000001</v>
      </c>
      <c r="CB83" s="3">
        <v>6.2980999999999998</v>
      </c>
      <c r="CC83" s="3">
        <v>2.0950000000000001E-3</v>
      </c>
      <c r="CD83" s="3">
        <v>-2.0950000000000001E-3</v>
      </c>
      <c r="CE83" s="3">
        <v>10.57</v>
      </c>
      <c r="CF83" s="3">
        <v>0.1</v>
      </c>
      <c r="CG83" s="3">
        <v>-0.1</v>
      </c>
      <c r="CH83" s="3">
        <v>5.8369999999999997</v>
      </c>
      <c r="CI83" s="3">
        <v>2.3E-2</v>
      </c>
      <c r="CJ83" s="3">
        <v>-2.3E-2</v>
      </c>
      <c r="CK83" s="3">
        <v>9.4109999999999996</v>
      </c>
      <c r="CL83" s="3">
        <v>1.1969999999999999E-3</v>
      </c>
      <c r="CM83" s="3">
        <v>-1.1969999999999999E-3</v>
      </c>
      <c r="CN83" t="s">
        <v>1531</v>
      </c>
      <c r="CO83" t="s">
        <v>7986</v>
      </c>
      <c r="CP83" t="s">
        <v>1531</v>
      </c>
    </row>
    <row r="84" spans="1:94" x14ac:dyDescent="0.45">
      <c r="A84" t="s">
        <v>689</v>
      </c>
      <c r="B84">
        <v>0</v>
      </c>
      <c r="C84" t="s">
        <v>1532</v>
      </c>
      <c r="D84" t="s">
        <v>690</v>
      </c>
      <c r="E84" s="3">
        <v>0</v>
      </c>
      <c r="F84" s="3">
        <v>1</v>
      </c>
      <c r="G84" s="3">
        <v>3</v>
      </c>
      <c r="H84" t="s">
        <v>1427</v>
      </c>
      <c r="I84" s="3">
        <v>2007</v>
      </c>
      <c r="J84" t="s">
        <v>7966</v>
      </c>
      <c r="K84" t="s">
        <v>1429</v>
      </c>
      <c r="L84" s="3">
        <v>0</v>
      </c>
      <c r="M84" t="s">
        <v>8121</v>
      </c>
      <c r="N84" s="3">
        <v>12.919</v>
      </c>
      <c r="O84" s="3">
        <v>3.0000000000000001E-3</v>
      </c>
      <c r="P84" s="3">
        <v>-2E-3</v>
      </c>
      <c r="Q84" s="3">
        <v>0</v>
      </c>
      <c r="R84" s="3">
        <v>7.3999999999999996E-2</v>
      </c>
      <c r="S84" s="3">
        <v>1E-3</v>
      </c>
      <c r="T84" s="3">
        <v>-1E-3</v>
      </c>
      <c r="U84" s="3">
        <v>0</v>
      </c>
      <c r="AD84" s="3">
        <v>5.6520000000000001</v>
      </c>
      <c r="AE84" s="3">
        <v>0.38600000000000001</v>
      </c>
      <c r="AF84" s="3">
        <v>-0.23899999999999999</v>
      </c>
      <c r="AG84" s="3">
        <v>0</v>
      </c>
      <c r="AH84" s="3">
        <v>1.7783090000000001E-2</v>
      </c>
      <c r="AI84" s="3">
        <v>1.2144899999999999E-3</v>
      </c>
      <c r="AJ84" s="3">
        <v>-7.5197000000000003E-4</v>
      </c>
      <c r="AK84" s="3">
        <v>0</v>
      </c>
      <c r="AL84" t="s">
        <v>1426</v>
      </c>
      <c r="AM84" s="3">
        <v>8.6999999999999994E-2</v>
      </c>
      <c r="AN84" s="3">
        <v>0.15</v>
      </c>
      <c r="AO84" s="3">
        <v>-1.6E-2</v>
      </c>
      <c r="AP84" s="3">
        <v>0</v>
      </c>
      <c r="AY84" s="3">
        <v>0</v>
      </c>
      <c r="AZ84" t="s">
        <v>7936</v>
      </c>
      <c r="BB84" s="3">
        <v>3396</v>
      </c>
      <c r="BC84" s="3">
        <v>157</v>
      </c>
      <c r="BD84" s="3">
        <v>-157</v>
      </c>
      <c r="BE84" s="3">
        <v>0</v>
      </c>
      <c r="BF84" s="3">
        <v>0.329702</v>
      </c>
      <c r="BG84" s="3">
        <v>9.9340000000000001E-3</v>
      </c>
      <c r="BH84" s="3">
        <v>-9.9340000000000001E-3</v>
      </c>
      <c r="BI84" s="3">
        <v>0</v>
      </c>
      <c r="BJ84" s="3">
        <v>0.310747</v>
      </c>
      <c r="BK84" s="3">
        <v>2.0261999999999999E-2</v>
      </c>
      <c r="BL84" s="3">
        <v>-2.0261999999999999E-2</v>
      </c>
      <c r="BM84" s="3">
        <v>0</v>
      </c>
      <c r="BS84" s="3">
        <v>4.8942300000000003</v>
      </c>
      <c r="BT84" s="3">
        <v>2.1779999999999998E-3</v>
      </c>
      <c r="BU84" s="3">
        <v>-2.1779999999999998E-3</v>
      </c>
      <c r="BV84" s="3">
        <v>0</v>
      </c>
      <c r="BW84" t="s">
        <v>7936</v>
      </c>
      <c r="BX84" t="s">
        <v>8105</v>
      </c>
      <c r="BY84" s="3">
        <v>229.8564725</v>
      </c>
      <c r="BZ84" t="s">
        <v>8106</v>
      </c>
      <c r="CA84" s="3">
        <v>-7.7226935000000001</v>
      </c>
      <c r="CB84" s="3">
        <v>6.2980999999999998</v>
      </c>
      <c r="CC84" s="3">
        <v>2.0950000000000001E-3</v>
      </c>
      <c r="CD84" s="3">
        <v>-2.0950000000000001E-3</v>
      </c>
      <c r="CE84" s="3">
        <v>10.57</v>
      </c>
      <c r="CF84" s="3">
        <v>0.1</v>
      </c>
      <c r="CG84" s="3">
        <v>-0.1</v>
      </c>
      <c r="CH84" s="3">
        <v>5.8369999999999997</v>
      </c>
      <c r="CI84" s="3">
        <v>2.3E-2</v>
      </c>
      <c r="CJ84" s="3">
        <v>-2.3E-2</v>
      </c>
      <c r="CK84" s="3">
        <v>9.4109999999999996</v>
      </c>
      <c r="CL84" s="3">
        <v>1.1969999999999999E-3</v>
      </c>
      <c r="CM84" s="3">
        <v>-1.1969999999999999E-3</v>
      </c>
      <c r="CN84" t="s">
        <v>8122</v>
      </c>
      <c r="CO84" t="s">
        <v>8123</v>
      </c>
      <c r="CP84" t="s">
        <v>8124</v>
      </c>
    </row>
    <row r="85" spans="1:94" x14ac:dyDescent="0.45">
      <c r="A85" t="s">
        <v>689</v>
      </c>
      <c r="B85">
        <v>0</v>
      </c>
      <c r="C85" t="s">
        <v>1532</v>
      </c>
      <c r="D85" t="s">
        <v>690</v>
      </c>
      <c r="E85" s="3">
        <v>0</v>
      </c>
      <c r="F85" s="3">
        <v>1</v>
      </c>
      <c r="G85" s="3">
        <v>3</v>
      </c>
      <c r="H85" t="s">
        <v>1427</v>
      </c>
      <c r="I85" s="3">
        <v>2007</v>
      </c>
      <c r="J85" t="s">
        <v>7966</v>
      </c>
      <c r="K85" t="s">
        <v>1429</v>
      </c>
      <c r="L85" s="3">
        <v>0</v>
      </c>
      <c r="M85" t="s">
        <v>8108</v>
      </c>
      <c r="N85" s="3">
        <v>12.914</v>
      </c>
      <c r="O85" s="3">
        <v>2E-3</v>
      </c>
      <c r="P85" s="3">
        <v>-2E-3</v>
      </c>
      <c r="Q85" s="3">
        <v>0</v>
      </c>
      <c r="R85" s="3">
        <v>7.2099999999999997E-2</v>
      </c>
      <c r="S85" s="3">
        <v>2.9999999999999997E-4</v>
      </c>
      <c r="T85" s="3">
        <v>-2.9999999999999997E-4</v>
      </c>
      <c r="U85" s="3">
        <v>0</v>
      </c>
      <c r="AD85" s="3">
        <v>5.5</v>
      </c>
      <c r="AE85" s="3">
        <v>0.3</v>
      </c>
      <c r="AF85" s="3">
        <v>-0.3</v>
      </c>
      <c r="AG85" s="3">
        <v>0</v>
      </c>
      <c r="AH85" s="3">
        <v>1.7299999999999999E-2</v>
      </c>
      <c r="AI85" s="3">
        <v>8.9999999999999998E-4</v>
      </c>
      <c r="AJ85" s="3">
        <v>-8.9999999999999998E-4</v>
      </c>
      <c r="AK85" s="3">
        <v>0</v>
      </c>
      <c r="AL85" t="s">
        <v>1426</v>
      </c>
      <c r="AM85" s="3">
        <v>0</v>
      </c>
      <c r="AN85" s="3">
        <v>0.06</v>
      </c>
      <c r="AO85" s="3">
        <v>-0.06</v>
      </c>
      <c r="AP85" s="3">
        <v>0</v>
      </c>
      <c r="AY85" s="3">
        <v>0</v>
      </c>
      <c r="AZ85" t="s">
        <v>7936</v>
      </c>
      <c r="BB85" s="3">
        <v>3396</v>
      </c>
      <c r="BC85" s="3">
        <v>157</v>
      </c>
      <c r="BD85" s="3">
        <v>-157</v>
      </c>
      <c r="BE85" s="3">
        <v>0</v>
      </c>
      <c r="BF85" s="3">
        <v>0.329702</v>
      </c>
      <c r="BG85" s="3">
        <v>9.9340000000000001E-3</v>
      </c>
      <c r="BH85" s="3">
        <v>-9.9340000000000001E-3</v>
      </c>
      <c r="BI85" s="3">
        <v>0</v>
      </c>
      <c r="BJ85" s="3">
        <v>0.310747</v>
      </c>
      <c r="BK85" s="3">
        <v>2.0261999999999999E-2</v>
      </c>
      <c r="BL85" s="3">
        <v>-2.0261999999999999E-2</v>
      </c>
      <c r="BM85" s="3">
        <v>0</v>
      </c>
      <c r="BS85" s="3">
        <v>4.8942300000000003</v>
      </c>
      <c r="BT85" s="3">
        <v>2.1779999999999998E-3</v>
      </c>
      <c r="BU85" s="3">
        <v>-2.1779999999999998E-3</v>
      </c>
      <c r="BV85" s="3">
        <v>0</v>
      </c>
      <c r="BW85" t="s">
        <v>7936</v>
      </c>
      <c r="BX85" t="s">
        <v>8105</v>
      </c>
      <c r="BY85" s="3">
        <v>229.8564725</v>
      </c>
      <c r="BZ85" t="s">
        <v>8106</v>
      </c>
      <c r="CA85" s="3">
        <v>-7.7226935000000001</v>
      </c>
      <c r="CB85" s="3">
        <v>6.2980999999999998</v>
      </c>
      <c r="CC85" s="3">
        <v>2.0950000000000001E-3</v>
      </c>
      <c r="CD85" s="3">
        <v>-2.0950000000000001E-3</v>
      </c>
      <c r="CE85" s="3">
        <v>10.57</v>
      </c>
      <c r="CF85" s="3">
        <v>0.1</v>
      </c>
      <c r="CG85" s="3">
        <v>-0.1</v>
      </c>
      <c r="CH85" s="3">
        <v>5.8369999999999997</v>
      </c>
      <c r="CI85" s="3">
        <v>2.3E-2</v>
      </c>
      <c r="CJ85" s="3">
        <v>-2.3E-2</v>
      </c>
      <c r="CK85" s="3">
        <v>9.4109999999999996</v>
      </c>
      <c r="CL85" s="3">
        <v>1.1969999999999999E-3</v>
      </c>
      <c r="CM85" s="3">
        <v>-1.1969999999999999E-3</v>
      </c>
      <c r="CN85" t="s">
        <v>8109</v>
      </c>
      <c r="CO85" t="s">
        <v>8110</v>
      </c>
      <c r="CP85" t="s">
        <v>8109</v>
      </c>
    </row>
    <row r="86" spans="1:94" x14ac:dyDescent="0.45">
      <c r="A86" t="s">
        <v>689</v>
      </c>
      <c r="B86">
        <v>0</v>
      </c>
      <c r="C86" t="s">
        <v>1532</v>
      </c>
      <c r="D86" t="s">
        <v>690</v>
      </c>
      <c r="E86" s="3">
        <v>0</v>
      </c>
      <c r="F86" s="3">
        <v>1</v>
      </c>
      <c r="G86" s="3">
        <v>3</v>
      </c>
      <c r="H86" t="s">
        <v>1427</v>
      </c>
      <c r="I86" s="3">
        <v>2007</v>
      </c>
      <c r="J86" t="s">
        <v>7966</v>
      </c>
      <c r="K86" t="s">
        <v>1429</v>
      </c>
      <c r="L86" s="3">
        <v>0</v>
      </c>
      <c r="M86" t="s">
        <v>8117</v>
      </c>
      <c r="N86" s="3">
        <v>12.9191</v>
      </c>
      <c r="O86" s="3">
        <v>5.7999999999999996E-3</v>
      </c>
      <c r="P86" s="3">
        <v>-5.7999999999999996E-3</v>
      </c>
      <c r="Q86" s="3">
        <v>0</v>
      </c>
      <c r="R86" s="3">
        <v>7.2993000000000002E-2</v>
      </c>
      <c r="S86" s="3">
        <v>2.1999999999999999E-5</v>
      </c>
      <c r="T86" s="3">
        <v>-2.1999999999999999E-5</v>
      </c>
      <c r="U86" s="3">
        <v>0</v>
      </c>
      <c r="AD86" s="3">
        <v>5.6</v>
      </c>
      <c r="AE86" s="3">
        <v>0.3</v>
      </c>
      <c r="AF86" s="3">
        <v>-0.3</v>
      </c>
      <c r="AG86" s="3">
        <v>0</v>
      </c>
      <c r="AH86" s="3">
        <v>1.761948E-2</v>
      </c>
      <c r="AI86" s="3">
        <v>9.4390000000000001E-4</v>
      </c>
      <c r="AJ86" s="3">
        <v>-9.4390000000000001E-4</v>
      </c>
      <c r="AK86" s="3">
        <v>0</v>
      </c>
      <c r="AL86" t="s">
        <v>1426</v>
      </c>
      <c r="AM86" s="3">
        <v>0</v>
      </c>
      <c r="AP86" s="3">
        <v>0</v>
      </c>
      <c r="AY86" s="3">
        <v>0</v>
      </c>
      <c r="AZ86" t="s">
        <v>8117</v>
      </c>
      <c r="BA86" t="s">
        <v>8112</v>
      </c>
      <c r="BF86" s="3">
        <v>0.28999999999999998</v>
      </c>
      <c r="BI86" s="3">
        <v>0</v>
      </c>
      <c r="BJ86" s="3">
        <v>0.31</v>
      </c>
      <c r="BK86" s="3">
        <v>0.02</v>
      </c>
      <c r="BL86" s="3">
        <v>-0.02</v>
      </c>
      <c r="BM86" s="3">
        <v>0</v>
      </c>
      <c r="BW86" t="s">
        <v>7936</v>
      </c>
      <c r="BX86" t="s">
        <v>8105</v>
      </c>
      <c r="BY86" s="3">
        <v>229.8564725</v>
      </c>
      <c r="BZ86" t="s">
        <v>8106</v>
      </c>
      <c r="CA86" s="3">
        <v>-7.7226935000000001</v>
      </c>
      <c r="CB86" s="3">
        <v>6.2980999999999998</v>
      </c>
      <c r="CC86" s="3">
        <v>2.0950000000000001E-3</v>
      </c>
      <c r="CD86" s="3">
        <v>-2.0950000000000001E-3</v>
      </c>
      <c r="CE86" s="3">
        <v>10.57</v>
      </c>
      <c r="CF86" s="3">
        <v>0.1</v>
      </c>
      <c r="CG86" s="3">
        <v>-0.1</v>
      </c>
      <c r="CH86" s="3">
        <v>5.8369999999999997</v>
      </c>
      <c r="CI86" s="3">
        <v>2.3E-2</v>
      </c>
      <c r="CJ86" s="3">
        <v>-2.3E-2</v>
      </c>
      <c r="CK86" s="3">
        <v>9.4109999999999996</v>
      </c>
      <c r="CL86" s="3">
        <v>1.1969999999999999E-3</v>
      </c>
      <c r="CM86" s="3">
        <v>-1.1969999999999999E-3</v>
      </c>
      <c r="CN86" t="s">
        <v>8118</v>
      </c>
      <c r="CO86" t="s">
        <v>8119</v>
      </c>
      <c r="CP86" t="s">
        <v>8120</v>
      </c>
    </row>
    <row r="87" spans="1:94" x14ac:dyDescent="0.45">
      <c r="A87" t="s">
        <v>689</v>
      </c>
      <c r="B87">
        <v>0</v>
      </c>
      <c r="C87" t="s">
        <v>1533</v>
      </c>
      <c r="D87" t="s">
        <v>690</v>
      </c>
      <c r="E87" s="3">
        <v>0</v>
      </c>
      <c r="F87" s="3">
        <v>1</v>
      </c>
      <c r="G87" s="3">
        <v>3</v>
      </c>
      <c r="H87" t="s">
        <v>1427</v>
      </c>
      <c r="I87" s="3">
        <v>2009</v>
      </c>
      <c r="J87" t="s">
        <v>7966</v>
      </c>
      <c r="K87" t="s">
        <v>1429</v>
      </c>
      <c r="L87" s="3">
        <v>0</v>
      </c>
      <c r="M87" t="s">
        <v>8117</v>
      </c>
      <c r="N87" s="3">
        <v>3.1486700000000001</v>
      </c>
      <c r="O87" s="3">
        <v>3.8999999999999999E-4</v>
      </c>
      <c r="P87" s="3">
        <v>-3.8999999999999999E-4</v>
      </c>
      <c r="Q87" s="3">
        <v>0</v>
      </c>
      <c r="R87" s="3">
        <v>2.8453300000000001E-2</v>
      </c>
      <c r="S87" s="3">
        <v>2.3E-6</v>
      </c>
      <c r="T87" s="3">
        <v>-2.3E-6</v>
      </c>
      <c r="U87" s="3">
        <v>0</v>
      </c>
      <c r="AD87" s="3">
        <v>1.7</v>
      </c>
      <c r="AE87" s="3">
        <v>0.2</v>
      </c>
      <c r="AF87" s="3">
        <v>-0.2</v>
      </c>
      <c r="AG87" s="3">
        <v>0</v>
      </c>
      <c r="AH87" s="3">
        <v>5.3487700000000001E-3</v>
      </c>
      <c r="AI87" s="3">
        <v>6.2927000000000002E-4</v>
      </c>
      <c r="AJ87" s="3">
        <v>-6.2927000000000002E-4</v>
      </c>
      <c r="AK87" s="3">
        <v>0</v>
      </c>
      <c r="AL87" t="s">
        <v>1426</v>
      </c>
      <c r="AM87" s="3">
        <v>0</v>
      </c>
      <c r="AP87" s="3">
        <v>0</v>
      </c>
      <c r="AY87" s="3">
        <v>0</v>
      </c>
      <c r="AZ87" t="s">
        <v>8117</v>
      </c>
      <c r="BA87" t="s">
        <v>8112</v>
      </c>
      <c r="BF87" s="3">
        <v>0.28999999999999998</v>
      </c>
      <c r="BI87" s="3">
        <v>0</v>
      </c>
      <c r="BJ87" s="3">
        <v>0.31</v>
      </c>
      <c r="BK87" s="3">
        <v>0.02</v>
      </c>
      <c r="BL87" s="3">
        <v>-0.02</v>
      </c>
      <c r="BM87" s="3">
        <v>0</v>
      </c>
      <c r="BW87" t="s">
        <v>7936</v>
      </c>
      <c r="BX87" t="s">
        <v>8105</v>
      </c>
      <c r="BY87" s="3">
        <v>229.8564725</v>
      </c>
      <c r="BZ87" t="s">
        <v>8106</v>
      </c>
      <c r="CA87" s="3">
        <v>-7.7226935000000001</v>
      </c>
      <c r="CB87" s="3">
        <v>6.2980999999999998</v>
      </c>
      <c r="CC87" s="3">
        <v>2.0950000000000001E-3</v>
      </c>
      <c r="CD87" s="3">
        <v>-2.0950000000000001E-3</v>
      </c>
      <c r="CE87" s="3">
        <v>10.57</v>
      </c>
      <c r="CF87" s="3">
        <v>0.1</v>
      </c>
      <c r="CG87" s="3">
        <v>-0.1</v>
      </c>
      <c r="CH87" s="3">
        <v>5.8369999999999997</v>
      </c>
      <c r="CI87" s="3">
        <v>2.3E-2</v>
      </c>
      <c r="CJ87" s="3">
        <v>-2.3E-2</v>
      </c>
      <c r="CK87" s="3">
        <v>9.4109999999999996</v>
      </c>
      <c r="CL87" s="3">
        <v>1.1969999999999999E-3</v>
      </c>
      <c r="CM87" s="3">
        <v>-1.1969999999999999E-3</v>
      </c>
      <c r="CN87" t="s">
        <v>8118</v>
      </c>
      <c r="CO87" t="s">
        <v>8119</v>
      </c>
      <c r="CP87" t="s">
        <v>8120</v>
      </c>
    </row>
    <row r="88" spans="1:94" x14ac:dyDescent="0.45">
      <c r="A88" t="s">
        <v>689</v>
      </c>
      <c r="B88">
        <v>1</v>
      </c>
      <c r="C88" t="s">
        <v>1533</v>
      </c>
      <c r="D88" t="s">
        <v>690</v>
      </c>
      <c r="E88" s="3">
        <v>1</v>
      </c>
      <c r="F88" s="3">
        <v>1</v>
      </c>
      <c r="G88" s="3">
        <v>3</v>
      </c>
      <c r="H88" t="s">
        <v>1427</v>
      </c>
      <c r="I88" s="3">
        <v>2009</v>
      </c>
      <c r="J88" t="s">
        <v>7966</v>
      </c>
      <c r="K88" t="s">
        <v>1429</v>
      </c>
      <c r="L88" s="3">
        <v>0</v>
      </c>
      <c r="M88" t="s">
        <v>8116</v>
      </c>
      <c r="N88" s="3">
        <v>3.1480999999999999</v>
      </c>
      <c r="O88" s="3">
        <v>4.0000000000000002E-4</v>
      </c>
      <c r="P88" s="3">
        <v>-4.0000000000000002E-4</v>
      </c>
      <c r="Q88" s="3">
        <v>0</v>
      </c>
      <c r="R88" s="3">
        <v>2.7990000000000001E-2</v>
      </c>
      <c r="S88" s="3">
        <v>2.9999999999999997E-4</v>
      </c>
      <c r="T88" s="3">
        <v>-2.9999999999999997E-4</v>
      </c>
      <c r="U88" s="3">
        <v>0</v>
      </c>
      <c r="AD88" s="3">
        <v>2.48</v>
      </c>
      <c r="AE88" s="3">
        <v>0.7</v>
      </c>
      <c r="AF88" s="3">
        <v>-0.42</v>
      </c>
      <c r="AG88" s="3">
        <v>0</v>
      </c>
      <c r="AH88" s="3">
        <v>7.8029500000000003E-3</v>
      </c>
      <c r="AI88" s="3">
        <v>2.2024499999999999E-3</v>
      </c>
      <c r="AJ88" s="3">
        <v>-1.3214699999999999E-3</v>
      </c>
      <c r="AK88" s="3">
        <v>0</v>
      </c>
      <c r="AL88" t="s">
        <v>1453</v>
      </c>
      <c r="AM88" s="3">
        <v>1.2E-2</v>
      </c>
      <c r="AN88" s="3">
        <v>1.4999999999999999E-2</v>
      </c>
      <c r="AO88" s="3">
        <v>-8.0000000000000002E-3</v>
      </c>
      <c r="AP88" s="3">
        <v>0</v>
      </c>
      <c r="AY88" s="3">
        <v>0</v>
      </c>
      <c r="AZ88" t="s">
        <v>8116</v>
      </c>
      <c r="BA88" t="s">
        <v>8012</v>
      </c>
      <c r="BB88" s="3">
        <v>3500</v>
      </c>
      <c r="BC88" s="3">
        <v>26</v>
      </c>
      <c r="BD88" s="3">
        <v>-26</v>
      </c>
      <c r="BE88" s="3">
        <v>0</v>
      </c>
      <c r="BF88" s="3">
        <v>0.30199999999999999</v>
      </c>
      <c r="BG88" s="3">
        <v>5.0000000000000001E-3</v>
      </c>
      <c r="BH88" s="3">
        <v>-5.0000000000000001E-3</v>
      </c>
      <c r="BI88" s="3">
        <v>0</v>
      </c>
      <c r="BJ88" s="3">
        <v>0.29499999999999998</v>
      </c>
      <c r="BK88" s="3">
        <v>0.01</v>
      </c>
      <c r="BL88" s="3">
        <v>-0.01</v>
      </c>
      <c r="BM88" s="3">
        <v>0</v>
      </c>
      <c r="BN88" s="3">
        <v>-0.08</v>
      </c>
      <c r="BO88" s="3">
        <v>7.0000000000000007E-2</v>
      </c>
      <c r="BP88" s="3">
        <v>-7.0000000000000007E-2</v>
      </c>
      <c r="BQ88" s="3">
        <v>0</v>
      </c>
      <c r="BR88" t="s">
        <v>7935</v>
      </c>
      <c r="BS88" s="3">
        <v>4.97</v>
      </c>
      <c r="BT88" s="3">
        <v>0.11</v>
      </c>
      <c r="BU88" s="3">
        <v>-0.11</v>
      </c>
      <c r="BV88" s="3">
        <v>0</v>
      </c>
      <c r="BW88" t="s">
        <v>7936</v>
      </c>
      <c r="BX88" t="s">
        <v>8105</v>
      </c>
      <c r="BY88" s="3">
        <v>229.8564725</v>
      </c>
      <c r="BZ88" t="s">
        <v>8106</v>
      </c>
      <c r="CA88" s="3">
        <v>-7.7226935000000001</v>
      </c>
      <c r="CB88" s="3">
        <v>6.2980999999999998</v>
      </c>
      <c r="CC88" s="3">
        <v>2.0950000000000001E-3</v>
      </c>
      <c r="CD88" s="3">
        <v>-2.0950000000000001E-3</v>
      </c>
      <c r="CE88" s="3">
        <v>10.57</v>
      </c>
      <c r="CF88" s="3">
        <v>0.1</v>
      </c>
      <c r="CG88" s="3">
        <v>-0.1</v>
      </c>
      <c r="CH88" s="3">
        <v>5.8369999999999997</v>
      </c>
      <c r="CI88" s="3">
        <v>2.3E-2</v>
      </c>
      <c r="CJ88" s="3">
        <v>-2.3E-2</v>
      </c>
      <c r="CK88" s="3">
        <v>9.4109999999999996</v>
      </c>
      <c r="CL88" s="3">
        <v>1.1969999999999999E-3</v>
      </c>
      <c r="CM88" s="3">
        <v>-1.1969999999999999E-3</v>
      </c>
      <c r="CN88" t="s">
        <v>1531</v>
      </c>
      <c r="CO88" t="s">
        <v>7986</v>
      </c>
      <c r="CP88" t="s">
        <v>1531</v>
      </c>
    </row>
    <row r="89" spans="1:94" x14ac:dyDescent="0.45">
      <c r="A89" t="s">
        <v>689</v>
      </c>
      <c r="B89">
        <v>0</v>
      </c>
      <c r="C89" t="s">
        <v>1533</v>
      </c>
      <c r="D89" t="s">
        <v>690</v>
      </c>
      <c r="E89" s="3">
        <v>0</v>
      </c>
      <c r="F89" s="3">
        <v>1</v>
      </c>
      <c r="G89" s="3">
        <v>3</v>
      </c>
      <c r="H89" t="s">
        <v>1427</v>
      </c>
      <c r="I89" s="3">
        <v>2009</v>
      </c>
      <c r="J89" t="s">
        <v>7966</v>
      </c>
      <c r="K89" t="s">
        <v>1429</v>
      </c>
      <c r="L89" s="3">
        <v>0</v>
      </c>
      <c r="M89" t="s">
        <v>8121</v>
      </c>
      <c r="N89" s="3">
        <v>3.153</v>
      </c>
      <c r="O89" s="3">
        <v>1E-3</v>
      </c>
      <c r="P89" s="3">
        <v>-6.0000000000000001E-3</v>
      </c>
      <c r="Q89" s="3">
        <v>0</v>
      </c>
      <c r="R89" s="3">
        <v>2.9000000000000001E-2</v>
      </c>
      <c r="S89" s="3">
        <v>1E-3</v>
      </c>
      <c r="T89" s="3">
        <v>-1E-3</v>
      </c>
      <c r="U89" s="3">
        <v>0</v>
      </c>
      <c r="AD89" s="3">
        <v>1.657</v>
      </c>
      <c r="AE89" s="3">
        <v>0.24</v>
      </c>
      <c r="AF89" s="3">
        <v>-0.161</v>
      </c>
      <c r="AG89" s="3">
        <v>0</v>
      </c>
      <c r="AH89" s="3">
        <v>5.2134800000000004E-3</v>
      </c>
      <c r="AI89" s="3">
        <v>7.5511999999999997E-4</v>
      </c>
      <c r="AJ89" s="3">
        <v>-5.0655999999999997E-4</v>
      </c>
      <c r="AK89" s="3">
        <v>0</v>
      </c>
      <c r="AL89" t="s">
        <v>1426</v>
      </c>
      <c r="AM89" s="3">
        <v>0.125</v>
      </c>
      <c r="AN89" s="3">
        <v>7.8E-2</v>
      </c>
      <c r="AO89" s="3">
        <v>-1.4999999999999999E-2</v>
      </c>
      <c r="AP89" s="3">
        <v>0</v>
      </c>
      <c r="AY89" s="3">
        <v>0</v>
      </c>
      <c r="AZ89" t="s">
        <v>7936</v>
      </c>
      <c r="BB89" s="3">
        <v>3396</v>
      </c>
      <c r="BC89" s="3">
        <v>157</v>
      </c>
      <c r="BD89" s="3">
        <v>-157</v>
      </c>
      <c r="BE89" s="3">
        <v>0</v>
      </c>
      <c r="BF89" s="3">
        <v>0.329702</v>
      </c>
      <c r="BG89" s="3">
        <v>9.9340000000000001E-3</v>
      </c>
      <c r="BH89" s="3">
        <v>-9.9340000000000001E-3</v>
      </c>
      <c r="BI89" s="3">
        <v>0</v>
      </c>
      <c r="BJ89" s="3">
        <v>0.310747</v>
      </c>
      <c r="BK89" s="3">
        <v>2.0261999999999999E-2</v>
      </c>
      <c r="BL89" s="3">
        <v>-2.0261999999999999E-2</v>
      </c>
      <c r="BM89" s="3">
        <v>0</v>
      </c>
      <c r="BS89" s="3">
        <v>4.8942300000000003</v>
      </c>
      <c r="BT89" s="3">
        <v>2.1779999999999998E-3</v>
      </c>
      <c r="BU89" s="3">
        <v>-2.1779999999999998E-3</v>
      </c>
      <c r="BV89" s="3">
        <v>0</v>
      </c>
      <c r="BW89" t="s">
        <v>7936</v>
      </c>
      <c r="BX89" t="s">
        <v>8105</v>
      </c>
      <c r="BY89" s="3">
        <v>229.8564725</v>
      </c>
      <c r="BZ89" t="s">
        <v>8106</v>
      </c>
      <c r="CA89" s="3">
        <v>-7.7226935000000001</v>
      </c>
      <c r="CB89" s="3">
        <v>6.2980999999999998</v>
      </c>
      <c r="CC89" s="3">
        <v>2.0950000000000001E-3</v>
      </c>
      <c r="CD89" s="3">
        <v>-2.0950000000000001E-3</v>
      </c>
      <c r="CE89" s="3">
        <v>10.57</v>
      </c>
      <c r="CF89" s="3">
        <v>0.1</v>
      </c>
      <c r="CG89" s="3">
        <v>-0.1</v>
      </c>
      <c r="CH89" s="3">
        <v>5.8369999999999997</v>
      </c>
      <c r="CI89" s="3">
        <v>2.3E-2</v>
      </c>
      <c r="CJ89" s="3">
        <v>-2.3E-2</v>
      </c>
      <c r="CK89" s="3">
        <v>9.4109999999999996</v>
      </c>
      <c r="CL89" s="3">
        <v>1.1969999999999999E-3</v>
      </c>
      <c r="CM89" s="3">
        <v>-1.1969999999999999E-3</v>
      </c>
      <c r="CN89" t="s">
        <v>8122</v>
      </c>
      <c r="CO89" t="s">
        <v>8123</v>
      </c>
      <c r="CP89" t="s">
        <v>8124</v>
      </c>
    </row>
    <row r="90" spans="1:94" x14ac:dyDescent="0.45">
      <c r="A90" t="s">
        <v>689</v>
      </c>
      <c r="B90">
        <v>0</v>
      </c>
      <c r="C90" t="s">
        <v>1533</v>
      </c>
      <c r="D90" t="s">
        <v>690</v>
      </c>
      <c r="E90" s="3">
        <v>0</v>
      </c>
      <c r="F90" s="3">
        <v>1</v>
      </c>
      <c r="G90" s="3">
        <v>3</v>
      </c>
      <c r="H90" t="s">
        <v>1427</v>
      </c>
      <c r="I90" s="3">
        <v>2009</v>
      </c>
      <c r="J90" t="s">
        <v>7966</v>
      </c>
      <c r="K90" t="s">
        <v>1429</v>
      </c>
      <c r="L90" s="3">
        <v>0</v>
      </c>
      <c r="M90" t="s">
        <v>8104</v>
      </c>
      <c r="N90" s="3">
        <v>3.1494200000000001</v>
      </c>
      <c r="O90" s="3">
        <v>4.4999999999999999E-4</v>
      </c>
      <c r="P90" s="3">
        <v>-4.4999999999999999E-4</v>
      </c>
      <c r="Q90" s="3">
        <v>0</v>
      </c>
      <c r="R90" s="3">
        <v>0.03</v>
      </c>
      <c r="U90" s="3">
        <v>0</v>
      </c>
      <c r="AD90" s="3">
        <v>1.94</v>
      </c>
      <c r="AG90" s="3">
        <v>0</v>
      </c>
      <c r="AH90" s="3">
        <v>6.0000000000000001E-3</v>
      </c>
      <c r="AK90" s="3">
        <v>0</v>
      </c>
      <c r="AL90" t="s">
        <v>1426</v>
      </c>
      <c r="AM90" s="3">
        <v>0</v>
      </c>
      <c r="AP90" s="3">
        <v>0</v>
      </c>
      <c r="AY90" s="3">
        <v>0</v>
      </c>
      <c r="AZ90" t="s">
        <v>8104</v>
      </c>
      <c r="BW90" t="s">
        <v>7936</v>
      </c>
      <c r="BX90" t="s">
        <v>8105</v>
      </c>
      <c r="BY90" s="3">
        <v>229.8564725</v>
      </c>
      <c r="BZ90" t="s">
        <v>8106</v>
      </c>
      <c r="CA90" s="3">
        <v>-7.7226935000000001</v>
      </c>
      <c r="CB90" s="3">
        <v>6.2980999999999998</v>
      </c>
      <c r="CC90" s="3">
        <v>2.0950000000000001E-3</v>
      </c>
      <c r="CD90" s="3">
        <v>-2.0950000000000001E-3</v>
      </c>
      <c r="CE90" s="3">
        <v>10.57</v>
      </c>
      <c r="CF90" s="3">
        <v>0.1</v>
      </c>
      <c r="CG90" s="3">
        <v>-0.1</v>
      </c>
      <c r="CH90" s="3">
        <v>5.8369999999999997</v>
      </c>
      <c r="CI90" s="3">
        <v>2.3E-2</v>
      </c>
      <c r="CJ90" s="3">
        <v>-2.3E-2</v>
      </c>
      <c r="CK90" s="3">
        <v>9.4109999999999996</v>
      </c>
      <c r="CL90" s="3">
        <v>1.1969999999999999E-3</v>
      </c>
      <c r="CM90" s="3">
        <v>-1.1969999999999999E-3</v>
      </c>
      <c r="CN90" t="s">
        <v>1433</v>
      </c>
      <c r="CO90" t="s">
        <v>8107</v>
      </c>
      <c r="CP90" t="s">
        <v>1433</v>
      </c>
    </row>
    <row r="91" spans="1:94" x14ac:dyDescent="0.45">
      <c r="A91" t="s">
        <v>689</v>
      </c>
      <c r="B91">
        <v>0</v>
      </c>
      <c r="C91" t="s">
        <v>1533</v>
      </c>
      <c r="D91" t="s">
        <v>690</v>
      </c>
      <c r="E91" s="3">
        <v>0</v>
      </c>
      <c r="F91" s="3">
        <v>1</v>
      </c>
      <c r="G91" s="3">
        <v>3</v>
      </c>
      <c r="H91" t="s">
        <v>1427</v>
      </c>
      <c r="I91" s="3">
        <v>2009</v>
      </c>
      <c r="J91" t="s">
        <v>7966</v>
      </c>
      <c r="K91" t="s">
        <v>1429</v>
      </c>
      <c r="L91" s="3">
        <v>0</v>
      </c>
      <c r="M91" t="s">
        <v>8108</v>
      </c>
      <c r="N91" s="3">
        <v>3.149</v>
      </c>
      <c r="O91" s="3">
        <v>2.0000000000000001E-4</v>
      </c>
      <c r="P91" s="3">
        <v>-2.0000000000000001E-4</v>
      </c>
      <c r="Q91" s="3">
        <v>0</v>
      </c>
      <c r="R91" s="3">
        <v>2.8150000000000001E-2</v>
      </c>
      <c r="S91" s="3">
        <v>6.0000000000000002E-5</v>
      </c>
      <c r="T91" s="3">
        <v>-6.0000000000000002E-5</v>
      </c>
      <c r="U91" s="3">
        <v>0</v>
      </c>
      <c r="AD91" s="3">
        <v>1.7</v>
      </c>
      <c r="AE91" s="3">
        <v>0.2</v>
      </c>
      <c r="AF91" s="3">
        <v>-0.2</v>
      </c>
      <c r="AG91" s="3">
        <v>0</v>
      </c>
      <c r="AH91" s="3">
        <v>5.3E-3</v>
      </c>
      <c r="AI91" s="3">
        <v>5.9999999999999995E-4</v>
      </c>
      <c r="AJ91" s="3">
        <v>-5.9999999999999995E-4</v>
      </c>
      <c r="AK91" s="3">
        <v>0</v>
      </c>
      <c r="AL91" t="s">
        <v>1426</v>
      </c>
      <c r="AM91" s="3">
        <v>0</v>
      </c>
      <c r="AN91" s="3">
        <v>0.06</v>
      </c>
      <c r="AO91" s="3">
        <v>-0.06</v>
      </c>
      <c r="AP91" s="3">
        <v>0</v>
      </c>
      <c r="AY91" s="3">
        <v>0</v>
      </c>
      <c r="AZ91" t="s">
        <v>7936</v>
      </c>
      <c r="BB91" s="3">
        <v>3396</v>
      </c>
      <c r="BC91" s="3">
        <v>157</v>
      </c>
      <c r="BD91" s="3">
        <v>-157</v>
      </c>
      <c r="BE91" s="3">
        <v>0</v>
      </c>
      <c r="BF91" s="3">
        <v>0.329702</v>
      </c>
      <c r="BG91" s="3">
        <v>9.9340000000000001E-3</v>
      </c>
      <c r="BH91" s="3">
        <v>-9.9340000000000001E-3</v>
      </c>
      <c r="BI91" s="3">
        <v>0</v>
      </c>
      <c r="BJ91" s="3">
        <v>0.310747</v>
      </c>
      <c r="BK91" s="3">
        <v>2.0261999999999999E-2</v>
      </c>
      <c r="BL91" s="3">
        <v>-2.0261999999999999E-2</v>
      </c>
      <c r="BM91" s="3">
        <v>0</v>
      </c>
      <c r="BS91" s="3">
        <v>4.8942300000000003</v>
      </c>
      <c r="BT91" s="3">
        <v>2.1779999999999998E-3</v>
      </c>
      <c r="BU91" s="3">
        <v>-2.1779999999999998E-3</v>
      </c>
      <c r="BV91" s="3">
        <v>0</v>
      </c>
      <c r="BW91" t="s">
        <v>7936</v>
      </c>
      <c r="BX91" t="s">
        <v>8105</v>
      </c>
      <c r="BY91" s="3">
        <v>229.8564725</v>
      </c>
      <c r="BZ91" t="s">
        <v>8106</v>
      </c>
      <c r="CA91" s="3">
        <v>-7.7226935000000001</v>
      </c>
      <c r="CB91" s="3">
        <v>6.2980999999999998</v>
      </c>
      <c r="CC91" s="3">
        <v>2.0950000000000001E-3</v>
      </c>
      <c r="CD91" s="3">
        <v>-2.0950000000000001E-3</v>
      </c>
      <c r="CE91" s="3">
        <v>10.57</v>
      </c>
      <c r="CF91" s="3">
        <v>0.1</v>
      </c>
      <c r="CG91" s="3">
        <v>-0.1</v>
      </c>
      <c r="CH91" s="3">
        <v>5.8369999999999997</v>
      </c>
      <c r="CI91" s="3">
        <v>2.3E-2</v>
      </c>
      <c r="CJ91" s="3">
        <v>-2.3E-2</v>
      </c>
      <c r="CK91" s="3">
        <v>9.4109999999999996</v>
      </c>
      <c r="CL91" s="3">
        <v>1.1969999999999999E-3</v>
      </c>
      <c r="CM91" s="3">
        <v>-1.1969999999999999E-3</v>
      </c>
      <c r="CN91" t="s">
        <v>8109</v>
      </c>
      <c r="CO91" t="s">
        <v>8110</v>
      </c>
      <c r="CP91" t="s">
        <v>8109</v>
      </c>
    </row>
    <row r="92" spans="1:94" x14ac:dyDescent="0.45">
      <c r="A92" t="s">
        <v>717</v>
      </c>
      <c r="B92">
        <v>1</v>
      </c>
      <c r="C92" t="s">
        <v>716</v>
      </c>
      <c r="D92" t="s">
        <v>718</v>
      </c>
      <c r="E92" s="3">
        <v>1</v>
      </c>
      <c r="F92" s="3">
        <v>1</v>
      </c>
      <c r="G92" s="3">
        <v>1</v>
      </c>
      <c r="H92" t="s">
        <v>1427</v>
      </c>
      <c r="I92" s="3">
        <v>2017</v>
      </c>
      <c r="J92" t="s">
        <v>7932</v>
      </c>
      <c r="K92" t="s">
        <v>1429</v>
      </c>
      <c r="L92" s="3">
        <v>0</v>
      </c>
      <c r="M92" t="s">
        <v>8125</v>
      </c>
      <c r="N92" s="3">
        <v>14.628</v>
      </c>
      <c r="O92" s="3">
        <v>1.2E-2</v>
      </c>
      <c r="P92" s="3">
        <v>-1.2999999999999999E-2</v>
      </c>
      <c r="Q92" s="3">
        <v>0</v>
      </c>
      <c r="R92" s="3">
        <v>7.8361E-2</v>
      </c>
      <c r="S92" s="3">
        <v>4.3999999999999999E-5</v>
      </c>
      <c r="T92" s="3">
        <v>-4.6E-5</v>
      </c>
      <c r="U92" s="3">
        <v>0</v>
      </c>
      <c r="AD92" s="3">
        <v>2.82</v>
      </c>
      <c r="AE92" s="3">
        <v>0.51</v>
      </c>
      <c r="AF92" s="3">
        <v>-0.51</v>
      </c>
      <c r="AG92" s="3">
        <v>0</v>
      </c>
      <c r="AH92" s="3">
        <v>8.8726699999999992E-3</v>
      </c>
      <c r="AI92" s="3">
        <v>1.6046299999999999E-3</v>
      </c>
      <c r="AJ92" s="3">
        <v>-1.6046299999999999E-3</v>
      </c>
      <c r="AK92" s="3">
        <v>0</v>
      </c>
      <c r="AL92" t="s">
        <v>1426</v>
      </c>
      <c r="AM92" s="3">
        <v>0.13</v>
      </c>
      <c r="AN92" s="3">
        <v>0.12</v>
      </c>
      <c r="AO92" s="3">
        <v>-0.09</v>
      </c>
      <c r="AP92" s="3">
        <v>0</v>
      </c>
      <c r="AY92" s="3">
        <v>0</v>
      </c>
      <c r="AZ92" t="s">
        <v>8125</v>
      </c>
      <c r="BA92" t="s">
        <v>719</v>
      </c>
      <c r="BB92" s="3">
        <v>3499</v>
      </c>
      <c r="BC92" s="3">
        <v>68</v>
      </c>
      <c r="BD92" s="3">
        <v>-68</v>
      </c>
      <c r="BE92" s="3">
        <v>0</v>
      </c>
      <c r="BF92" s="3">
        <v>0.31</v>
      </c>
      <c r="BG92" s="3">
        <v>0.06</v>
      </c>
      <c r="BH92" s="3">
        <v>-0.06</v>
      </c>
      <c r="BI92" s="3">
        <v>0</v>
      </c>
      <c r="BJ92" s="3">
        <v>0.3</v>
      </c>
      <c r="BK92" s="3">
        <v>7.0000000000000007E-2</v>
      </c>
      <c r="BL92" s="3">
        <v>-7.0000000000000007E-2</v>
      </c>
      <c r="BM92" s="3">
        <v>0</v>
      </c>
      <c r="BN92" s="3">
        <v>-0.38</v>
      </c>
      <c r="BO92" s="3">
        <v>0.09</v>
      </c>
      <c r="BP92" s="3">
        <v>-0.09</v>
      </c>
      <c r="BQ92" s="3">
        <v>0</v>
      </c>
      <c r="BR92" t="s">
        <v>7935</v>
      </c>
      <c r="BS92" s="3">
        <v>4.9400000000000004</v>
      </c>
      <c r="BT92" s="3">
        <v>0.06</v>
      </c>
      <c r="BU92" s="3">
        <v>-0.06</v>
      </c>
      <c r="BV92" s="3">
        <v>0</v>
      </c>
      <c r="BW92" t="s">
        <v>7936</v>
      </c>
      <c r="BX92" t="s">
        <v>8126</v>
      </c>
      <c r="BY92" s="3">
        <v>246.3557854</v>
      </c>
      <c r="BZ92" t="s">
        <v>8127</v>
      </c>
      <c r="CA92" s="3">
        <v>54.303362499999999</v>
      </c>
      <c r="CB92" s="3">
        <v>6.4724899999999996</v>
      </c>
      <c r="CC92" s="3">
        <v>1.155E-3</v>
      </c>
      <c r="CD92" s="3">
        <v>-1.155E-3</v>
      </c>
      <c r="CE92" s="3">
        <v>10.066000000000001</v>
      </c>
      <c r="CF92" s="3">
        <v>3.9E-2</v>
      </c>
      <c r="CG92" s="3">
        <v>-3.9E-2</v>
      </c>
      <c r="CH92" s="3">
        <v>5.8330000000000002</v>
      </c>
      <c r="CI92" s="3">
        <v>2.4E-2</v>
      </c>
      <c r="CJ92" s="3">
        <v>-2.4E-2</v>
      </c>
      <c r="CK92" s="3">
        <v>9.1370199999999997</v>
      </c>
      <c r="CL92" s="3">
        <v>8.5099999999999998E-4</v>
      </c>
      <c r="CM92" s="3">
        <v>-8.5099999999999998E-4</v>
      </c>
      <c r="CN92" t="s">
        <v>1536</v>
      </c>
      <c r="CO92" t="s">
        <v>8128</v>
      </c>
      <c r="CP92" t="s">
        <v>8129</v>
      </c>
    </row>
    <row r="93" spans="1:94" x14ac:dyDescent="0.45">
      <c r="A93" t="s">
        <v>796</v>
      </c>
      <c r="B93">
        <v>0</v>
      </c>
      <c r="C93" t="s">
        <v>1537</v>
      </c>
      <c r="D93" t="s">
        <v>797</v>
      </c>
      <c r="E93" s="3">
        <v>0</v>
      </c>
      <c r="F93" s="3">
        <v>3</v>
      </c>
      <c r="G93" s="3">
        <v>5</v>
      </c>
      <c r="H93" t="s">
        <v>1427</v>
      </c>
      <c r="I93" s="3">
        <v>2012</v>
      </c>
      <c r="J93" t="s">
        <v>7966</v>
      </c>
      <c r="K93" t="s">
        <v>1429</v>
      </c>
      <c r="L93" s="3">
        <v>0</v>
      </c>
      <c r="M93" t="s">
        <v>8130</v>
      </c>
      <c r="N93" s="3">
        <v>7.2006600000000001</v>
      </c>
      <c r="O93" s="3">
        <v>6.7000000000000002E-4</v>
      </c>
      <c r="P93" s="3">
        <v>-6.7000000000000002E-4</v>
      </c>
      <c r="Q93" s="3">
        <v>0</v>
      </c>
      <c r="R93" s="3">
        <v>4.9000000000000002E-2</v>
      </c>
      <c r="U93" s="3">
        <v>0</v>
      </c>
      <c r="AD93" s="3">
        <v>5.68</v>
      </c>
      <c r="AE93" s="3">
        <v>0.23</v>
      </c>
      <c r="AF93" s="3">
        <v>-0.23</v>
      </c>
      <c r="AG93" s="3">
        <v>0</v>
      </c>
      <c r="AH93" s="3">
        <v>1.789E-2</v>
      </c>
      <c r="AI93" s="3">
        <v>7.5000000000000002E-4</v>
      </c>
      <c r="AJ93" s="3">
        <v>-7.5000000000000002E-4</v>
      </c>
      <c r="AK93" s="3">
        <v>0</v>
      </c>
      <c r="AL93" t="s">
        <v>1426</v>
      </c>
      <c r="AM93" s="3">
        <v>0.17199999999999999</v>
      </c>
      <c r="AN93" s="3">
        <v>4.2999999999999997E-2</v>
      </c>
      <c r="AO93" s="3">
        <v>-4.2999999999999997E-2</v>
      </c>
      <c r="AP93" s="3">
        <v>0</v>
      </c>
      <c r="AY93" s="3">
        <v>0</v>
      </c>
      <c r="AZ93" t="s">
        <v>8130</v>
      </c>
      <c r="BW93" t="s">
        <v>7936</v>
      </c>
      <c r="BX93" t="s">
        <v>8131</v>
      </c>
      <c r="BY93" s="3">
        <v>259.75106090000003</v>
      </c>
      <c r="BZ93" t="s">
        <v>8132</v>
      </c>
      <c r="CA93" s="3">
        <v>-34.997765100000002</v>
      </c>
      <c r="CB93" s="3">
        <v>7.2439600000000004</v>
      </c>
      <c r="CC93" s="3">
        <v>4.8599999999999997E-3</v>
      </c>
      <c r="CD93" s="3">
        <v>-4.8500000000000001E-3</v>
      </c>
      <c r="CE93" s="3">
        <v>10.602</v>
      </c>
      <c r="CF93" s="3">
        <v>2.3E-2</v>
      </c>
      <c r="CG93" s="3">
        <v>-2.3E-2</v>
      </c>
      <c r="CH93" s="3">
        <v>6.0359999999999996</v>
      </c>
      <c r="CI93" s="3">
        <v>0.02</v>
      </c>
      <c r="CJ93" s="3">
        <v>-0.02</v>
      </c>
      <c r="CK93" s="3">
        <v>9.3803300000000007</v>
      </c>
      <c r="CL93" s="3">
        <v>7.0899999999999999E-4</v>
      </c>
      <c r="CM93" s="3">
        <v>-7.0899999999999999E-4</v>
      </c>
      <c r="CN93" t="s">
        <v>8133</v>
      </c>
      <c r="CO93" t="s">
        <v>8134</v>
      </c>
      <c r="CP93" t="s">
        <v>8133</v>
      </c>
    </row>
    <row r="94" spans="1:94" x14ac:dyDescent="0.45">
      <c r="A94" t="s">
        <v>796</v>
      </c>
      <c r="B94">
        <v>0</v>
      </c>
      <c r="C94" t="s">
        <v>1537</v>
      </c>
      <c r="D94" t="s">
        <v>797</v>
      </c>
      <c r="E94" s="3">
        <v>0</v>
      </c>
      <c r="F94" s="3">
        <v>3</v>
      </c>
      <c r="G94" s="3">
        <v>5</v>
      </c>
      <c r="H94" t="s">
        <v>1427</v>
      </c>
      <c r="I94" s="3">
        <v>2012</v>
      </c>
      <c r="J94" t="s">
        <v>7966</v>
      </c>
      <c r="K94" t="s">
        <v>1429</v>
      </c>
      <c r="L94" s="3">
        <v>0</v>
      </c>
      <c r="M94" t="s">
        <v>8135</v>
      </c>
      <c r="N94" s="3">
        <v>7.2</v>
      </c>
      <c r="O94" s="3">
        <v>1E-3</v>
      </c>
      <c r="P94" s="3">
        <v>-1E-3</v>
      </c>
      <c r="Q94" s="3">
        <v>0</v>
      </c>
      <c r="R94" s="3">
        <v>0.05</v>
      </c>
      <c r="S94" s="3">
        <v>2E-3</v>
      </c>
      <c r="T94" s="3">
        <v>-2E-3</v>
      </c>
      <c r="U94" s="3">
        <v>0</v>
      </c>
      <c r="AD94" s="3">
        <v>5.6609999999999996</v>
      </c>
      <c r="AE94" s="3">
        <v>0.437</v>
      </c>
      <c r="AF94" s="3">
        <v>-0.437</v>
      </c>
      <c r="AG94" s="3">
        <v>0</v>
      </c>
      <c r="AH94" s="3">
        <v>1.7999999999999999E-2</v>
      </c>
      <c r="AI94" s="3">
        <v>1E-3</v>
      </c>
      <c r="AJ94" s="3">
        <v>-1E-3</v>
      </c>
      <c r="AK94" s="3">
        <v>0</v>
      </c>
      <c r="AL94" t="s">
        <v>1426</v>
      </c>
      <c r="AM94" s="3">
        <v>0.122</v>
      </c>
      <c r="AN94" s="3">
        <v>7.8E-2</v>
      </c>
      <c r="AO94" s="3">
        <v>-7.8E-2</v>
      </c>
      <c r="AP94" s="3">
        <v>0</v>
      </c>
      <c r="AY94" s="3">
        <v>0</v>
      </c>
      <c r="AZ94" t="s">
        <v>7936</v>
      </c>
      <c r="BB94" s="3">
        <v>3650</v>
      </c>
      <c r="BC94" s="3">
        <v>134.69</v>
      </c>
      <c r="BD94" s="3">
        <v>-119.37</v>
      </c>
      <c r="BE94" s="3">
        <v>0</v>
      </c>
      <c r="BW94" t="s">
        <v>7936</v>
      </c>
      <c r="BX94" t="s">
        <v>8131</v>
      </c>
      <c r="BY94" s="3">
        <v>259.75106090000003</v>
      </c>
      <c r="BZ94" t="s">
        <v>8132</v>
      </c>
      <c r="CA94" s="3">
        <v>-34.997765100000002</v>
      </c>
      <c r="CB94" s="3">
        <v>7.2439600000000004</v>
      </c>
      <c r="CC94" s="3">
        <v>4.8599999999999997E-3</v>
      </c>
      <c r="CD94" s="3">
        <v>-4.8500000000000001E-3</v>
      </c>
      <c r="CE94" s="3">
        <v>10.602</v>
      </c>
      <c r="CF94" s="3">
        <v>2.3E-2</v>
      </c>
      <c r="CG94" s="3">
        <v>-2.3E-2</v>
      </c>
      <c r="CH94" s="3">
        <v>6.0359999999999996</v>
      </c>
      <c r="CI94" s="3">
        <v>0.02</v>
      </c>
      <c r="CJ94" s="3">
        <v>-0.02</v>
      </c>
      <c r="CK94" s="3">
        <v>9.3803300000000007</v>
      </c>
      <c r="CL94" s="3">
        <v>7.0899999999999999E-4</v>
      </c>
      <c r="CM94" s="3">
        <v>-7.0899999999999999E-4</v>
      </c>
      <c r="CN94" t="s">
        <v>8136</v>
      </c>
      <c r="CO94" t="s">
        <v>8137</v>
      </c>
      <c r="CP94" t="s">
        <v>8136</v>
      </c>
    </row>
    <row r="95" spans="1:94" x14ac:dyDescent="0.45">
      <c r="A95" t="s">
        <v>796</v>
      </c>
      <c r="B95">
        <v>1</v>
      </c>
      <c r="C95" t="s">
        <v>1537</v>
      </c>
      <c r="D95" t="s">
        <v>797</v>
      </c>
      <c r="E95" s="3">
        <v>1</v>
      </c>
      <c r="F95" s="3">
        <v>3</v>
      </c>
      <c r="G95" s="3">
        <v>5</v>
      </c>
      <c r="H95" t="s">
        <v>1427</v>
      </c>
      <c r="I95" s="3">
        <v>2012</v>
      </c>
      <c r="J95" t="s">
        <v>7966</v>
      </c>
      <c r="K95" t="s">
        <v>1429</v>
      </c>
      <c r="L95" s="3">
        <v>0</v>
      </c>
      <c r="M95" t="s">
        <v>8138</v>
      </c>
      <c r="N95" s="3">
        <v>7.2030000000000003</v>
      </c>
      <c r="O95" s="3">
        <v>1.9E-3</v>
      </c>
      <c r="P95" s="3">
        <v>-1.9E-3</v>
      </c>
      <c r="Q95" s="3">
        <v>0</v>
      </c>
      <c r="AM95" s="3">
        <v>0.2</v>
      </c>
      <c r="AN95" s="3">
        <v>0.1</v>
      </c>
      <c r="AO95" s="3">
        <v>-0.1</v>
      </c>
      <c r="AP95" s="3">
        <v>0</v>
      </c>
      <c r="AY95" s="3">
        <v>0</v>
      </c>
      <c r="AZ95" t="s">
        <v>8138</v>
      </c>
      <c r="BW95" t="s">
        <v>7936</v>
      </c>
      <c r="BX95" t="s">
        <v>8131</v>
      </c>
      <c r="BY95" s="3">
        <v>259.75106090000003</v>
      </c>
      <c r="BZ95" t="s">
        <v>8132</v>
      </c>
      <c r="CA95" s="3">
        <v>-34.997765100000002</v>
      </c>
      <c r="CB95" s="3">
        <v>7.2439600000000004</v>
      </c>
      <c r="CC95" s="3">
        <v>4.8599999999999997E-3</v>
      </c>
      <c r="CD95" s="3">
        <v>-4.8500000000000001E-3</v>
      </c>
      <c r="CE95" s="3">
        <v>10.602</v>
      </c>
      <c r="CF95" s="3">
        <v>2.3E-2</v>
      </c>
      <c r="CG95" s="3">
        <v>-2.3E-2</v>
      </c>
      <c r="CH95" s="3">
        <v>6.0359999999999996</v>
      </c>
      <c r="CI95" s="3">
        <v>0.02</v>
      </c>
      <c r="CJ95" s="3">
        <v>-0.02</v>
      </c>
      <c r="CK95" s="3">
        <v>9.3803300000000007</v>
      </c>
      <c r="CL95" s="3">
        <v>7.0899999999999999E-4</v>
      </c>
      <c r="CM95" s="3">
        <v>-7.0899999999999999E-4</v>
      </c>
      <c r="CN95" t="s">
        <v>1540</v>
      </c>
      <c r="CO95" t="s">
        <v>8139</v>
      </c>
      <c r="CP95" t="s">
        <v>1540</v>
      </c>
    </row>
    <row r="96" spans="1:94" x14ac:dyDescent="0.45">
      <c r="A96" t="s">
        <v>796</v>
      </c>
      <c r="B96">
        <v>0</v>
      </c>
      <c r="C96" t="s">
        <v>1537</v>
      </c>
      <c r="D96" t="s">
        <v>797</v>
      </c>
      <c r="E96" s="3">
        <v>0</v>
      </c>
      <c r="F96" s="3">
        <v>3</v>
      </c>
      <c r="G96" s="3">
        <v>5</v>
      </c>
      <c r="H96" t="s">
        <v>1427</v>
      </c>
      <c r="I96" s="3">
        <v>2012</v>
      </c>
      <c r="J96" t="s">
        <v>7966</v>
      </c>
      <c r="K96" t="s">
        <v>1429</v>
      </c>
      <c r="L96" s="3">
        <v>0</v>
      </c>
      <c r="M96" t="s">
        <v>8140</v>
      </c>
      <c r="N96" s="3">
        <v>7.1999000000000004</v>
      </c>
      <c r="O96" s="3">
        <v>8.9999999999999998E-4</v>
      </c>
      <c r="P96" s="3">
        <v>-8.9999999999999998E-4</v>
      </c>
      <c r="Q96" s="3">
        <v>0</v>
      </c>
      <c r="R96" s="3">
        <v>5.0430999999999997E-2</v>
      </c>
      <c r="S96" s="3">
        <v>3.9999999999999998E-6</v>
      </c>
      <c r="T96" s="3">
        <v>-3.9999999999999998E-6</v>
      </c>
      <c r="U96" s="3">
        <v>0</v>
      </c>
      <c r="AD96" s="3">
        <v>5.6</v>
      </c>
      <c r="AE96" s="3">
        <v>0.3</v>
      </c>
      <c r="AF96" s="3">
        <v>-0.3</v>
      </c>
      <c r="AG96" s="3">
        <v>0</v>
      </c>
      <c r="AH96" s="3">
        <v>1.7999999999999999E-2</v>
      </c>
      <c r="AI96" s="3">
        <v>1E-3</v>
      </c>
      <c r="AJ96" s="3">
        <v>-1E-3</v>
      </c>
      <c r="AK96" s="3">
        <v>0</v>
      </c>
      <c r="AL96" t="s">
        <v>1426</v>
      </c>
      <c r="AM96" s="3">
        <v>0.15</v>
      </c>
      <c r="AN96" s="3">
        <v>0.05</v>
      </c>
      <c r="AO96" s="3">
        <v>-0.05</v>
      </c>
      <c r="AP96" s="3">
        <v>0</v>
      </c>
      <c r="AY96" s="3">
        <v>0</v>
      </c>
      <c r="AZ96" t="s">
        <v>7936</v>
      </c>
      <c r="BB96" s="3">
        <v>3650</v>
      </c>
      <c r="BC96" s="3">
        <v>134.69</v>
      </c>
      <c r="BD96" s="3">
        <v>-119.37</v>
      </c>
      <c r="BE96" s="3">
        <v>0</v>
      </c>
      <c r="BW96" t="s">
        <v>7936</v>
      </c>
      <c r="BX96" t="s">
        <v>8131</v>
      </c>
      <c r="BY96" s="3">
        <v>259.75106090000003</v>
      </c>
      <c r="BZ96" t="s">
        <v>8132</v>
      </c>
      <c r="CA96" s="3">
        <v>-34.997765100000002</v>
      </c>
      <c r="CB96" s="3">
        <v>7.2439600000000004</v>
      </c>
      <c r="CC96" s="3">
        <v>4.8599999999999997E-3</v>
      </c>
      <c r="CD96" s="3">
        <v>-4.8500000000000001E-3</v>
      </c>
      <c r="CE96" s="3">
        <v>10.602</v>
      </c>
      <c r="CF96" s="3">
        <v>2.3E-2</v>
      </c>
      <c r="CG96" s="3">
        <v>-2.3E-2</v>
      </c>
      <c r="CH96" s="3">
        <v>6.0359999999999996</v>
      </c>
      <c r="CI96" s="3">
        <v>0.02</v>
      </c>
      <c r="CJ96" s="3">
        <v>-0.02</v>
      </c>
      <c r="CK96" s="3">
        <v>9.3803300000000007</v>
      </c>
      <c r="CL96" s="3">
        <v>7.0899999999999999E-4</v>
      </c>
      <c r="CM96" s="3">
        <v>-7.0899999999999999E-4</v>
      </c>
      <c r="CN96" t="s">
        <v>8136</v>
      </c>
      <c r="CO96" t="s">
        <v>7992</v>
      </c>
      <c r="CP96" t="s">
        <v>8136</v>
      </c>
    </row>
    <row r="97" spans="1:94" x14ac:dyDescent="0.45">
      <c r="A97" t="s">
        <v>796</v>
      </c>
      <c r="B97">
        <v>0</v>
      </c>
      <c r="C97" t="s">
        <v>1537</v>
      </c>
      <c r="D97" t="s">
        <v>797</v>
      </c>
      <c r="E97" s="3">
        <v>0</v>
      </c>
      <c r="F97" s="3">
        <v>3</v>
      </c>
      <c r="G97" s="3">
        <v>5</v>
      </c>
      <c r="H97" t="s">
        <v>1427</v>
      </c>
      <c r="I97" s="3">
        <v>2012</v>
      </c>
      <c r="J97" t="s">
        <v>7966</v>
      </c>
      <c r="K97" t="s">
        <v>1429</v>
      </c>
      <c r="L97" s="3">
        <v>0</v>
      </c>
      <c r="M97" t="s">
        <v>8141</v>
      </c>
      <c r="N97" s="3">
        <v>7.2004000000000001</v>
      </c>
      <c r="O97" s="3">
        <v>1.6999999999999999E-3</v>
      </c>
      <c r="P97" s="3">
        <v>-1.6999999999999999E-3</v>
      </c>
      <c r="Q97" s="3">
        <v>0</v>
      </c>
      <c r="R97" s="3">
        <v>5.0500000000000003E-2</v>
      </c>
      <c r="S97" s="3">
        <v>4.4000000000000003E-3</v>
      </c>
      <c r="T97" s="3">
        <v>-5.3E-3</v>
      </c>
      <c r="U97" s="3">
        <v>0</v>
      </c>
      <c r="AD97" s="3">
        <v>5.6</v>
      </c>
      <c r="AE97" s="3">
        <v>1.4</v>
      </c>
      <c r="AF97" s="3">
        <v>-1.3</v>
      </c>
      <c r="AG97" s="3">
        <v>0</v>
      </c>
      <c r="AH97" s="3">
        <v>1.7999999999999999E-2</v>
      </c>
      <c r="AI97" s="3">
        <v>4.0000000000000001E-3</v>
      </c>
      <c r="AJ97" s="3">
        <v>-4.0000000000000001E-3</v>
      </c>
      <c r="AK97" s="3">
        <v>0</v>
      </c>
      <c r="AL97" t="s">
        <v>1426</v>
      </c>
      <c r="AM97" s="3">
        <v>0.13</v>
      </c>
      <c r="AN97" s="3">
        <v>0.1</v>
      </c>
      <c r="AO97" s="3">
        <v>-0.11</v>
      </c>
      <c r="AP97" s="3">
        <v>0</v>
      </c>
      <c r="AY97" s="3">
        <v>0</v>
      </c>
      <c r="AZ97" t="s">
        <v>8141</v>
      </c>
      <c r="BA97" t="s">
        <v>8066</v>
      </c>
      <c r="BB97" s="3">
        <v>3350</v>
      </c>
      <c r="BC97" s="3">
        <v>50</v>
      </c>
      <c r="BD97" s="3">
        <v>-50</v>
      </c>
      <c r="BE97" s="3">
        <v>0</v>
      </c>
      <c r="BJ97" s="3">
        <v>0.33</v>
      </c>
      <c r="BK97" s="3">
        <v>0.02</v>
      </c>
      <c r="BL97" s="3">
        <v>-0.02</v>
      </c>
      <c r="BM97" s="3">
        <v>0</v>
      </c>
      <c r="BN97" s="3">
        <v>-0.55000000000000004</v>
      </c>
      <c r="BO97" s="3">
        <v>0.1</v>
      </c>
      <c r="BP97" s="3">
        <v>-0.1</v>
      </c>
      <c r="BQ97" s="3">
        <v>0</v>
      </c>
      <c r="BR97" t="s">
        <v>7935</v>
      </c>
      <c r="BS97" s="3">
        <v>4.6900000000000004</v>
      </c>
      <c r="BT97" s="3">
        <v>0.1</v>
      </c>
      <c r="BU97" s="3">
        <v>-0.1</v>
      </c>
      <c r="BV97" s="3">
        <v>0</v>
      </c>
      <c r="BW97" t="s">
        <v>7936</v>
      </c>
      <c r="BX97" t="s">
        <v>8131</v>
      </c>
      <c r="BY97" s="3">
        <v>259.75106090000003</v>
      </c>
      <c r="BZ97" t="s">
        <v>8132</v>
      </c>
      <c r="CA97" s="3">
        <v>-34.997765100000002</v>
      </c>
      <c r="CB97" s="3">
        <v>7.2439600000000004</v>
      </c>
      <c r="CC97" s="3">
        <v>4.8599999999999997E-3</v>
      </c>
      <c r="CD97" s="3">
        <v>-4.8500000000000001E-3</v>
      </c>
      <c r="CE97" s="3">
        <v>10.602</v>
      </c>
      <c r="CF97" s="3">
        <v>2.3E-2</v>
      </c>
      <c r="CG97" s="3">
        <v>-2.3E-2</v>
      </c>
      <c r="CH97" s="3">
        <v>6.0359999999999996</v>
      </c>
      <c r="CI97" s="3">
        <v>0.02</v>
      </c>
      <c r="CJ97" s="3">
        <v>-0.02</v>
      </c>
      <c r="CK97" s="3">
        <v>9.3803300000000007</v>
      </c>
      <c r="CL97" s="3">
        <v>7.0899999999999999E-4</v>
      </c>
      <c r="CM97" s="3">
        <v>-7.0899999999999999E-4</v>
      </c>
      <c r="CN97" t="s">
        <v>1433</v>
      </c>
      <c r="CO97" t="s">
        <v>8142</v>
      </c>
      <c r="CP97" t="s">
        <v>1433</v>
      </c>
    </row>
    <row r="98" spans="1:94" x14ac:dyDescent="0.45">
      <c r="A98" t="s">
        <v>796</v>
      </c>
      <c r="B98">
        <v>0</v>
      </c>
      <c r="C98" t="s">
        <v>1541</v>
      </c>
      <c r="D98" t="s">
        <v>797</v>
      </c>
      <c r="E98" s="3">
        <v>0</v>
      </c>
      <c r="F98" s="3">
        <v>3</v>
      </c>
      <c r="G98" s="3">
        <v>5</v>
      </c>
      <c r="H98" t="s">
        <v>1427</v>
      </c>
      <c r="I98" s="3">
        <v>2013</v>
      </c>
      <c r="J98" t="s">
        <v>7966</v>
      </c>
      <c r="K98" t="s">
        <v>1429</v>
      </c>
      <c r="L98" s="3">
        <v>0</v>
      </c>
      <c r="M98" t="s">
        <v>8135</v>
      </c>
      <c r="N98" s="3">
        <v>28.143000000000001</v>
      </c>
      <c r="O98" s="3">
        <v>2.9000000000000001E-2</v>
      </c>
      <c r="P98" s="3">
        <v>-2.9000000000000001E-2</v>
      </c>
      <c r="Q98" s="3">
        <v>0</v>
      </c>
      <c r="R98" s="3">
        <v>0.125</v>
      </c>
      <c r="S98" s="3">
        <v>4.0000000000000001E-3</v>
      </c>
      <c r="T98" s="3">
        <v>-4.0000000000000001E-3</v>
      </c>
      <c r="U98" s="3">
        <v>0</v>
      </c>
      <c r="AD98" s="3">
        <v>3.7090000000000001</v>
      </c>
      <c r="AE98" s="3">
        <v>0.68200000000000005</v>
      </c>
      <c r="AF98" s="3">
        <v>-0.68200000000000005</v>
      </c>
      <c r="AG98" s="3">
        <v>0</v>
      </c>
      <c r="AL98" t="s">
        <v>1426</v>
      </c>
      <c r="AM98" s="3">
        <v>0.13300000000000001</v>
      </c>
      <c r="AN98" s="3">
        <v>9.8000000000000004E-2</v>
      </c>
      <c r="AO98" s="3">
        <v>-9.8000000000000004E-2</v>
      </c>
      <c r="AP98" s="3">
        <v>0</v>
      </c>
      <c r="AY98" s="3">
        <v>0</v>
      </c>
      <c r="AZ98" t="s">
        <v>7936</v>
      </c>
      <c r="BB98" s="3">
        <v>3650</v>
      </c>
      <c r="BC98" s="3">
        <v>134.69</v>
      </c>
      <c r="BD98" s="3">
        <v>-119.37</v>
      </c>
      <c r="BE98" s="3">
        <v>0</v>
      </c>
      <c r="BW98" t="s">
        <v>7936</v>
      </c>
      <c r="BX98" t="s">
        <v>8131</v>
      </c>
      <c r="BY98" s="3">
        <v>259.75106090000003</v>
      </c>
      <c r="BZ98" t="s">
        <v>8132</v>
      </c>
      <c r="CA98" s="3">
        <v>-34.997765100000002</v>
      </c>
      <c r="CB98" s="3">
        <v>7.2439600000000004</v>
      </c>
      <c r="CC98" s="3">
        <v>4.8599999999999997E-3</v>
      </c>
      <c r="CD98" s="3">
        <v>-4.8500000000000001E-3</v>
      </c>
      <c r="CE98" s="3">
        <v>10.602</v>
      </c>
      <c r="CF98" s="3">
        <v>2.3E-2</v>
      </c>
      <c r="CG98" s="3">
        <v>-2.3E-2</v>
      </c>
      <c r="CH98" s="3">
        <v>6.0359999999999996</v>
      </c>
      <c r="CI98" s="3">
        <v>0.02</v>
      </c>
      <c r="CJ98" s="3">
        <v>-0.02</v>
      </c>
      <c r="CK98" s="3">
        <v>9.3803300000000007</v>
      </c>
      <c r="CL98" s="3">
        <v>7.0899999999999999E-4</v>
      </c>
      <c r="CM98" s="3">
        <v>-7.0899999999999999E-4</v>
      </c>
      <c r="CN98" t="s">
        <v>8136</v>
      </c>
      <c r="CO98" t="s">
        <v>8137</v>
      </c>
      <c r="CP98" t="s">
        <v>8136</v>
      </c>
    </row>
    <row r="99" spans="1:94" x14ac:dyDescent="0.45">
      <c r="A99" t="s">
        <v>796</v>
      </c>
      <c r="B99">
        <v>0</v>
      </c>
      <c r="C99" t="s">
        <v>1541</v>
      </c>
      <c r="D99" t="s">
        <v>797</v>
      </c>
      <c r="E99" s="3">
        <v>0</v>
      </c>
      <c r="F99" s="3">
        <v>3</v>
      </c>
      <c r="G99" s="3">
        <v>5</v>
      </c>
      <c r="H99" t="s">
        <v>1427</v>
      </c>
      <c r="I99" s="3">
        <v>2013</v>
      </c>
      <c r="J99" t="s">
        <v>7966</v>
      </c>
      <c r="K99" t="s">
        <v>1429</v>
      </c>
      <c r="L99" s="3">
        <v>0</v>
      </c>
      <c r="M99" t="s">
        <v>8130</v>
      </c>
      <c r="N99" s="3">
        <v>28.155000000000001</v>
      </c>
      <c r="O99" s="3">
        <v>1.7000000000000001E-2</v>
      </c>
      <c r="P99" s="3">
        <v>-1.7000000000000001E-2</v>
      </c>
      <c r="Q99" s="3">
        <v>0</v>
      </c>
      <c r="R99" s="3">
        <v>0.123</v>
      </c>
      <c r="S99" s="3">
        <v>0.02</v>
      </c>
      <c r="T99" s="3">
        <v>-0.02</v>
      </c>
      <c r="U99" s="3">
        <v>0</v>
      </c>
      <c r="AD99" s="3">
        <v>4.54</v>
      </c>
      <c r="AE99" s="3">
        <v>0.38</v>
      </c>
      <c r="AF99" s="3">
        <v>-0.38</v>
      </c>
      <c r="AG99" s="3">
        <v>0</v>
      </c>
      <c r="AH99" s="3">
        <v>1.43E-2</v>
      </c>
      <c r="AI99" s="3">
        <v>1.1999999999999999E-3</v>
      </c>
      <c r="AJ99" s="3">
        <v>-1.1999999999999999E-3</v>
      </c>
      <c r="AK99" s="3">
        <v>0</v>
      </c>
      <c r="AL99" t="s">
        <v>1426</v>
      </c>
      <c r="AM99" s="3">
        <v>0.27</v>
      </c>
      <c r="AP99" s="3">
        <v>1</v>
      </c>
      <c r="AY99" s="3">
        <v>0</v>
      </c>
      <c r="AZ99" t="s">
        <v>8130</v>
      </c>
      <c r="BW99" t="s">
        <v>7936</v>
      </c>
      <c r="BX99" t="s">
        <v>8131</v>
      </c>
      <c r="BY99" s="3">
        <v>259.75106090000003</v>
      </c>
      <c r="BZ99" t="s">
        <v>8132</v>
      </c>
      <c r="CA99" s="3">
        <v>-34.997765100000002</v>
      </c>
      <c r="CB99" s="3">
        <v>7.2439600000000004</v>
      </c>
      <c r="CC99" s="3">
        <v>4.8599999999999997E-3</v>
      </c>
      <c r="CD99" s="3">
        <v>-4.8500000000000001E-3</v>
      </c>
      <c r="CE99" s="3">
        <v>10.602</v>
      </c>
      <c r="CF99" s="3">
        <v>2.3E-2</v>
      </c>
      <c r="CG99" s="3">
        <v>-2.3E-2</v>
      </c>
      <c r="CH99" s="3">
        <v>6.0359999999999996</v>
      </c>
      <c r="CI99" s="3">
        <v>0.02</v>
      </c>
      <c r="CJ99" s="3">
        <v>-0.02</v>
      </c>
      <c r="CK99" s="3">
        <v>9.3803300000000007</v>
      </c>
      <c r="CL99" s="3">
        <v>7.0899999999999999E-4</v>
      </c>
      <c r="CM99" s="3">
        <v>-7.0899999999999999E-4</v>
      </c>
      <c r="CN99" t="s">
        <v>8094</v>
      </c>
      <c r="CO99" t="s">
        <v>8134</v>
      </c>
      <c r="CP99" t="s">
        <v>8094</v>
      </c>
    </row>
    <row r="100" spans="1:94" x14ac:dyDescent="0.45">
      <c r="A100" t="s">
        <v>796</v>
      </c>
      <c r="B100">
        <v>1</v>
      </c>
      <c r="C100" t="s">
        <v>1541</v>
      </c>
      <c r="D100" t="s">
        <v>797</v>
      </c>
      <c r="E100" s="3">
        <v>1</v>
      </c>
      <c r="F100" s="3">
        <v>3</v>
      </c>
      <c r="G100" s="3">
        <v>5</v>
      </c>
      <c r="H100" t="s">
        <v>1427</v>
      </c>
      <c r="I100" s="3">
        <v>2013</v>
      </c>
      <c r="J100" t="s">
        <v>7966</v>
      </c>
      <c r="K100" t="s">
        <v>1429</v>
      </c>
      <c r="L100" s="3">
        <v>0</v>
      </c>
      <c r="M100" t="s">
        <v>8141</v>
      </c>
      <c r="N100" s="3">
        <v>28.14</v>
      </c>
      <c r="O100" s="3">
        <v>5.2999999999999999E-2</v>
      </c>
      <c r="P100" s="3">
        <v>-6.5000000000000002E-2</v>
      </c>
      <c r="Q100" s="3">
        <v>0</v>
      </c>
      <c r="R100" s="3">
        <v>0.125</v>
      </c>
      <c r="S100" s="3">
        <v>1.2E-2</v>
      </c>
      <c r="T100" s="3">
        <v>-1.2999999999999999E-2</v>
      </c>
      <c r="U100" s="3">
        <v>0</v>
      </c>
      <c r="AD100" s="3">
        <v>3.8</v>
      </c>
      <c r="AE100" s="3">
        <v>1.5</v>
      </c>
      <c r="AF100" s="3">
        <v>-1.2</v>
      </c>
      <c r="AG100" s="3">
        <v>0</v>
      </c>
      <c r="AH100" s="3">
        <v>1.2E-2</v>
      </c>
      <c r="AI100" s="3">
        <v>5.0000000000000001E-3</v>
      </c>
      <c r="AJ100" s="3">
        <v>-4.0000000000000001E-3</v>
      </c>
      <c r="AK100" s="3">
        <v>0</v>
      </c>
      <c r="AL100" t="s">
        <v>1426</v>
      </c>
      <c r="AM100" s="3">
        <v>0.02</v>
      </c>
      <c r="AN100" s="3">
        <v>0.15</v>
      </c>
      <c r="AO100" s="3">
        <v>-0.02</v>
      </c>
      <c r="AP100" s="3">
        <v>0</v>
      </c>
      <c r="AY100" s="3">
        <v>0</v>
      </c>
      <c r="AZ100" t="s">
        <v>8141</v>
      </c>
      <c r="BA100" t="s">
        <v>8066</v>
      </c>
      <c r="BB100" s="3">
        <v>3350</v>
      </c>
      <c r="BC100" s="3">
        <v>50</v>
      </c>
      <c r="BD100" s="3">
        <v>-50</v>
      </c>
      <c r="BE100" s="3">
        <v>0</v>
      </c>
      <c r="BJ100" s="3">
        <v>0.33</v>
      </c>
      <c r="BK100" s="3">
        <v>0.02</v>
      </c>
      <c r="BL100" s="3">
        <v>-0.02</v>
      </c>
      <c r="BM100" s="3">
        <v>0</v>
      </c>
      <c r="BN100" s="3">
        <v>-0.55000000000000004</v>
      </c>
      <c r="BO100" s="3">
        <v>0.1</v>
      </c>
      <c r="BP100" s="3">
        <v>-0.1</v>
      </c>
      <c r="BQ100" s="3">
        <v>0</v>
      </c>
      <c r="BR100" t="s">
        <v>7935</v>
      </c>
      <c r="BS100" s="3">
        <v>4.6900000000000004</v>
      </c>
      <c r="BT100" s="3">
        <v>0.1</v>
      </c>
      <c r="BU100" s="3">
        <v>-0.1</v>
      </c>
      <c r="BV100" s="3">
        <v>0</v>
      </c>
      <c r="BW100" t="s">
        <v>7936</v>
      </c>
      <c r="BX100" t="s">
        <v>8131</v>
      </c>
      <c r="BY100" s="3">
        <v>259.75106090000003</v>
      </c>
      <c r="BZ100" t="s">
        <v>8132</v>
      </c>
      <c r="CA100" s="3">
        <v>-34.997765100000002</v>
      </c>
      <c r="CB100" s="3">
        <v>7.2439600000000004</v>
      </c>
      <c r="CC100" s="3">
        <v>4.8599999999999997E-3</v>
      </c>
      <c r="CD100" s="3">
        <v>-4.8500000000000001E-3</v>
      </c>
      <c r="CE100" s="3">
        <v>10.602</v>
      </c>
      <c r="CF100" s="3">
        <v>2.3E-2</v>
      </c>
      <c r="CG100" s="3">
        <v>-2.3E-2</v>
      </c>
      <c r="CH100" s="3">
        <v>6.0359999999999996</v>
      </c>
      <c r="CI100" s="3">
        <v>0.02</v>
      </c>
      <c r="CJ100" s="3">
        <v>-0.02</v>
      </c>
      <c r="CK100" s="3">
        <v>9.3803300000000007</v>
      </c>
      <c r="CL100" s="3">
        <v>7.0899999999999999E-4</v>
      </c>
      <c r="CM100" s="3">
        <v>-7.0899999999999999E-4</v>
      </c>
      <c r="CN100" t="s">
        <v>1433</v>
      </c>
      <c r="CO100" t="s">
        <v>8142</v>
      </c>
      <c r="CP100" t="s">
        <v>1433</v>
      </c>
    </row>
    <row r="101" spans="1:94" x14ac:dyDescent="0.45">
      <c r="A101" t="s">
        <v>796</v>
      </c>
      <c r="B101">
        <v>0</v>
      </c>
      <c r="C101" t="s">
        <v>1541</v>
      </c>
      <c r="D101" t="s">
        <v>797</v>
      </c>
      <c r="E101" s="3">
        <v>0</v>
      </c>
      <c r="F101" s="3">
        <v>3</v>
      </c>
      <c r="G101" s="3">
        <v>5</v>
      </c>
      <c r="H101" t="s">
        <v>1427</v>
      </c>
      <c r="I101" s="3">
        <v>2013</v>
      </c>
      <c r="J101" t="s">
        <v>7966</v>
      </c>
      <c r="K101" t="s">
        <v>1429</v>
      </c>
      <c r="L101" s="3">
        <v>0</v>
      </c>
      <c r="M101" t="s">
        <v>8140</v>
      </c>
      <c r="N101" s="3">
        <v>28.1</v>
      </c>
      <c r="O101" s="3">
        <v>0.03</v>
      </c>
      <c r="P101" s="3">
        <v>-0.03</v>
      </c>
      <c r="Q101" s="3">
        <v>0</v>
      </c>
      <c r="R101" s="3">
        <v>0.12501000000000001</v>
      </c>
      <c r="S101" s="3">
        <v>9.0000000000000006E-5</v>
      </c>
      <c r="T101" s="3">
        <v>-9.0000000000000006E-5</v>
      </c>
      <c r="U101" s="3">
        <v>0</v>
      </c>
      <c r="AD101" s="3">
        <v>4.0999999999999996</v>
      </c>
      <c r="AE101" s="3">
        <v>0.6</v>
      </c>
      <c r="AF101" s="3">
        <v>-0.6</v>
      </c>
      <c r="AG101" s="3">
        <v>0</v>
      </c>
      <c r="AH101" s="3">
        <v>1.2999999999999999E-2</v>
      </c>
      <c r="AI101" s="3">
        <v>2E-3</v>
      </c>
      <c r="AJ101" s="3">
        <v>-2E-3</v>
      </c>
      <c r="AK101" s="3">
        <v>0</v>
      </c>
      <c r="AL101" t="s">
        <v>1426</v>
      </c>
      <c r="AM101" s="3">
        <v>0.27</v>
      </c>
      <c r="AN101" s="3">
        <v>0.1</v>
      </c>
      <c r="AO101" s="3">
        <v>-0.1</v>
      </c>
      <c r="AP101" s="3">
        <v>0</v>
      </c>
      <c r="AY101" s="3">
        <v>0</v>
      </c>
      <c r="AZ101" t="s">
        <v>7936</v>
      </c>
      <c r="BB101" s="3">
        <v>3650</v>
      </c>
      <c r="BC101" s="3">
        <v>134.69</v>
      </c>
      <c r="BD101" s="3">
        <v>-119.37</v>
      </c>
      <c r="BE101" s="3">
        <v>0</v>
      </c>
      <c r="BW101" t="s">
        <v>7936</v>
      </c>
      <c r="BX101" t="s">
        <v>8131</v>
      </c>
      <c r="BY101" s="3">
        <v>259.75106090000003</v>
      </c>
      <c r="BZ101" t="s">
        <v>8132</v>
      </c>
      <c r="CA101" s="3">
        <v>-34.997765100000002</v>
      </c>
      <c r="CB101" s="3">
        <v>7.2439600000000004</v>
      </c>
      <c r="CC101" s="3">
        <v>4.8599999999999997E-3</v>
      </c>
      <c r="CD101" s="3">
        <v>-4.8500000000000001E-3</v>
      </c>
      <c r="CE101" s="3">
        <v>10.602</v>
      </c>
      <c r="CF101" s="3">
        <v>2.3E-2</v>
      </c>
      <c r="CG101" s="3">
        <v>-2.3E-2</v>
      </c>
      <c r="CH101" s="3">
        <v>6.0359999999999996</v>
      </c>
      <c r="CI101" s="3">
        <v>0.02</v>
      </c>
      <c r="CJ101" s="3">
        <v>-0.02</v>
      </c>
      <c r="CK101" s="3">
        <v>9.3803300000000007</v>
      </c>
      <c r="CL101" s="3">
        <v>7.0899999999999999E-4</v>
      </c>
      <c r="CM101" s="3">
        <v>-7.0899999999999999E-4</v>
      </c>
      <c r="CN101" t="s">
        <v>8136</v>
      </c>
      <c r="CO101" t="s">
        <v>7992</v>
      </c>
      <c r="CP101" t="s">
        <v>8136</v>
      </c>
    </row>
    <row r="102" spans="1:94" x14ac:dyDescent="0.45">
      <c r="A102" t="s">
        <v>796</v>
      </c>
      <c r="B102">
        <v>1</v>
      </c>
      <c r="C102" t="s">
        <v>1544</v>
      </c>
      <c r="D102" t="s">
        <v>797</v>
      </c>
      <c r="E102" s="3">
        <v>1</v>
      </c>
      <c r="F102" s="3">
        <v>3</v>
      </c>
      <c r="G102" s="3">
        <v>5</v>
      </c>
      <c r="H102" t="s">
        <v>1427</v>
      </c>
      <c r="I102" s="3">
        <v>2013</v>
      </c>
      <c r="J102" t="s">
        <v>7966</v>
      </c>
      <c r="K102" t="s">
        <v>1429</v>
      </c>
      <c r="L102" s="3">
        <v>1</v>
      </c>
      <c r="M102" t="s">
        <v>8141</v>
      </c>
      <c r="N102" s="3">
        <v>62.24</v>
      </c>
      <c r="O102" s="3">
        <v>0.55000000000000004</v>
      </c>
      <c r="P102" s="3">
        <v>-0.55000000000000004</v>
      </c>
      <c r="Q102" s="3">
        <v>0</v>
      </c>
      <c r="R102" s="3">
        <v>0.21299999999999999</v>
      </c>
      <c r="S102" s="3">
        <v>1.9E-2</v>
      </c>
      <c r="T102" s="3">
        <v>-2.1999999999999999E-2</v>
      </c>
      <c r="U102" s="3">
        <v>0</v>
      </c>
      <c r="AD102" s="3">
        <v>2.7</v>
      </c>
      <c r="AE102" s="3">
        <v>1.6</v>
      </c>
      <c r="AF102" s="3">
        <v>-1.4</v>
      </c>
      <c r="AG102" s="3">
        <v>0</v>
      </c>
      <c r="AH102" s="3">
        <v>8.0000000000000002E-3</v>
      </c>
      <c r="AI102" s="3">
        <v>5.0000000000000001E-3</v>
      </c>
      <c r="AJ102" s="3">
        <v>-4.0000000000000001E-3</v>
      </c>
      <c r="AK102" s="3">
        <v>0</v>
      </c>
      <c r="AL102" t="s">
        <v>1426</v>
      </c>
      <c r="AM102" s="3">
        <v>0.02</v>
      </c>
      <c r="AN102" s="3">
        <v>0.22</v>
      </c>
      <c r="AO102" s="3">
        <v>-0.02</v>
      </c>
      <c r="AP102" s="3">
        <v>0</v>
      </c>
      <c r="AY102" s="3">
        <v>0</v>
      </c>
      <c r="AZ102" t="s">
        <v>8141</v>
      </c>
      <c r="BA102" t="s">
        <v>8066</v>
      </c>
      <c r="BB102" s="3">
        <v>3350</v>
      </c>
      <c r="BC102" s="3">
        <v>50</v>
      </c>
      <c r="BD102" s="3">
        <v>-50</v>
      </c>
      <c r="BE102" s="3">
        <v>0</v>
      </c>
      <c r="BJ102" s="3">
        <v>0.33</v>
      </c>
      <c r="BK102" s="3">
        <v>0.02</v>
      </c>
      <c r="BL102" s="3">
        <v>-0.02</v>
      </c>
      <c r="BM102" s="3">
        <v>0</v>
      </c>
      <c r="BN102" s="3">
        <v>-0.55000000000000004</v>
      </c>
      <c r="BO102" s="3">
        <v>0.1</v>
      </c>
      <c r="BP102" s="3">
        <v>-0.1</v>
      </c>
      <c r="BQ102" s="3">
        <v>0</v>
      </c>
      <c r="BR102" t="s">
        <v>7935</v>
      </c>
      <c r="BS102" s="3">
        <v>4.6900000000000004</v>
      </c>
      <c r="BT102" s="3">
        <v>0.1</v>
      </c>
      <c r="BU102" s="3">
        <v>-0.1</v>
      </c>
      <c r="BV102" s="3">
        <v>0</v>
      </c>
      <c r="BW102" t="s">
        <v>7936</v>
      </c>
      <c r="BX102" t="s">
        <v>8131</v>
      </c>
      <c r="BY102" s="3">
        <v>259.75106090000003</v>
      </c>
      <c r="BZ102" t="s">
        <v>8132</v>
      </c>
      <c r="CA102" s="3">
        <v>-34.997765100000002</v>
      </c>
      <c r="CB102" s="3">
        <v>7.2439600000000004</v>
      </c>
      <c r="CC102" s="3">
        <v>4.8599999999999997E-3</v>
      </c>
      <c r="CD102" s="3">
        <v>-4.8500000000000001E-3</v>
      </c>
      <c r="CE102" s="3">
        <v>10.602</v>
      </c>
      <c r="CF102" s="3">
        <v>2.3E-2</v>
      </c>
      <c r="CG102" s="3">
        <v>-2.3E-2</v>
      </c>
      <c r="CH102" s="3">
        <v>6.0359999999999996</v>
      </c>
      <c r="CI102" s="3">
        <v>0.02</v>
      </c>
      <c r="CJ102" s="3">
        <v>-0.02</v>
      </c>
      <c r="CK102" s="3">
        <v>9.3803300000000007</v>
      </c>
      <c r="CL102" s="3">
        <v>7.0899999999999999E-4</v>
      </c>
      <c r="CM102" s="3">
        <v>-7.0899999999999999E-4</v>
      </c>
      <c r="CN102" t="s">
        <v>1433</v>
      </c>
      <c r="CO102" t="s">
        <v>8142</v>
      </c>
      <c r="CP102" t="s">
        <v>1433</v>
      </c>
    </row>
    <row r="103" spans="1:94" x14ac:dyDescent="0.45">
      <c r="A103" t="s">
        <v>796</v>
      </c>
      <c r="B103">
        <v>1</v>
      </c>
      <c r="C103" t="s">
        <v>1545</v>
      </c>
      <c r="D103" t="s">
        <v>797</v>
      </c>
      <c r="E103" s="3">
        <v>1</v>
      </c>
      <c r="F103" s="3">
        <v>3</v>
      </c>
      <c r="G103" s="3">
        <v>5</v>
      </c>
      <c r="H103" t="s">
        <v>1427</v>
      </c>
      <c r="I103" s="3">
        <v>2013</v>
      </c>
      <c r="J103" t="s">
        <v>7966</v>
      </c>
      <c r="K103" t="s">
        <v>1429</v>
      </c>
      <c r="L103" s="3">
        <v>1</v>
      </c>
      <c r="M103" t="s">
        <v>8141</v>
      </c>
      <c r="N103" s="3">
        <v>39.026000000000003</v>
      </c>
      <c r="O103" s="3">
        <v>0.19400000000000001</v>
      </c>
      <c r="P103" s="3">
        <v>-0.21099999999999999</v>
      </c>
      <c r="Q103" s="3">
        <v>0</v>
      </c>
      <c r="R103" s="3">
        <v>0.156</v>
      </c>
      <c r="S103" s="3">
        <v>1.4E-2</v>
      </c>
      <c r="T103" s="3">
        <v>-1.7000000000000001E-2</v>
      </c>
      <c r="U103" s="3">
        <v>0</v>
      </c>
      <c r="AD103" s="3">
        <v>2.7</v>
      </c>
      <c r="AE103" s="3">
        <v>1.4</v>
      </c>
      <c r="AF103" s="3">
        <v>-1.2</v>
      </c>
      <c r="AG103" s="3">
        <v>0</v>
      </c>
      <c r="AH103" s="3">
        <v>8.0000000000000002E-3</v>
      </c>
      <c r="AI103" s="3">
        <v>4.0000000000000001E-3</v>
      </c>
      <c r="AJ103" s="3">
        <v>-4.0000000000000001E-3</v>
      </c>
      <c r="AK103" s="3">
        <v>0</v>
      </c>
      <c r="AL103" t="s">
        <v>1426</v>
      </c>
      <c r="AM103" s="3">
        <v>0.03</v>
      </c>
      <c r="AN103" s="3">
        <v>0.16</v>
      </c>
      <c r="AO103" s="3">
        <v>-0.03</v>
      </c>
      <c r="AP103" s="3">
        <v>0</v>
      </c>
      <c r="AY103" s="3">
        <v>0</v>
      </c>
      <c r="AZ103" t="s">
        <v>8141</v>
      </c>
      <c r="BA103" t="s">
        <v>8066</v>
      </c>
      <c r="BB103" s="3">
        <v>3350</v>
      </c>
      <c r="BC103" s="3">
        <v>50</v>
      </c>
      <c r="BD103" s="3">
        <v>-50</v>
      </c>
      <c r="BE103" s="3">
        <v>0</v>
      </c>
      <c r="BJ103" s="3">
        <v>0.33</v>
      </c>
      <c r="BK103" s="3">
        <v>0.02</v>
      </c>
      <c r="BL103" s="3">
        <v>-0.02</v>
      </c>
      <c r="BM103" s="3">
        <v>0</v>
      </c>
      <c r="BN103" s="3">
        <v>-0.55000000000000004</v>
      </c>
      <c r="BO103" s="3">
        <v>0.1</v>
      </c>
      <c r="BP103" s="3">
        <v>-0.1</v>
      </c>
      <c r="BQ103" s="3">
        <v>0</v>
      </c>
      <c r="BR103" t="s">
        <v>7935</v>
      </c>
      <c r="BS103" s="3">
        <v>4.6900000000000004</v>
      </c>
      <c r="BT103" s="3">
        <v>0.1</v>
      </c>
      <c r="BU103" s="3">
        <v>-0.1</v>
      </c>
      <c r="BV103" s="3">
        <v>0</v>
      </c>
      <c r="BW103" t="s">
        <v>7936</v>
      </c>
      <c r="BX103" t="s">
        <v>8131</v>
      </c>
      <c r="BY103" s="3">
        <v>259.75106090000003</v>
      </c>
      <c r="BZ103" t="s">
        <v>8132</v>
      </c>
      <c r="CA103" s="3">
        <v>-34.997765100000002</v>
      </c>
      <c r="CB103" s="3">
        <v>7.2439600000000004</v>
      </c>
      <c r="CC103" s="3">
        <v>4.8599999999999997E-3</v>
      </c>
      <c r="CD103" s="3">
        <v>-4.8500000000000001E-3</v>
      </c>
      <c r="CE103" s="3">
        <v>10.602</v>
      </c>
      <c r="CF103" s="3">
        <v>2.3E-2</v>
      </c>
      <c r="CG103" s="3">
        <v>-2.3E-2</v>
      </c>
      <c r="CH103" s="3">
        <v>6.0359999999999996</v>
      </c>
      <c r="CI103" s="3">
        <v>0.02</v>
      </c>
      <c r="CJ103" s="3">
        <v>-0.02</v>
      </c>
      <c r="CK103" s="3">
        <v>9.3803300000000007</v>
      </c>
      <c r="CL103" s="3">
        <v>7.0899999999999999E-4</v>
      </c>
      <c r="CM103" s="3">
        <v>-7.0899999999999999E-4</v>
      </c>
      <c r="CN103" t="s">
        <v>1433</v>
      </c>
      <c r="CO103" t="s">
        <v>8142</v>
      </c>
      <c r="CP103" t="s">
        <v>1433</v>
      </c>
    </row>
    <row r="104" spans="1:94" x14ac:dyDescent="0.45">
      <c r="A104" t="s">
        <v>796</v>
      </c>
      <c r="B104">
        <v>1</v>
      </c>
      <c r="C104" t="s">
        <v>1546</v>
      </c>
      <c r="D104" t="s">
        <v>797</v>
      </c>
      <c r="E104" s="3">
        <v>1</v>
      </c>
      <c r="F104" s="3">
        <v>3</v>
      </c>
      <c r="G104" s="3">
        <v>5</v>
      </c>
      <c r="H104" t="s">
        <v>1427</v>
      </c>
      <c r="I104" s="3">
        <v>2013</v>
      </c>
      <c r="J104" t="s">
        <v>7966</v>
      </c>
      <c r="K104" t="s">
        <v>1429</v>
      </c>
      <c r="L104" s="3">
        <v>1</v>
      </c>
      <c r="M104" t="s">
        <v>8141</v>
      </c>
      <c r="N104" s="3">
        <v>256.2</v>
      </c>
      <c r="O104" s="3">
        <v>13.8</v>
      </c>
      <c r="P104" s="3">
        <v>-7.9</v>
      </c>
      <c r="Q104" s="3">
        <v>0</v>
      </c>
      <c r="R104" s="3">
        <v>0.54900000000000004</v>
      </c>
      <c r="S104" s="3">
        <v>5.1999999999999998E-2</v>
      </c>
      <c r="T104" s="3">
        <v>-5.8000000000000003E-2</v>
      </c>
      <c r="U104" s="3">
        <v>0</v>
      </c>
      <c r="AD104" s="3">
        <v>4.5999999999999996</v>
      </c>
      <c r="AE104" s="3">
        <v>2.6</v>
      </c>
      <c r="AF104" s="3">
        <v>-2.2999999999999998</v>
      </c>
      <c r="AG104" s="3">
        <v>0</v>
      </c>
      <c r="AH104" s="3">
        <v>1.4E-2</v>
      </c>
      <c r="AI104" s="3">
        <v>8.0000000000000002E-3</v>
      </c>
      <c r="AJ104" s="3">
        <v>-7.0000000000000001E-3</v>
      </c>
      <c r="AK104" s="3">
        <v>0</v>
      </c>
      <c r="AL104" t="s">
        <v>1426</v>
      </c>
      <c r="AM104" s="3">
        <v>0.08</v>
      </c>
      <c r="AN104" s="3">
        <v>0.41</v>
      </c>
      <c r="AO104" s="3">
        <v>-0.08</v>
      </c>
      <c r="AP104" s="3">
        <v>0</v>
      </c>
      <c r="AY104" s="3">
        <v>0</v>
      </c>
      <c r="AZ104" t="s">
        <v>8141</v>
      </c>
      <c r="BA104" t="s">
        <v>8066</v>
      </c>
      <c r="BB104" s="3">
        <v>3350</v>
      </c>
      <c r="BC104" s="3">
        <v>50</v>
      </c>
      <c r="BD104" s="3">
        <v>-50</v>
      </c>
      <c r="BE104" s="3">
        <v>0</v>
      </c>
      <c r="BJ104" s="3">
        <v>0.33</v>
      </c>
      <c r="BK104" s="3">
        <v>0.02</v>
      </c>
      <c r="BL104" s="3">
        <v>-0.02</v>
      </c>
      <c r="BM104" s="3">
        <v>0</v>
      </c>
      <c r="BN104" s="3">
        <v>-0.55000000000000004</v>
      </c>
      <c r="BO104" s="3">
        <v>0.1</v>
      </c>
      <c r="BP104" s="3">
        <v>-0.1</v>
      </c>
      <c r="BQ104" s="3">
        <v>0</v>
      </c>
      <c r="BR104" t="s">
        <v>7935</v>
      </c>
      <c r="BS104" s="3">
        <v>4.6900000000000004</v>
      </c>
      <c r="BT104" s="3">
        <v>0.1</v>
      </c>
      <c r="BU104" s="3">
        <v>-0.1</v>
      </c>
      <c r="BV104" s="3">
        <v>0</v>
      </c>
      <c r="BW104" t="s">
        <v>7936</v>
      </c>
      <c r="BX104" t="s">
        <v>8131</v>
      </c>
      <c r="BY104" s="3">
        <v>259.75106090000003</v>
      </c>
      <c r="BZ104" t="s">
        <v>8132</v>
      </c>
      <c r="CA104" s="3">
        <v>-34.997765100000002</v>
      </c>
      <c r="CB104" s="3">
        <v>7.2439600000000004</v>
      </c>
      <c r="CC104" s="3">
        <v>4.8599999999999997E-3</v>
      </c>
      <c r="CD104" s="3">
        <v>-4.8500000000000001E-3</v>
      </c>
      <c r="CE104" s="3">
        <v>10.602</v>
      </c>
      <c r="CF104" s="3">
        <v>2.3E-2</v>
      </c>
      <c r="CG104" s="3">
        <v>-2.3E-2</v>
      </c>
      <c r="CH104" s="3">
        <v>6.0359999999999996</v>
      </c>
      <c r="CI104" s="3">
        <v>0.02</v>
      </c>
      <c r="CJ104" s="3">
        <v>-0.02</v>
      </c>
      <c r="CK104" s="3">
        <v>9.3803300000000007</v>
      </c>
      <c r="CL104" s="3">
        <v>7.0899999999999999E-4</v>
      </c>
      <c r="CM104" s="3">
        <v>-7.0899999999999999E-4</v>
      </c>
      <c r="CN104" t="s">
        <v>1433</v>
      </c>
      <c r="CO104" t="s">
        <v>8142</v>
      </c>
      <c r="CP104" t="s">
        <v>1433</v>
      </c>
    </row>
    <row r="105" spans="1:94" x14ac:dyDescent="0.45">
      <c r="A105" t="s">
        <v>346</v>
      </c>
      <c r="B105">
        <v>1</v>
      </c>
      <c r="C105" t="s">
        <v>345</v>
      </c>
      <c r="D105" t="s">
        <v>347</v>
      </c>
      <c r="E105" s="3">
        <v>1</v>
      </c>
      <c r="F105" s="3">
        <v>1</v>
      </c>
      <c r="G105" s="3">
        <v>1</v>
      </c>
      <c r="H105" t="s">
        <v>1427</v>
      </c>
      <c r="I105" s="3">
        <v>2007</v>
      </c>
      <c r="J105" t="s">
        <v>7966</v>
      </c>
      <c r="K105" t="s">
        <v>1429</v>
      </c>
      <c r="L105" s="3">
        <v>0</v>
      </c>
      <c r="M105" t="s">
        <v>8143</v>
      </c>
      <c r="N105" s="3">
        <v>4.6938000000000004</v>
      </c>
      <c r="O105" s="3">
        <v>7.0000000000000001E-3</v>
      </c>
      <c r="P105" s="3">
        <v>-7.0000000000000001E-3</v>
      </c>
      <c r="Q105" s="3">
        <v>0</v>
      </c>
      <c r="R105" s="3">
        <v>3.9E-2</v>
      </c>
      <c r="U105" s="3">
        <v>0</v>
      </c>
      <c r="AD105" s="3">
        <v>11.09</v>
      </c>
      <c r="AG105" s="3">
        <v>0</v>
      </c>
      <c r="AH105" s="3">
        <v>3.5000000000000003E-2</v>
      </c>
      <c r="AK105" s="3">
        <v>0</v>
      </c>
      <c r="AL105" t="s">
        <v>1426</v>
      </c>
      <c r="AM105" s="3">
        <v>0.2</v>
      </c>
      <c r="AN105" s="3">
        <v>0.02</v>
      </c>
      <c r="AO105" s="3">
        <v>-0.02</v>
      </c>
      <c r="AP105" s="3">
        <v>0</v>
      </c>
      <c r="AY105" s="3">
        <v>0</v>
      </c>
      <c r="AZ105" t="s">
        <v>8143</v>
      </c>
      <c r="BA105" t="s">
        <v>798</v>
      </c>
      <c r="BB105" s="3">
        <v>3600</v>
      </c>
      <c r="BC105" s="3">
        <v>100</v>
      </c>
      <c r="BD105" s="3">
        <v>-100</v>
      </c>
      <c r="BE105" s="3">
        <v>0</v>
      </c>
      <c r="BJ105" s="3">
        <v>0.35</v>
      </c>
      <c r="BM105" s="3">
        <v>0</v>
      </c>
      <c r="BN105" s="3">
        <v>-0.28000000000000003</v>
      </c>
      <c r="BQ105" s="3">
        <v>0</v>
      </c>
      <c r="BR105" t="s">
        <v>7935</v>
      </c>
      <c r="BW105" t="s">
        <v>7936</v>
      </c>
      <c r="BX105" t="s">
        <v>8144</v>
      </c>
      <c r="BY105" s="3">
        <v>262.17004759999998</v>
      </c>
      <c r="BZ105" t="s">
        <v>8145</v>
      </c>
      <c r="CA105" s="3">
        <v>-46.898982599999997</v>
      </c>
      <c r="CB105" s="3">
        <v>4.5489600000000001</v>
      </c>
      <c r="CC105" s="3">
        <v>1.0150000000000001E-3</v>
      </c>
      <c r="CD105" s="3">
        <v>-1.0150000000000001E-3</v>
      </c>
      <c r="CE105" s="3">
        <v>9.3800000000000008</v>
      </c>
      <c r="CF105" s="3">
        <v>0.1</v>
      </c>
      <c r="CG105" s="3">
        <v>-0.1</v>
      </c>
      <c r="CH105" s="3">
        <v>4.8550000000000004</v>
      </c>
      <c r="CI105" s="3">
        <v>1.7999999999999999E-2</v>
      </c>
      <c r="CJ105" s="3">
        <v>-1.7999999999999999E-2</v>
      </c>
      <c r="CK105" s="3">
        <v>8.3306299999999993</v>
      </c>
      <c r="CL105" s="3">
        <v>1.2130000000000001E-3</v>
      </c>
      <c r="CM105" s="3">
        <v>-1.2130000000000001E-3</v>
      </c>
      <c r="CN105" t="s">
        <v>1433</v>
      </c>
      <c r="CO105" t="s">
        <v>8146</v>
      </c>
      <c r="CP105" t="s">
        <v>1433</v>
      </c>
    </row>
    <row r="106" spans="1:94" x14ac:dyDescent="0.45">
      <c r="A106" t="s">
        <v>419</v>
      </c>
      <c r="B106">
        <v>1</v>
      </c>
      <c r="C106" t="s">
        <v>1549</v>
      </c>
      <c r="D106" t="s">
        <v>420</v>
      </c>
      <c r="E106" s="3">
        <v>1</v>
      </c>
      <c r="F106" s="3">
        <v>1</v>
      </c>
      <c r="G106" s="3">
        <v>2</v>
      </c>
      <c r="H106" t="s">
        <v>1427</v>
      </c>
      <c r="I106" s="3">
        <v>2014</v>
      </c>
      <c r="J106" t="s">
        <v>7932</v>
      </c>
      <c r="K106" t="s">
        <v>1429</v>
      </c>
      <c r="L106" s="3">
        <v>0</v>
      </c>
      <c r="M106" t="s">
        <v>8004</v>
      </c>
      <c r="N106" s="3">
        <v>17.478000000000002</v>
      </c>
      <c r="O106" s="3">
        <v>6.2E-2</v>
      </c>
      <c r="P106" s="3">
        <v>-0.04</v>
      </c>
      <c r="Q106" s="3">
        <v>0</v>
      </c>
      <c r="R106" s="3">
        <v>0.08</v>
      </c>
      <c r="S106" s="3">
        <v>1.4E-2</v>
      </c>
      <c r="T106" s="3">
        <v>-4.0000000000000001E-3</v>
      </c>
      <c r="U106" s="3">
        <v>0</v>
      </c>
      <c r="AD106" s="3">
        <v>4.4000000000000004</v>
      </c>
      <c r="AE106" s="3">
        <v>3.7</v>
      </c>
      <c r="AF106" s="3">
        <v>-2.4</v>
      </c>
      <c r="AG106" s="3">
        <v>0</v>
      </c>
      <c r="AH106" s="3">
        <v>1.3843879999999999E-2</v>
      </c>
      <c r="AI106" s="3">
        <v>1.1641439999999999E-2</v>
      </c>
      <c r="AJ106" s="3">
        <v>-7.55121E-3</v>
      </c>
      <c r="AK106" s="3">
        <v>0</v>
      </c>
      <c r="AL106" t="s">
        <v>1426</v>
      </c>
      <c r="AM106" s="3">
        <v>0.08</v>
      </c>
      <c r="AN106" s="3">
        <v>0.19</v>
      </c>
      <c r="AO106" s="3">
        <v>-0.08</v>
      </c>
      <c r="AP106" s="3">
        <v>0</v>
      </c>
      <c r="AY106" s="3">
        <v>0</v>
      </c>
      <c r="AZ106" t="s">
        <v>8004</v>
      </c>
      <c r="BA106" t="s">
        <v>8093</v>
      </c>
      <c r="BB106" s="3">
        <v>3028</v>
      </c>
      <c r="BE106" s="3">
        <v>0</v>
      </c>
      <c r="BJ106" s="3">
        <v>0.27</v>
      </c>
      <c r="BM106" s="3">
        <v>0</v>
      </c>
      <c r="BW106" t="s">
        <v>7936</v>
      </c>
      <c r="BX106" t="s">
        <v>8147</v>
      </c>
      <c r="BY106" s="3">
        <v>264.26102450000002</v>
      </c>
      <c r="BZ106" t="s">
        <v>8148</v>
      </c>
      <c r="CA106" s="3">
        <v>-44.323251900000002</v>
      </c>
      <c r="CB106" s="3">
        <v>5.00671</v>
      </c>
      <c r="CC106" s="3">
        <v>2.0999999999999999E-3</v>
      </c>
      <c r="CD106" s="3">
        <v>-2.0999999999999999E-3</v>
      </c>
      <c r="CE106" s="3">
        <v>10.94</v>
      </c>
      <c r="CF106" s="3">
        <v>0.1</v>
      </c>
      <c r="CG106" s="3">
        <v>-0.1</v>
      </c>
      <c r="CH106" s="3">
        <v>5.6059999999999999</v>
      </c>
      <c r="CI106" s="3">
        <v>0.02</v>
      </c>
      <c r="CJ106" s="3">
        <v>-0.02</v>
      </c>
      <c r="CK106" s="3">
        <v>9.5702499999999997</v>
      </c>
      <c r="CL106" s="3">
        <v>1.2210000000000001E-3</v>
      </c>
      <c r="CM106" s="3">
        <v>-1.2210000000000001E-3</v>
      </c>
      <c r="CN106" t="s">
        <v>1552</v>
      </c>
      <c r="CO106" t="s">
        <v>8006</v>
      </c>
      <c r="CP106" t="s">
        <v>7993</v>
      </c>
    </row>
    <row r="107" spans="1:94" x14ac:dyDescent="0.45">
      <c r="A107" t="s">
        <v>419</v>
      </c>
      <c r="B107">
        <v>1</v>
      </c>
      <c r="C107" t="s">
        <v>1553</v>
      </c>
      <c r="D107" t="s">
        <v>420</v>
      </c>
      <c r="E107" s="3">
        <v>1</v>
      </c>
      <c r="F107" s="3">
        <v>1</v>
      </c>
      <c r="G107" s="3">
        <v>2</v>
      </c>
      <c r="H107" t="s">
        <v>1427</v>
      </c>
      <c r="I107" s="3">
        <v>2014</v>
      </c>
      <c r="J107" t="s">
        <v>7932</v>
      </c>
      <c r="K107" t="s">
        <v>1429</v>
      </c>
      <c r="L107" s="3">
        <v>0</v>
      </c>
      <c r="M107" t="s">
        <v>8004</v>
      </c>
      <c r="N107" s="3">
        <v>57.32</v>
      </c>
      <c r="O107" s="3">
        <v>0.45</v>
      </c>
      <c r="P107" s="3">
        <v>-0.48</v>
      </c>
      <c r="Q107" s="3">
        <v>0</v>
      </c>
      <c r="R107" s="3">
        <v>0.17599999999999999</v>
      </c>
      <c r="S107" s="3">
        <v>0.03</v>
      </c>
      <c r="T107" s="3">
        <v>-8.9999999999999993E-3</v>
      </c>
      <c r="U107" s="3">
        <v>0</v>
      </c>
      <c r="AD107" s="3">
        <v>8.6999999999999993</v>
      </c>
      <c r="AE107" s="3">
        <v>5.8</v>
      </c>
      <c r="AF107" s="3">
        <v>-4.5999999999999996</v>
      </c>
      <c r="AG107" s="3">
        <v>0</v>
      </c>
      <c r="AH107" s="3">
        <v>2.7373120000000001E-2</v>
      </c>
      <c r="AI107" s="3">
        <v>1.8248750000000001E-2</v>
      </c>
      <c r="AJ107" s="3">
        <v>-1.4473150000000001E-2</v>
      </c>
      <c r="AK107" s="3">
        <v>0</v>
      </c>
      <c r="AL107" t="s">
        <v>1426</v>
      </c>
      <c r="AM107" s="3">
        <v>0.1</v>
      </c>
      <c r="AN107" s="3">
        <v>0.19</v>
      </c>
      <c r="AO107" s="3">
        <v>-0.1</v>
      </c>
      <c r="AP107" s="3">
        <v>0</v>
      </c>
      <c r="AY107" s="3">
        <v>0</v>
      </c>
      <c r="AZ107" t="s">
        <v>8004</v>
      </c>
      <c r="BA107" t="s">
        <v>8093</v>
      </c>
      <c r="BB107" s="3">
        <v>3028</v>
      </c>
      <c r="BE107" s="3">
        <v>0</v>
      </c>
      <c r="BJ107" s="3">
        <v>0.27</v>
      </c>
      <c r="BM107" s="3">
        <v>0</v>
      </c>
      <c r="BW107" t="s">
        <v>7936</v>
      </c>
      <c r="BX107" t="s">
        <v>8147</v>
      </c>
      <c r="BY107" s="3">
        <v>264.26102450000002</v>
      </c>
      <c r="BZ107" t="s">
        <v>8148</v>
      </c>
      <c r="CA107" s="3">
        <v>-44.323251900000002</v>
      </c>
      <c r="CB107" s="3">
        <v>5.00671</v>
      </c>
      <c r="CC107" s="3">
        <v>2.0999999999999999E-3</v>
      </c>
      <c r="CD107" s="3">
        <v>-2.0999999999999999E-3</v>
      </c>
      <c r="CE107" s="3">
        <v>10.94</v>
      </c>
      <c r="CF107" s="3">
        <v>0.1</v>
      </c>
      <c r="CG107" s="3">
        <v>-0.1</v>
      </c>
      <c r="CH107" s="3">
        <v>5.6059999999999999</v>
      </c>
      <c r="CI107" s="3">
        <v>0.02</v>
      </c>
      <c r="CJ107" s="3">
        <v>-0.02</v>
      </c>
      <c r="CK107" s="3">
        <v>9.5702499999999997</v>
      </c>
      <c r="CL107" s="3">
        <v>1.2210000000000001E-3</v>
      </c>
      <c r="CM107" s="3">
        <v>-1.2210000000000001E-3</v>
      </c>
      <c r="CN107" t="s">
        <v>1552</v>
      </c>
      <c r="CO107" t="s">
        <v>8006</v>
      </c>
      <c r="CP107" t="s">
        <v>7993</v>
      </c>
    </row>
    <row r="108" spans="1:94" x14ac:dyDescent="0.45">
      <c r="A108" t="s">
        <v>339</v>
      </c>
      <c r="B108">
        <v>1</v>
      </c>
      <c r="C108" t="s">
        <v>1554</v>
      </c>
      <c r="D108" t="s">
        <v>340</v>
      </c>
      <c r="E108" s="3">
        <v>1</v>
      </c>
      <c r="F108" s="3">
        <v>1</v>
      </c>
      <c r="G108" s="3">
        <v>2</v>
      </c>
      <c r="H108" t="s">
        <v>1427</v>
      </c>
      <c r="I108" s="3">
        <v>2014</v>
      </c>
      <c r="J108" t="s">
        <v>8149</v>
      </c>
      <c r="K108" t="s">
        <v>1429</v>
      </c>
      <c r="L108" s="3">
        <v>0</v>
      </c>
      <c r="M108" t="s">
        <v>8150</v>
      </c>
      <c r="N108" s="3">
        <v>38.142000000000003</v>
      </c>
      <c r="O108" s="3">
        <v>7.0000000000000001E-3</v>
      </c>
      <c r="P108" s="3">
        <v>-7.0000000000000001E-3</v>
      </c>
      <c r="Q108" s="3">
        <v>0</v>
      </c>
      <c r="R108" s="3">
        <v>0.16300000000000001</v>
      </c>
      <c r="S108" s="3">
        <v>3.0000000000000001E-3</v>
      </c>
      <c r="T108" s="3">
        <v>-3.0000000000000001E-3</v>
      </c>
      <c r="U108" s="3">
        <v>0</v>
      </c>
      <c r="AD108" s="3">
        <v>17.2</v>
      </c>
      <c r="AE108" s="3">
        <v>1</v>
      </c>
      <c r="AF108" s="3">
        <v>-1</v>
      </c>
      <c r="AG108" s="3">
        <v>0</v>
      </c>
      <c r="AH108" s="3">
        <v>5.4116980000000002E-2</v>
      </c>
      <c r="AI108" s="3">
        <v>3.1463400000000001E-3</v>
      </c>
      <c r="AJ108" s="3">
        <v>-3.1463400000000001E-3</v>
      </c>
      <c r="AK108" s="3">
        <v>0</v>
      </c>
      <c r="AL108" t="s">
        <v>1426</v>
      </c>
      <c r="AM108" s="3">
        <v>0.17</v>
      </c>
      <c r="AN108" s="3">
        <v>0.05</v>
      </c>
      <c r="AO108" s="3">
        <v>-0.05</v>
      </c>
      <c r="AP108" s="3">
        <v>0</v>
      </c>
      <c r="AY108" s="3">
        <v>0</v>
      </c>
      <c r="AZ108" t="s">
        <v>8150</v>
      </c>
      <c r="BJ108" s="3">
        <v>0.4</v>
      </c>
      <c r="BK108" s="3">
        <v>0.02</v>
      </c>
      <c r="BL108" s="3">
        <v>-0.02</v>
      </c>
      <c r="BM108" s="3">
        <v>0</v>
      </c>
      <c r="BW108" t="s">
        <v>7936</v>
      </c>
      <c r="BX108" t="s">
        <v>8151</v>
      </c>
      <c r="BY108" s="3">
        <v>264.10417310000003</v>
      </c>
      <c r="BZ108" t="s">
        <v>8152</v>
      </c>
      <c r="CA108" s="3">
        <v>68.333674099999996</v>
      </c>
      <c r="CB108" s="3">
        <v>4.5493899999999998</v>
      </c>
      <c r="CC108" s="3">
        <v>6.8000000000000005E-4</v>
      </c>
      <c r="CD108" s="3">
        <v>-6.8000000000000005E-4</v>
      </c>
      <c r="CE108" s="3">
        <v>9.15</v>
      </c>
      <c r="CF108" s="3">
        <v>0.1</v>
      </c>
      <c r="CG108" s="3">
        <v>-0.1</v>
      </c>
      <c r="CH108" s="3">
        <v>4.548</v>
      </c>
      <c r="CI108" s="3">
        <v>2.1000000000000001E-2</v>
      </c>
      <c r="CJ108" s="3">
        <v>-2.1000000000000001E-2</v>
      </c>
      <c r="CK108" s="3">
        <v>8.0275400000000001</v>
      </c>
      <c r="CL108" s="3">
        <v>8.6200000000000003E-4</v>
      </c>
      <c r="CM108" s="3">
        <v>-8.6200000000000003E-4</v>
      </c>
      <c r="CN108" t="s">
        <v>1556</v>
      </c>
      <c r="CO108" t="s">
        <v>8153</v>
      </c>
      <c r="CP108" t="s">
        <v>8154</v>
      </c>
    </row>
    <row r="109" spans="1:94" x14ac:dyDescent="0.45">
      <c r="A109" t="s">
        <v>339</v>
      </c>
      <c r="B109">
        <v>0</v>
      </c>
      <c r="C109" t="s">
        <v>1554</v>
      </c>
      <c r="D109" t="s">
        <v>340</v>
      </c>
      <c r="E109" s="3">
        <v>0</v>
      </c>
      <c r="F109" s="3">
        <v>1</v>
      </c>
      <c r="G109" s="3">
        <v>2</v>
      </c>
      <c r="H109" t="s">
        <v>1427</v>
      </c>
      <c r="I109" s="3">
        <v>2014</v>
      </c>
      <c r="J109" t="s">
        <v>8149</v>
      </c>
      <c r="K109" t="s">
        <v>1429</v>
      </c>
      <c r="L109" s="3">
        <v>0</v>
      </c>
      <c r="M109" t="s">
        <v>8085</v>
      </c>
      <c r="N109" s="3">
        <v>38.14</v>
      </c>
      <c r="O109" s="3">
        <v>1.4999999999999999E-2</v>
      </c>
      <c r="P109" s="3">
        <v>-1.4999999999999999E-2</v>
      </c>
      <c r="Q109" s="3">
        <v>0</v>
      </c>
      <c r="R109" s="3">
        <v>0.17</v>
      </c>
      <c r="S109" s="3">
        <v>0.01</v>
      </c>
      <c r="T109" s="3">
        <v>-0.01</v>
      </c>
      <c r="U109" s="3">
        <v>0</v>
      </c>
      <c r="AD109" s="3">
        <v>19.069800000000001</v>
      </c>
      <c r="AE109" s="3">
        <v>3.1783000000000001</v>
      </c>
      <c r="AF109" s="3">
        <v>-3.1783000000000001</v>
      </c>
      <c r="AG109" s="3">
        <v>0</v>
      </c>
      <c r="AH109" s="3">
        <v>0.06</v>
      </c>
      <c r="AI109" s="3">
        <v>0.01</v>
      </c>
      <c r="AJ109" s="3">
        <v>-0.01</v>
      </c>
      <c r="AK109" s="3">
        <v>0</v>
      </c>
      <c r="AL109" t="s">
        <v>1426</v>
      </c>
      <c r="AM109" s="3">
        <v>0.04</v>
      </c>
      <c r="AN109" s="3">
        <v>0.08</v>
      </c>
      <c r="AO109" s="3">
        <v>-0.08</v>
      </c>
      <c r="AP109" s="3">
        <v>0</v>
      </c>
      <c r="AY109" s="3">
        <v>0</v>
      </c>
      <c r="AZ109" t="s">
        <v>8085</v>
      </c>
      <c r="BB109" s="3">
        <v>3340</v>
      </c>
      <c r="BC109" s="3">
        <v>97</v>
      </c>
      <c r="BD109" s="3">
        <v>-97</v>
      </c>
      <c r="BE109" s="3">
        <v>0</v>
      </c>
      <c r="BF109" s="3">
        <v>0.43</v>
      </c>
      <c r="BG109" s="3">
        <v>0.03</v>
      </c>
      <c r="BH109" s="3">
        <v>-0.03</v>
      </c>
      <c r="BI109" s="3">
        <v>0</v>
      </c>
      <c r="BJ109" s="3">
        <v>0.45</v>
      </c>
      <c r="BK109" s="3">
        <v>7.0000000000000007E-2</v>
      </c>
      <c r="BL109" s="3">
        <v>-7.0000000000000007E-2</v>
      </c>
      <c r="BM109" s="3">
        <v>0</v>
      </c>
      <c r="BN109" s="3">
        <v>0.15</v>
      </c>
      <c r="BQ109" s="3">
        <v>0</v>
      </c>
      <c r="BR109" t="s">
        <v>7935</v>
      </c>
      <c r="BS109" s="3">
        <v>4.82</v>
      </c>
      <c r="BT109" s="3">
        <v>0.03</v>
      </c>
      <c r="BU109" s="3">
        <v>-0.03</v>
      </c>
      <c r="BV109" s="3">
        <v>0</v>
      </c>
      <c r="BW109" t="s">
        <v>7936</v>
      </c>
      <c r="BX109" t="s">
        <v>8151</v>
      </c>
      <c r="BY109" s="3">
        <v>264.10417310000003</v>
      </c>
      <c r="BZ109" t="s">
        <v>8152</v>
      </c>
      <c r="CA109" s="3">
        <v>68.333674099999996</v>
      </c>
      <c r="CB109" s="3">
        <v>4.5493899999999998</v>
      </c>
      <c r="CC109" s="3">
        <v>6.8000000000000005E-4</v>
      </c>
      <c r="CD109" s="3">
        <v>-6.8000000000000005E-4</v>
      </c>
      <c r="CE109" s="3">
        <v>9.15</v>
      </c>
      <c r="CF109" s="3">
        <v>0.1</v>
      </c>
      <c r="CG109" s="3">
        <v>-0.1</v>
      </c>
      <c r="CH109" s="3">
        <v>4.548</v>
      </c>
      <c r="CI109" s="3">
        <v>2.1000000000000001E-2</v>
      </c>
      <c r="CJ109" s="3">
        <v>-2.1000000000000001E-2</v>
      </c>
      <c r="CK109" s="3">
        <v>8.0275400000000001</v>
      </c>
      <c r="CL109" s="3">
        <v>8.6200000000000003E-4</v>
      </c>
      <c r="CM109" s="3">
        <v>-8.6200000000000003E-4</v>
      </c>
      <c r="CN109" t="s">
        <v>1556</v>
      </c>
      <c r="CO109" t="s">
        <v>8086</v>
      </c>
      <c r="CP109" t="s">
        <v>8087</v>
      </c>
    </row>
    <row r="110" spans="1:94" x14ac:dyDescent="0.45">
      <c r="A110" t="s">
        <v>339</v>
      </c>
      <c r="B110">
        <v>0</v>
      </c>
      <c r="C110" t="s">
        <v>1554</v>
      </c>
      <c r="D110" t="s">
        <v>340</v>
      </c>
      <c r="E110" s="3">
        <v>0</v>
      </c>
      <c r="F110" s="3">
        <v>1</v>
      </c>
      <c r="G110" s="3">
        <v>2</v>
      </c>
      <c r="H110" t="s">
        <v>1427</v>
      </c>
      <c r="I110" s="3">
        <v>2014</v>
      </c>
      <c r="J110" t="s">
        <v>8149</v>
      </c>
      <c r="K110" t="s">
        <v>1429</v>
      </c>
      <c r="L110" s="3">
        <v>0</v>
      </c>
      <c r="M110" t="s">
        <v>8155</v>
      </c>
      <c r="N110" s="3">
        <v>38.14</v>
      </c>
      <c r="O110" s="3">
        <v>1.4999999999999999E-2</v>
      </c>
      <c r="P110" s="3">
        <v>-1.4999999999999999E-2</v>
      </c>
      <c r="Q110" s="3">
        <v>0</v>
      </c>
      <c r="R110" s="3">
        <v>0.16353000000000001</v>
      </c>
      <c r="S110" s="3">
        <v>4.3000000000000002E-5</v>
      </c>
      <c r="T110" s="3">
        <v>-4.3000000000000002E-5</v>
      </c>
      <c r="U110" s="3">
        <v>0</v>
      </c>
      <c r="AD110" s="3">
        <v>18.393999999999998</v>
      </c>
      <c r="AE110" s="3">
        <v>2.1669999999999998</v>
      </c>
      <c r="AF110" s="3">
        <v>-2.1669999999999998</v>
      </c>
      <c r="AG110" s="3">
        <v>0</v>
      </c>
      <c r="AH110" s="3">
        <v>5.8000000000000003E-2</v>
      </c>
      <c r="AI110" s="3">
        <v>7.0000000000000001E-3</v>
      </c>
      <c r="AJ110" s="3">
        <v>-7.0000000000000001E-3</v>
      </c>
      <c r="AK110" s="3">
        <v>0</v>
      </c>
      <c r="AL110" t="s">
        <v>1426</v>
      </c>
      <c r="AM110" s="3">
        <v>0.04</v>
      </c>
      <c r="AN110" s="3">
        <v>7.5999999999999998E-2</v>
      </c>
      <c r="AO110" s="3">
        <v>-7.5999999999999998E-2</v>
      </c>
      <c r="AP110" s="3">
        <v>0</v>
      </c>
      <c r="AY110" s="3">
        <v>0</v>
      </c>
      <c r="AZ110" t="s">
        <v>8155</v>
      </c>
      <c r="BA110" t="s">
        <v>8112</v>
      </c>
      <c r="BB110" s="3">
        <v>3413</v>
      </c>
      <c r="BC110" s="3">
        <v>28</v>
      </c>
      <c r="BD110" s="3">
        <v>-28</v>
      </c>
      <c r="BE110" s="3">
        <v>0</v>
      </c>
      <c r="BF110" s="3">
        <v>0.41830000000000001</v>
      </c>
      <c r="BG110" s="3">
        <v>7.0000000000000001E-3</v>
      </c>
      <c r="BH110" s="3">
        <v>-7.0000000000000001E-3</v>
      </c>
      <c r="BI110" s="3">
        <v>0</v>
      </c>
      <c r="BJ110" s="3">
        <v>0.41299999999999998</v>
      </c>
      <c r="BK110" s="3">
        <v>4.1000000000000002E-2</v>
      </c>
      <c r="BL110" s="3">
        <v>-4.1000000000000002E-2</v>
      </c>
      <c r="BM110" s="3">
        <v>0</v>
      </c>
      <c r="BW110" t="s">
        <v>7936</v>
      </c>
      <c r="BX110" t="s">
        <v>8151</v>
      </c>
      <c r="BY110" s="3">
        <v>264.10417310000003</v>
      </c>
      <c r="BZ110" t="s">
        <v>8152</v>
      </c>
      <c r="CA110" s="3">
        <v>68.333674099999996</v>
      </c>
      <c r="CB110" s="3">
        <v>4.5493899999999998</v>
      </c>
      <c r="CC110" s="3">
        <v>6.8000000000000005E-4</v>
      </c>
      <c r="CD110" s="3">
        <v>-6.8000000000000005E-4</v>
      </c>
      <c r="CE110" s="3">
        <v>9.15</v>
      </c>
      <c r="CF110" s="3">
        <v>0.1</v>
      </c>
      <c r="CG110" s="3">
        <v>-0.1</v>
      </c>
      <c r="CH110" s="3">
        <v>4.548</v>
      </c>
      <c r="CI110" s="3">
        <v>2.1000000000000001E-2</v>
      </c>
      <c r="CJ110" s="3">
        <v>-2.1000000000000001E-2</v>
      </c>
      <c r="CK110" s="3">
        <v>8.0275400000000001</v>
      </c>
      <c r="CL110" s="3">
        <v>8.6200000000000003E-4</v>
      </c>
      <c r="CM110" s="3">
        <v>-8.6200000000000003E-4</v>
      </c>
      <c r="CN110" t="s">
        <v>1556</v>
      </c>
      <c r="CO110" t="s">
        <v>8110</v>
      </c>
      <c r="CP110" t="s">
        <v>8156</v>
      </c>
    </row>
    <row r="111" spans="1:94" x14ac:dyDescent="0.45">
      <c r="A111" t="s">
        <v>339</v>
      </c>
      <c r="B111">
        <v>0</v>
      </c>
      <c r="C111" t="s">
        <v>1554</v>
      </c>
      <c r="D111" t="s">
        <v>340</v>
      </c>
      <c r="E111" s="3">
        <v>0</v>
      </c>
      <c r="F111" s="3">
        <v>1</v>
      </c>
      <c r="G111" s="3">
        <v>2</v>
      </c>
      <c r="H111" t="s">
        <v>1427</v>
      </c>
      <c r="I111" s="3">
        <v>2014</v>
      </c>
      <c r="J111" t="s">
        <v>8149</v>
      </c>
      <c r="K111" t="s">
        <v>1429</v>
      </c>
      <c r="L111" s="3">
        <v>0</v>
      </c>
      <c r="M111" t="s">
        <v>7942</v>
      </c>
      <c r="N111" s="3">
        <v>38.152000000000001</v>
      </c>
      <c r="O111" s="3">
        <v>1.4E-2</v>
      </c>
      <c r="P111" s="3">
        <v>-1.4E-2</v>
      </c>
      <c r="Q111" s="3">
        <v>0</v>
      </c>
      <c r="R111" s="3">
        <v>0.1658</v>
      </c>
      <c r="S111" s="3">
        <v>1.1999999999999999E-3</v>
      </c>
      <c r="T111" s="3">
        <v>-1.1999999999999999E-3</v>
      </c>
      <c r="U111" s="3">
        <v>0</v>
      </c>
      <c r="AD111" s="3">
        <v>17.575910910000001</v>
      </c>
      <c r="AE111" s="3">
        <v>1.4937935099999999</v>
      </c>
      <c r="AF111" s="3">
        <v>-1.4937935099999999</v>
      </c>
      <c r="AG111" s="3">
        <v>0</v>
      </c>
      <c r="AH111" s="3">
        <v>5.5300000000000002E-2</v>
      </c>
      <c r="AI111" s="3">
        <v>4.7000000000000002E-3</v>
      </c>
      <c r="AJ111" s="3">
        <v>-4.7000000000000002E-3</v>
      </c>
      <c r="AK111" s="3">
        <v>0</v>
      </c>
      <c r="AL111" t="s">
        <v>1426</v>
      </c>
      <c r="AM111" s="3">
        <v>0.153</v>
      </c>
      <c r="AN111" s="3">
        <v>7.6999999999999999E-2</v>
      </c>
      <c r="AO111" s="3">
        <v>-0.08</v>
      </c>
      <c r="AP111" s="3">
        <v>0</v>
      </c>
      <c r="AY111" s="3">
        <v>0</v>
      </c>
      <c r="AZ111" t="s">
        <v>7942</v>
      </c>
      <c r="BB111" s="3">
        <v>3561.3</v>
      </c>
      <c r="BC111" s="3">
        <v>41.82</v>
      </c>
      <c r="BD111" s="3">
        <v>-41.82</v>
      </c>
      <c r="BE111" s="3">
        <v>0</v>
      </c>
      <c r="BF111" s="3">
        <v>0.39737099999999997</v>
      </c>
      <c r="BG111" s="3">
        <v>7.927E-3</v>
      </c>
      <c r="BH111" s="3">
        <v>-7.927E-3</v>
      </c>
      <c r="BI111" s="3">
        <v>0</v>
      </c>
      <c r="BJ111" s="3">
        <v>0.41783399999999998</v>
      </c>
      <c r="BK111" s="3">
        <v>9.077E-3</v>
      </c>
      <c r="BL111" s="3">
        <v>-9.077E-3</v>
      </c>
      <c r="BM111" s="3">
        <v>0</v>
      </c>
      <c r="BN111" s="3">
        <v>6.3100000000000003E-2</v>
      </c>
      <c r="BO111" s="3">
        <v>7.7899999999999997E-2</v>
      </c>
      <c r="BP111" s="3">
        <v>-7.7899999999999997E-2</v>
      </c>
      <c r="BQ111" s="3">
        <v>0</v>
      </c>
      <c r="BR111" t="s">
        <v>7935</v>
      </c>
      <c r="BS111" s="3">
        <v>4.8593599999999997</v>
      </c>
      <c r="BT111" s="3">
        <v>9.6369999999999997E-3</v>
      </c>
      <c r="BU111" s="3">
        <v>-9.6369999999999997E-3</v>
      </c>
      <c r="BV111" s="3">
        <v>0</v>
      </c>
      <c r="BW111" t="s">
        <v>7936</v>
      </c>
      <c r="BX111" t="s">
        <v>8151</v>
      </c>
      <c r="BY111" s="3">
        <v>264.10417310000003</v>
      </c>
      <c r="BZ111" t="s">
        <v>8152</v>
      </c>
      <c r="CA111" s="3">
        <v>68.333674099999996</v>
      </c>
      <c r="CB111" s="3">
        <v>4.5493899999999998</v>
      </c>
      <c r="CC111" s="3">
        <v>6.8000000000000005E-4</v>
      </c>
      <c r="CD111" s="3">
        <v>-6.8000000000000005E-4</v>
      </c>
      <c r="CE111" s="3">
        <v>9.15</v>
      </c>
      <c r="CF111" s="3">
        <v>0.1</v>
      </c>
      <c r="CG111" s="3">
        <v>-0.1</v>
      </c>
      <c r="CH111" s="3">
        <v>4.548</v>
      </c>
      <c r="CI111" s="3">
        <v>2.1000000000000001E-2</v>
      </c>
      <c r="CJ111" s="3">
        <v>-2.1000000000000001E-2</v>
      </c>
      <c r="CK111" s="3">
        <v>8.0275400000000001</v>
      </c>
      <c r="CL111" s="3">
        <v>8.6200000000000003E-4</v>
      </c>
      <c r="CM111" s="3">
        <v>-8.6200000000000003E-4</v>
      </c>
      <c r="CN111" t="s">
        <v>7943</v>
      </c>
      <c r="CO111" t="s">
        <v>7944</v>
      </c>
      <c r="CP111" t="s">
        <v>7943</v>
      </c>
    </row>
    <row r="112" spans="1:94" x14ac:dyDescent="0.45">
      <c r="A112" t="s">
        <v>339</v>
      </c>
      <c r="B112">
        <v>1</v>
      </c>
      <c r="C112" t="s">
        <v>1557</v>
      </c>
      <c r="D112" t="s">
        <v>340</v>
      </c>
      <c r="E112" s="3">
        <v>1</v>
      </c>
      <c r="F112" s="3">
        <v>1</v>
      </c>
      <c r="G112" s="3">
        <v>2</v>
      </c>
      <c r="H112" t="s">
        <v>1427</v>
      </c>
      <c r="I112" s="3">
        <v>2020</v>
      </c>
      <c r="J112" t="s">
        <v>7932</v>
      </c>
      <c r="K112" t="s">
        <v>1429</v>
      </c>
      <c r="L112" s="3">
        <v>0</v>
      </c>
      <c r="M112" t="s">
        <v>8150</v>
      </c>
      <c r="N112" s="3">
        <v>727.56200000000001</v>
      </c>
      <c r="O112" s="3">
        <v>12.198</v>
      </c>
      <c r="P112" s="3">
        <v>-12.198</v>
      </c>
      <c r="Q112" s="3">
        <v>0</v>
      </c>
      <c r="R112" s="3">
        <v>1.165</v>
      </c>
      <c r="S112" s="3">
        <v>2.3E-2</v>
      </c>
      <c r="T112" s="3">
        <v>-2.3E-2</v>
      </c>
      <c r="U112" s="3">
        <v>0</v>
      </c>
      <c r="AD112" s="3">
        <v>16</v>
      </c>
      <c r="AE112" s="3">
        <v>4.0999999999999996</v>
      </c>
      <c r="AF112" s="3">
        <v>-4.0999999999999996</v>
      </c>
      <c r="AG112" s="3">
        <v>0</v>
      </c>
      <c r="AH112" s="3">
        <v>5.0341379999999998E-2</v>
      </c>
      <c r="AI112" s="3">
        <v>1.289998E-2</v>
      </c>
      <c r="AJ112" s="3">
        <v>-1.289998E-2</v>
      </c>
      <c r="AK112" s="3">
        <v>0</v>
      </c>
      <c r="AL112" t="s">
        <v>1426</v>
      </c>
      <c r="AM112" s="3">
        <v>0.4</v>
      </c>
      <c r="AN112" s="3">
        <v>0.22</v>
      </c>
      <c r="AO112" s="3">
        <v>-0.22</v>
      </c>
      <c r="AP112" s="3">
        <v>0</v>
      </c>
      <c r="AY112" s="3">
        <v>0</v>
      </c>
      <c r="AZ112" t="s">
        <v>8150</v>
      </c>
      <c r="BJ112" s="3">
        <v>0.4</v>
      </c>
      <c r="BK112" s="3">
        <v>0.02</v>
      </c>
      <c r="BL112" s="3">
        <v>-0.02</v>
      </c>
      <c r="BM112" s="3">
        <v>0</v>
      </c>
      <c r="BW112" t="s">
        <v>7936</v>
      </c>
      <c r="BX112" t="s">
        <v>8151</v>
      </c>
      <c r="BY112" s="3">
        <v>264.10417310000003</v>
      </c>
      <c r="BZ112" t="s">
        <v>8152</v>
      </c>
      <c r="CA112" s="3">
        <v>68.333674099999996</v>
      </c>
      <c r="CB112" s="3">
        <v>4.5493899999999998</v>
      </c>
      <c r="CC112" s="3">
        <v>6.8000000000000005E-4</v>
      </c>
      <c r="CD112" s="3">
        <v>-6.8000000000000005E-4</v>
      </c>
      <c r="CE112" s="3">
        <v>9.15</v>
      </c>
      <c r="CF112" s="3">
        <v>0.1</v>
      </c>
      <c r="CG112" s="3">
        <v>-0.1</v>
      </c>
      <c r="CH112" s="3">
        <v>4.548</v>
      </c>
      <c r="CI112" s="3">
        <v>2.1000000000000001E-2</v>
      </c>
      <c r="CJ112" s="3">
        <v>-2.1000000000000001E-2</v>
      </c>
      <c r="CK112" s="3">
        <v>8.0275400000000001</v>
      </c>
      <c r="CL112" s="3">
        <v>8.6200000000000003E-4</v>
      </c>
      <c r="CM112" s="3">
        <v>-8.6200000000000003E-4</v>
      </c>
      <c r="CN112" t="s">
        <v>1556</v>
      </c>
      <c r="CO112" t="s">
        <v>8153</v>
      </c>
      <c r="CP112" t="s">
        <v>8154</v>
      </c>
    </row>
    <row r="113" spans="1:94" x14ac:dyDescent="0.45">
      <c r="A113" t="s">
        <v>391</v>
      </c>
      <c r="B113">
        <v>0</v>
      </c>
      <c r="C113" t="s">
        <v>390</v>
      </c>
      <c r="D113" t="s">
        <v>392</v>
      </c>
      <c r="E113" s="3">
        <v>0</v>
      </c>
      <c r="F113" s="3">
        <v>1</v>
      </c>
      <c r="G113" s="3">
        <v>1</v>
      </c>
      <c r="H113" t="s">
        <v>1427</v>
      </c>
      <c r="I113" s="3">
        <v>2008</v>
      </c>
      <c r="J113" t="s">
        <v>8157</v>
      </c>
      <c r="K113" t="s">
        <v>1429</v>
      </c>
      <c r="L113" s="3">
        <v>0</v>
      </c>
      <c r="M113" t="s">
        <v>8158</v>
      </c>
      <c r="N113" s="3">
        <v>3657</v>
      </c>
      <c r="O113" s="3">
        <v>104</v>
      </c>
      <c r="P113" s="3">
        <v>-104</v>
      </c>
      <c r="Q113" s="3">
        <v>0</v>
      </c>
      <c r="R113" s="3">
        <v>3.56</v>
      </c>
      <c r="S113" s="3">
        <v>0.28000000000000003</v>
      </c>
      <c r="T113" s="3">
        <v>-0.28000000000000003</v>
      </c>
      <c r="U113" s="3">
        <v>0</v>
      </c>
      <c r="AD113" s="3">
        <v>216</v>
      </c>
      <c r="AE113" s="3">
        <v>29</v>
      </c>
      <c r="AF113" s="3">
        <v>-28</v>
      </c>
      <c r="AG113" s="3">
        <v>0</v>
      </c>
      <c r="AH113" s="3">
        <v>0.68</v>
      </c>
      <c r="AI113" s="3">
        <v>0.09</v>
      </c>
      <c r="AJ113" s="3">
        <v>-0.09</v>
      </c>
      <c r="AK113" s="3">
        <v>0</v>
      </c>
      <c r="AL113" t="s">
        <v>1426</v>
      </c>
      <c r="AM113" s="3">
        <v>0.08</v>
      </c>
      <c r="AN113" s="3">
        <v>0.02</v>
      </c>
      <c r="AO113" s="3">
        <v>-0.06</v>
      </c>
      <c r="AP113" s="3">
        <v>0</v>
      </c>
      <c r="AY113" s="3">
        <v>0</v>
      </c>
      <c r="AZ113" t="s">
        <v>8158</v>
      </c>
      <c r="BB113" s="3">
        <v>3472</v>
      </c>
      <c r="BE113" s="3">
        <v>0</v>
      </c>
      <c r="BJ113" s="3">
        <v>0.45</v>
      </c>
      <c r="BK113" s="3">
        <v>0.05</v>
      </c>
      <c r="BL113" s="3">
        <v>-0.05</v>
      </c>
      <c r="BM113" s="3">
        <v>0</v>
      </c>
      <c r="BN113" s="3">
        <v>-0.3</v>
      </c>
      <c r="BO113" s="3">
        <v>0.2</v>
      </c>
      <c r="BP113" s="3">
        <v>-0.2</v>
      </c>
      <c r="BQ113" s="3">
        <v>0</v>
      </c>
      <c r="BR113" t="s">
        <v>7935</v>
      </c>
      <c r="BS113" s="3">
        <v>4.7</v>
      </c>
      <c r="BV113" s="3">
        <v>0</v>
      </c>
      <c r="BW113" t="s">
        <v>7936</v>
      </c>
      <c r="BX113" t="s">
        <v>8159</v>
      </c>
      <c r="BY113" s="3">
        <v>323.39126160000001</v>
      </c>
      <c r="BZ113" t="s">
        <v>8160</v>
      </c>
      <c r="CA113" s="3">
        <v>-49.012516900000001</v>
      </c>
      <c r="CB113" s="3">
        <v>4.9643499999999996</v>
      </c>
      <c r="CC113" s="3">
        <v>1.065E-3</v>
      </c>
      <c r="CD113" s="3">
        <v>-1.065E-3</v>
      </c>
      <c r="CE113" s="3">
        <v>8.66</v>
      </c>
      <c r="CF113" s="3">
        <v>0.1</v>
      </c>
      <c r="CG113" s="3">
        <v>-0.1</v>
      </c>
      <c r="CH113" s="3">
        <v>4.5010000000000003</v>
      </c>
      <c r="CI113" s="3">
        <v>1.7999999999999999E-2</v>
      </c>
      <c r="CJ113" s="3">
        <v>-1.7999999999999999E-2</v>
      </c>
      <c r="CK113" s="3">
        <v>7.7376100000000001</v>
      </c>
      <c r="CL113" s="3">
        <v>7.0200000000000004E-4</v>
      </c>
      <c r="CM113" s="3">
        <v>-7.0200000000000004E-4</v>
      </c>
      <c r="CN113" t="s">
        <v>8161</v>
      </c>
      <c r="CO113" t="s">
        <v>8162</v>
      </c>
      <c r="CP113" t="s">
        <v>8161</v>
      </c>
    </row>
    <row r="114" spans="1:94" x14ac:dyDescent="0.45">
      <c r="A114" t="s">
        <v>391</v>
      </c>
      <c r="B114">
        <v>1</v>
      </c>
      <c r="C114" t="s">
        <v>390</v>
      </c>
      <c r="D114" t="s">
        <v>392</v>
      </c>
      <c r="E114" s="3">
        <v>1</v>
      </c>
      <c r="F114" s="3">
        <v>1</v>
      </c>
      <c r="G114" s="3">
        <v>1</v>
      </c>
      <c r="H114" t="s">
        <v>1427</v>
      </c>
      <c r="I114" s="3">
        <v>2008</v>
      </c>
      <c r="J114" t="s">
        <v>8157</v>
      </c>
      <c r="K114" t="s">
        <v>1429</v>
      </c>
      <c r="L114" s="3">
        <v>0</v>
      </c>
      <c r="M114" t="s">
        <v>8163</v>
      </c>
      <c r="N114" s="3">
        <v>3853</v>
      </c>
      <c r="O114" s="3">
        <v>51</v>
      </c>
      <c r="P114" s="3">
        <v>-47</v>
      </c>
      <c r="Q114" s="3">
        <v>0</v>
      </c>
      <c r="R114" s="3">
        <v>3.7</v>
      </c>
      <c r="S114" s="3">
        <v>0.1</v>
      </c>
      <c r="T114" s="3">
        <v>-0.1</v>
      </c>
      <c r="U114" s="3">
        <v>0</v>
      </c>
      <c r="AD114" s="3">
        <v>314.65012293000001</v>
      </c>
      <c r="AE114" s="3">
        <v>28.604556630000001</v>
      </c>
      <c r="AF114" s="3">
        <v>-25.426272560000001</v>
      </c>
      <c r="AG114" s="3">
        <v>0</v>
      </c>
      <c r="AH114" s="3">
        <v>0.99</v>
      </c>
      <c r="AI114" s="3">
        <v>0.09</v>
      </c>
      <c r="AJ114" s="3">
        <v>-0.08</v>
      </c>
      <c r="AK114" s="3">
        <v>0</v>
      </c>
      <c r="AL114" t="s">
        <v>1453</v>
      </c>
      <c r="AM114" s="3">
        <v>0.05</v>
      </c>
      <c r="AN114" s="3">
        <v>0.03</v>
      </c>
      <c r="AO114" s="3">
        <v>-0.03</v>
      </c>
      <c r="AP114" s="3">
        <v>0</v>
      </c>
      <c r="AY114" s="3">
        <v>0</v>
      </c>
      <c r="AZ114" t="s">
        <v>8163</v>
      </c>
      <c r="BA114" t="s">
        <v>8164</v>
      </c>
      <c r="BJ114" s="3">
        <v>0.45</v>
      </c>
      <c r="BK114" s="3">
        <v>0.01</v>
      </c>
      <c r="BL114" s="3">
        <v>-0.01</v>
      </c>
      <c r="BM114" s="3">
        <v>0</v>
      </c>
      <c r="BW114" t="s">
        <v>7936</v>
      </c>
      <c r="BX114" t="s">
        <v>8159</v>
      </c>
      <c r="BY114" s="3">
        <v>323.39126160000001</v>
      </c>
      <c r="BZ114" t="s">
        <v>8160</v>
      </c>
      <c r="CA114" s="3">
        <v>-49.012516900000001</v>
      </c>
      <c r="CB114" s="3">
        <v>4.9643499999999996</v>
      </c>
      <c r="CC114" s="3">
        <v>1.065E-3</v>
      </c>
      <c r="CD114" s="3">
        <v>-1.065E-3</v>
      </c>
      <c r="CE114" s="3">
        <v>8.66</v>
      </c>
      <c r="CF114" s="3">
        <v>0.1</v>
      </c>
      <c r="CG114" s="3">
        <v>-0.1</v>
      </c>
      <c r="CH114" s="3">
        <v>4.5010000000000003</v>
      </c>
      <c r="CI114" s="3">
        <v>1.7999999999999999E-2</v>
      </c>
      <c r="CJ114" s="3">
        <v>-1.7999999999999999E-2</v>
      </c>
      <c r="CK114" s="3">
        <v>7.7376100000000001</v>
      </c>
      <c r="CL114" s="3">
        <v>7.0200000000000004E-4</v>
      </c>
      <c r="CM114" s="3">
        <v>-7.0200000000000004E-4</v>
      </c>
      <c r="CN114" t="s">
        <v>1560</v>
      </c>
      <c r="CO114" t="s">
        <v>8165</v>
      </c>
      <c r="CP114" t="s">
        <v>1560</v>
      </c>
    </row>
    <row r="115" spans="1:94" x14ac:dyDescent="0.45">
      <c r="A115" t="s">
        <v>391</v>
      </c>
      <c r="B115">
        <v>0</v>
      </c>
      <c r="C115" t="s">
        <v>390</v>
      </c>
      <c r="D115" t="s">
        <v>392</v>
      </c>
      <c r="E115" s="3">
        <v>0</v>
      </c>
      <c r="F115" s="3">
        <v>1</v>
      </c>
      <c r="G115" s="3">
        <v>1</v>
      </c>
      <c r="H115" t="s">
        <v>1427</v>
      </c>
      <c r="I115" s="3">
        <v>2008</v>
      </c>
      <c r="J115" t="s">
        <v>8157</v>
      </c>
      <c r="K115" t="s">
        <v>1429</v>
      </c>
      <c r="L115" s="3">
        <v>0</v>
      </c>
      <c r="M115" t="s">
        <v>8166</v>
      </c>
      <c r="N115" s="3">
        <v>3610</v>
      </c>
      <c r="O115" s="3">
        <v>120</v>
      </c>
      <c r="P115" s="3">
        <v>-120</v>
      </c>
      <c r="Q115" s="3">
        <v>0</v>
      </c>
      <c r="R115" s="3">
        <v>3.53</v>
      </c>
      <c r="S115" s="3">
        <v>0.15</v>
      </c>
      <c r="T115" s="3">
        <v>-0.16</v>
      </c>
      <c r="U115" s="3">
        <v>0</v>
      </c>
      <c r="AD115" s="3">
        <v>254.26272560000001</v>
      </c>
      <c r="AE115" s="3">
        <v>38.139408840000002</v>
      </c>
      <c r="AF115" s="3">
        <v>-34.961124769999998</v>
      </c>
      <c r="AG115" s="3">
        <v>0</v>
      </c>
      <c r="AH115" s="3">
        <v>0.8</v>
      </c>
      <c r="AI115" s="3">
        <v>0.12</v>
      </c>
      <c r="AJ115" s="3">
        <v>-0.11</v>
      </c>
      <c r="AK115" s="3">
        <v>0</v>
      </c>
      <c r="AL115" t="s">
        <v>1453</v>
      </c>
      <c r="AM115" s="3">
        <v>6.9000000000000006E-2</v>
      </c>
      <c r="AN115" s="3">
        <v>2.5999999999999999E-2</v>
      </c>
      <c r="AO115" s="3">
        <v>-2.7E-2</v>
      </c>
      <c r="AP115" s="3">
        <v>0</v>
      </c>
      <c r="AY115" s="3">
        <v>0</v>
      </c>
      <c r="AZ115" t="s">
        <v>8166</v>
      </c>
      <c r="BA115" t="s">
        <v>8167</v>
      </c>
      <c r="BB115" s="3">
        <v>3472</v>
      </c>
      <c r="BE115" s="3">
        <v>0</v>
      </c>
      <c r="BJ115" s="3">
        <v>0.45</v>
      </c>
      <c r="BK115" s="3">
        <v>0.05</v>
      </c>
      <c r="BL115" s="3">
        <v>-0.05</v>
      </c>
      <c r="BM115" s="3">
        <v>0</v>
      </c>
      <c r="BN115" s="3">
        <v>-0.3</v>
      </c>
      <c r="BQ115" s="3">
        <v>0</v>
      </c>
      <c r="BR115" t="s">
        <v>7935</v>
      </c>
      <c r="BS115" s="3">
        <v>4.7</v>
      </c>
      <c r="BV115" s="3">
        <v>0</v>
      </c>
      <c r="BW115" t="s">
        <v>7936</v>
      </c>
      <c r="BX115" t="s">
        <v>8159</v>
      </c>
      <c r="BY115" s="3">
        <v>323.39126160000001</v>
      </c>
      <c r="BZ115" t="s">
        <v>8160</v>
      </c>
      <c r="CA115" s="3">
        <v>-49.012516900000001</v>
      </c>
      <c r="CB115" s="3">
        <v>4.9643499999999996</v>
      </c>
      <c r="CC115" s="3">
        <v>1.065E-3</v>
      </c>
      <c r="CD115" s="3">
        <v>-1.065E-3</v>
      </c>
      <c r="CE115" s="3">
        <v>8.66</v>
      </c>
      <c r="CF115" s="3">
        <v>0.1</v>
      </c>
      <c r="CG115" s="3">
        <v>-0.1</v>
      </c>
      <c r="CH115" s="3">
        <v>4.5010000000000003</v>
      </c>
      <c r="CI115" s="3">
        <v>1.7999999999999999E-2</v>
      </c>
      <c r="CJ115" s="3">
        <v>-1.7999999999999999E-2</v>
      </c>
      <c r="CK115" s="3">
        <v>7.7376100000000001</v>
      </c>
      <c r="CL115" s="3">
        <v>7.0200000000000004E-4</v>
      </c>
      <c r="CM115" s="3">
        <v>-7.0200000000000004E-4</v>
      </c>
      <c r="CN115" t="s">
        <v>8168</v>
      </c>
      <c r="CO115" t="s">
        <v>8169</v>
      </c>
      <c r="CP115" t="s">
        <v>8168</v>
      </c>
    </row>
    <row r="116" spans="1:94" x14ac:dyDescent="0.45">
      <c r="A116" t="s">
        <v>391</v>
      </c>
      <c r="B116">
        <v>0</v>
      </c>
      <c r="C116" t="s">
        <v>390</v>
      </c>
      <c r="D116" t="s">
        <v>392</v>
      </c>
      <c r="E116" s="3">
        <v>0</v>
      </c>
      <c r="F116" s="3">
        <v>1</v>
      </c>
      <c r="G116" s="3">
        <v>1</v>
      </c>
      <c r="H116" t="s">
        <v>1427</v>
      </c>
      <c r="I116" s="3">
        <v>2008</v>
      </c>
      <c r="J116" t="s">
        <v>8157</v>
      </c>
      <c r="K116" t="s">
        <v>1429</v>
      </c>
      <c r="L116" s="3">
        <v>0</v>
      </c>
      <c r="M116" t="s">
        <v>8170</v>
      </c>
      <c r="N116" s="3">
        <v>3416</v>
      </c>
      <c r="O116" s="3">
        <v>131</v>
      </c>
      <c r="P116" s="3">
        <v>-131</v>
      </c>
      <c r="Q116" s="3">
        <v>0</v>
      </c>
      <c r="R116" s="3">
        <v>3.4</v>
      </c>
      <c r="S116" s="3">
        <v>0.4</v>
      </c>
      <c r="T116" s="3">
        <v>-0.4</v>
      </c>
      <c r="U116" s="3">
        <v>0</v>
      </c>
      <c r="AD116" s="3">
        <v>203.4</v>
      </c>
      <c r="AE116" s="3">
        <v>12.71</v>
      </c>
      <c r="AF116" s="3">
        <v>-12.71</v>
      </c>
      <c r="AG116" s="3">
        <v>0</v>
      </c>
      <c r="AH116" s="3">
        <v>0.64</v>
      </c>
      <c r="AI116" s="3">
        <v>0.06</v>
      </c>
      <c r="AJ116" s="3">
        <v>-0.06</v>
      </c>
      <c r="AK116" s="3">
        <v>0</v>
      </c>
      <c r="AL116" t="s">
        <v>1426</v>
      </c>
      <c r="AM116" s="3">
        <v>0.12</v>
      </c>
      <c r="AN116" s="3">
        <v>0.11</v>
      </c>
      <c r="AO116" s="3">
        <v>-0.11</v>
      </c>
      <c r="AP116" s="3">
        <v>0</v>
      </c>
      <c r="AY116" s="3">
        <v>0</v>
      </c>
      <c r="AZ116" t="s">
        <v>8170</v>
      </c>
      <c r="BA116" t="s">
        <v>8081</v>
      </c>
      <c r="BB116" s="3">
        <v>3657</v>
      </c>
      <c r="BE116" s="3">
        <v>0</v>
      </c>
      <c r="BF116" s="3">
        <v>0.48</v>
      </c>
      <c r="BI116" s="3">
        <v>0</v>
      </c>
      <c r="BJ116" s="3">
        <v>0.45</v>
      </c>
      <c r="BK116" s="3">
        <v>0.05</v>
      </c>
      <c r="BL116" s="3">
        <v>-0.05</v>
      </c>
      <c r="BM116" s="3">
        <v>0</v>
      </c>
      <c r="BN116" s="3">
        <v>-0.7</v>
      </c>
      <c r="BQ116" s="3">
        <v>0</v>
      </c>
      <c r="BR116" t="s">
        <v>7935</v>
      </c>
      <c r="BS116" s="3">
        <v>4.7</v>
      </c>
      <c r="BV116" s="3">
        <v>0</v>
      </c>
      <c r="BW116" t="s">
        <v>7936</v>
      </c>
      <c r="BX116" t="s">
        <v>8159</v>
      </c>
      <c r="BY116" s="3">
        <v>323.39126160000001</v>
      </c>
      <c r="BZ116" t="s">
        <v>8160</v>
      </c>
      <c r="CA116" s="3">
        <v>-49.012516900000001</v>
      </c>
      <c r="CB116" s="3">
        <v>4.9643499999999996</v>
      </c>
      <c r="CC116" s="3">
        <v>1.065E-3</v>
      </c>
      <c r="CD116" s="3">
        <v>-1.065E-3</v>
      </c>
      <c r="CE116" s="3">
        <v>8.66</v>
      </c>
      <c r="CF116" s="3">
        <v>0.1</v>
      </c>
      <c r="CG116" s="3">
        <v>-0.1</v>
      </c>
      <c r="CH116" s="3">
        <v>4.5010000000000003</v>
      </c>
      <c r="CI116" s="3">
        <v>1.7999999999999999E-2</v>
      </c>
      <c r="CJ116" s="3">
        <v>-1.7999999999999999E-2</v>
      </c>
      <c r="CK116" s="3">
        <v>7.7376100000000001</v>
      </c>
      <c r="CL116" s="3">
        <v>7.0200000000000004E-4</v>
      </c>
      <c r="CM116" s="3">
        <v>-7.0200000000000004E-4</v>
      </c>
      <c r="CN116" t="s">
        <v>1433</v>
      </c>
      <c r="CO116" t="s">
        <v>8171</v>
      </c>
      <c r="CP116" t="s">
        <v>1433</v>
      </c>
    </row>
    <row r="117" spans="1:94" x14ac:dyDescent="0.45">
      <c r="A117" t="s">
        <v>391</v>
      </c>
      <c r="B117">
        <v>0</v>
      </c>
      <c r="C117" t="s">
        <v>390</v>
      </c>
      <c r="D117" t="s">
        <v>392</v>
      </c>
      <c r="E117" s="3">
        <v>0</v>
      </c>
      <c r="F117" s="3">
        <v>1</v>
      </c>
      <c r="G117" s="3">
        <v>1</v>
      </c>
      <c r="H117" t="s">
        <v>1427</v>
      </c>
      <c r="I117" s="3">
        <v>2008</v>
      </c>
      <c r="J117" t="s">
        <v>8157</v>
      </c>
      <c r="K117" t="s">
        <v>1429</v>
      </c>
      <c r="L117" s="3">
        <v>0</v>
      </c>
      <c r="M117" t="s">
        <v>8172</v>
      </c>
      <c r="N117" s="3">
        <v>3795</v>
      </c>
      <c r="O117" s="3">
        <v>106</v>
      </c>
      <c r="P117" s="3">
        <v>-80</v>
      </c>
      <c r="Q117" s="3">
        <v>0</v>
      </c>
      <c r="R117" s="3">
        <v>3.6509999999999998</v>
      </c>
      <c r="S117" s="3">
        <v>7.0999999999999994E-2</v>
      </c>
      <c r="T117" s="3">
        <v>-5.8999999999999997E-2</v>
      </c>
      <c r="U117" s="3">
        <v>0</v>
      </c>
      <c r="AD117" s="3">
        <v>330.22371486999998</v>
      </c>
      <c r="AE117" s="3">
        <v>13.98444991</v>
      </c>
      <c r="AF117" s="3">
        <v>-13.6666215</v>
      </c>
      <c r="AG117" s="3">
        <v>0</v>
      </c>
      <c r="AH117" s="3">
        <v>1.0389999999999999</v>
      </c>
      <c r="AI117" s="3">
        <v>4.3999999999999997E-2</v>
      </c>
      <c r="AJ117" s="3">
        <v>-4.2999999999999997E-2</v>
      </c>
      <c r="AK117" s="3">
        <v>0</v>
      </c>
      <c r="AL117" t="s">
        <v>1453</v>
      </c>
      <c r="AM117" s="3">
        <v>2.1000000000000001E-2</v>
      </c>
      <c r="AN117" s="3">
        <v>2.7E-2</v>
      </c>
      <c r="AO117" s="3">
        <v>-1.4999999999999999E-2</v>
      </c>
      <c r="AP117" s="3">
        <v>0</v>
      </c>
      <c r="AY117" s="3">
        <v>0</v>
      </c>
      <c r="AZ117" t="s">
        <v>8172</v>
      </c>
      <c r="BJ117" s="3">
        <v>0.4491</v>
      </c>
      <c r="BK117" s="3">
        <v>8.6999999999999994E-3</v>
      </c>
      <c r="BL117" s="3">
        <v>-9.1000000000000004E-3</v>
      </c>
      <c r="BM117" s="3">
        <v>0</v>
      </c>
      <c r="BW117" t="s">
        <v>7936</v>
      </c>
      <c r="BX117" t="s">
        <v>8159</v>
      </c>
      <c r="BY117" s="3">
        <v>323.39126160000001</v>
      </c>
      <c r="BZ117" t="s">
        <v>8160</v>
      </c>
      <c r="CA117" s="3">
        <v>-49.012516900000001</v>
      </c>
      <c r="CB117" s="3">
        <v>4.9643499999999996</v>
      </c>
      <c r="CC117" s="3">
        <v>1.065E-3</v>
      </c>
      <c r="CD117" s="3">
        <v>-1.065E-3</v>
      </c>
      <c r="CE117" s="3">
        <v>8.66</v>
      </c>
      <c r="CF117" s="3">
        <v>0.1</v>
      </c>
      <c r="CG117" s="3">
        <v>-0.1</v>
      </c>
      <c r="CH117" s="3">
        <v>4.5010000000000003</v>
      </c>
      <c r="CI117" s="3">
        <v>1.7999999999999999E-2</v>
      </c>
      <c r="CJ117" s="3">
        <v>-1.7999999999999999E-2</v>
      </c>
      <c r="CK117" s="3">
        <v>7.7376100000000001</v>
      </c>
      <c r="CL117" s="3">
        <v>7.0200000000000004E-4</v>
      </c>
      <c r="CM117" s="3">
        <v>-7.0200000000000004E-4</v>
      </c>
      <c r="CN117" t="s">
        <v>8054</v>
      </c>
      <c r="CO117" t="s">
        <v>8055</v>
      </c>
      <c r="CP117" t="s">
        <v>8054</v>
      </c>
    </row>
    <row r="118" spans="1:94" x14ac:dyDescent="0.45">
      <c r="A118" t="s">
        <v>391</v>
      </c>
      <c r="B118">
        <v>0</v>
      </c>
      <c r="C118" t="s">
        <v>390</v>
      </c>
      <c r="D118" t="s">
        <v>392</v>
      </c>
      <c r="E118" s="3">
        <v>0</v>
      </c>
      <c r="F118" s="3">
        <v>1</v>
      </c>
      <c r="G118" s="3">
        <v>1</v>
      </c>
      <c r="H118" t="s">
        <v>1427</v>
      </c>
      <c r="I118" s="3">
        <v>2008</v>
      </c>
      <c r="J118" t="s">
        <v>8157</v>
      </c>
      <c r="K118" t="s">
        <v>1429</v>
      </c>
      <c r="L118" s="3">
        <v>0</v>
      </c>
      <c r="M118" t="s">
        <v>8138</v>
      </c>
      <c r="N118" s="3">
        <v>3507</v>
      </c>
      <c r="O118" s="3">
        <v>181</v>
      </c>
      <c r="P118" s="3">
        <v>-181</v>
      </c>
      <c r="Q118" s="3">
        <v>0</v>
      </c>
      <c r="R118" s="3">
        <v>3.46</v>
      </c>
      <c r="U118" s="3">
        <v>0</v>
      </c>
      <c r="AD118" s="3">
        <v>197.04599999999999</v>
      </c>
      <c r="AE118" s="3">
        <v>0</v>
      </c>
      <c r="AF118" s="3">
        <v>0</v>
      </c>
      <c r="AG118" s="3">
        <v>0</v>
      </c>
      <c r="AH118" s="3">
        <v>0.62</v>
      </c>
      <c r="AK118" s="3">
        <v>0</v>
      </c>
      <c r="AL118" t="s">
        <v>1426</v>
      </c>
      <c r="AM118" s="3">
        <v>0.08</v>
      </c>
      <c r="AN118" s="3">
        <v>0.05</v>
      </c>
      <c r="AO118" s="3">
        <v>-0.05</v>
      </c>
      <c r="AP118" s="3">
        <v>0</v>
      </c>
      <c r="AY118" s="3">
        <v>0</v>
      </c>
      <c r="AZ118" t="s">
        <v>7936</v>
      </c>
      <c r="BF118" s="3">
        <v>0.44155699999999998</v>
      </c>
      <c r="BG118" s="3">
        <v>1.3069000000000001E-2</v>
      </c>
      <c r="BH118" s="3">
        <v>-1.3069000000000001E-2</v>
      </c>
      <c r="BI118" s="3">
        <v>0</v>
      </c>
      <c r="BJ118" s="3">
        <v>0.43747399999999997</v>
      </c>
      <c r="BK118" s="3">
        <v>2.0230999999999999E-2</v>
      </c>
      <c r="BL118" s="3">
        <v>-2.0230999999999999E-2</v>
      </c>
      <c r="BM118" s="3">
        <v>0</v>
      </c>
      <c r="BS118" s="3">
        <v>4.7890499999999996</v>
      </c>
      <c r="BT118" s="3">
        <v>5.6169999999999996E-3</v>
      </c>
      <c r="BU118" s="3">
        <v>-5.6169999999999996E-3</v>
      </c>
      <c r="BV118" s="3">
        <v>0</v>
      </c>
      <c r="BW118" t="s">
        <v>7936</v>
      </c>
      <c r="BX118" t="s">
        <v>8159</v>
      </c>
      <c r="BY118" s="3">
        <v>323.39126160000001</v>
      </c>
      <c r="BZ118" t="s">
        <v>8160</v>
      </c>
      <c r="CA118" s="3">
        <v>-49.012516900000001</v>
      </c>
      <c r="CB118" s="3">
        <v>4.9643499999999996</v>
      </c>
      <c r="CC118" s="3">
        <v>1.065E-3</v>
      </c>
      <c r="CD118" s="3">
        <v>-1.065E-3</v>
      </c>
      <c r="CE118" s="3">
        <v>8.66</v>
      </c>
      <c r="CF118" s="3">
        <v>0.1</v>
      </c>
      <c r="CG118" s="3">
        <v>-0.1</v>
      </c>
      <c r="CH118" s="3">
        <v>4.5010000000000003</v>
      </c>
      <c r="CI118" s="3">
        <v>1.7999999999999999E-2</v>
      </c>
      <c r="CJ118" s="3">
        <v>-1.7999999999999999E-2</v>
      </c>
      <c r="CK118" s="3">
        <v>7.7376100000000001</v>
      </c>
      <c r="CL118" s="3">
        <v>7.0200000000000004E-4</v>
      </c>
      <c r="CM118" s="3">
        <v>-7.0200000000000004E-4</v>
      </c>
      <c r="CN118" t="s">
        <v>8133</v>
      </c>
      <c r="CO118" t="s">
        <v>8139</v>
      </c>
      <c r="CP118" t="s">
        <v>8133</v>
      </c>
    </row>
    <row r="119" spans="1:94" x14ac:dyDescent="0.45">
      <c r="A119" t="s">
        <v>1360</v>
      </c>
      <c r="B119">
        <v>1</v>
      </c>
      <c r="C119" t="s">
        <v>1561</v>
      </c>
      <c r="D119" t="s">
        <v>1361</v>
      </c>
      <c r="E119" s="3">
        <v>1</v>
      </c>
      <c r="F119" s="3">
        <v>1</v>
      </c>
      <c r="G119" s="3">
        <v>2</v>
      </c>
      <c r="H119" t="s">
        <v>1427</v>
      </c>
      <c r="I119" s="3">
        <v>2006</v>
      </c>
      <c r="J119" t="s">
        <v>7987</v>
      </c>
      <c r="K119" t="s">
        <v>1429</v>
      </c>
      <c r="L119" s="3">
        <v>0</v>
      </c>
      <c r="M119" t="s">
        <v>8173</v>
      </c>
      <c r="N119" s="3">
        <v>1925.31</v>
      </c>
      <c r="O119" s="3">
        <v>6.5</v>
      </c>
      <c r="P119" s="3">
        <v>-6.5</v>
      </c>
      <c r="Q119" s="3">
        <v>0</v>
      </c>
      <c r="R119" s="3">
        <v>2.3199999999999998</v>
      </c>
      <c r="S119" s="3">
        <v>0.11</v>
      </c>
      <c r="T119" s="3">
        <v>-0.13</v>
      </c>
      <c r="U119" s="3">
        <v>0</v>
      </c>
      <c r="AD119" s="3">
        <v>283.82076745000001</v>
      </c>
      <c r="AE119" s="3">
        <v>29.875870259999999</v>
      </c>
      <c r="AF119" s="3">
        <v>-30.82935548</v>
      </c>
      <c r="AG119" s="3">
        <v>0</v>
      </c>
      <c r="AH119" s="3">
        <v>0.89300000000000002</v>
      </c>
      <c r="AI119" s="3">
        <v>9.4E-2</v>
      </c>
      <c r="AJ119" s="3">
        <v>-9.7000000000000003E-2</v>
      </c>
      <c r="AK119" s="3">
        <v>0</v>
      </c>
      <c r="AL119" t="s">
        <v>1426</v>
      </c>
      <c r="AM119" s="3">
        <v>2.9000000000000001E-2</v>
      </c>
      <c r="AN119" s="3">
        <v>1.9E-2</v>
      </c>
      <c r="AO119" s="3">
        <v>-1.9E-2</v>
      </c>
      <c r="AP119" s="3">
        <v>0</v>
      </c>
      <c r="AY119" s="3">
        <v>0</v>
      </c>
      <c r="AZ119" t="s">
        <v>8173</v>
      </c>
      <c r="BA119" t="s">
        <v>638</v>
      </c>
      <c r="BB119" s="3">
        <v>3467</v>
      </c>
      <c r="BC119" s="3">
        <v>68</v>
      </c>
      <c r="BD119" s="3">
        <v>-68</v>
      </c>
      <c r="BE119" s="3">
        <v>0</v>
      </c>
      <c r="BF119" s="3">
        <v>0.45</v>
      </c>
      <c r="BG119" s="3">
        <v>7.0000000000000007E-2</v>
      </c>
      <c r="BH119" s="3">
        <v>-7.0000000000000007E-2</v>
      </c>
      <c r="BI119" s="3">
        <v>0</v>
      </c>
      <c r="BJ119" s="3">
        <v>0.45</v>
      </c>
      <c r="BK119" s="3">
        <v>7.0000000000000007E-2</v>
      </c>
      <c r="BL119" s="3">
        <v>-7.0000000000000007E-2</v>
      </c>
      <c r="BM119" s="3">
        <v>0</v>
      </c>
      <c r="BN119" s="3">
        <v>0.09</v>
      </c>
      <c r="BO119" s="3">
        <v>0.09</v>
      </c>
      <c r="BP119" s="3">
        <v>-0.09</v>
      </c>
      <c r="BQ119" s="3">
        <v>0</v>
      </c>
      <c r="BR119" t="s">
        <v>7935</v>
      </c>
      <c r="BS119" s="3">
        <v>4.8</v>
      </c>
      <c r="BT119" s="3">
        <v>7.0000000000000007E-2</v>
      </c>
      <c r="BU119" s="3">
        <v>-7.0000000000000007E-2</v>
      </c>
      <c r="BV119" s="3">
        <v>0</v>
      </c>
      <c r="BW119" t="s">
        <v>7936</v>
      </c>
      <c r="BX119" t="s">
        <v>8174</v>
      </c>
      <c r="BY119" s="3">
        <v>332.42299379999997</v>
      </c>
      <c r="BZ119" t="s">
        <v>8175</v>
      </c>
      <c r="CA119" s="3">
        <v>-4.6408316999999997</v>
      </c>
      <c r="CB119" s="3">
        <v>8.8005800000000001</v>
      </c>
      <c r="CC119" s="3">
        <v>3.6150000000000002E-3</v>
      </c>
      <c r="CD119" s="3">
        <v>-3.6150000000000002E-3</v>
      </c>
      <c r="CE119" s="3">
        <v>10.41</v>
      </c>
      <c r="CF119" s="3">
        <v>0.1</v>
      </c>
      <c r="CG119" s="3">
        <v>-0.1</v>
      </c>
      <c r="CH119" s="3">
        <v>5.5940000000000003</v>
      </c>
      <c r="CI119" s="3">
        <v>1.7000000000000001E-2</v>
      </c>
      <c r="CJ119" s="3">
        <v>-1.7000000000000001E-2</v>
      </c>
      <c r="CK119" s="3">
        <v>9.2245000000000008</v>
      </c>
      <c r="CL119" s="3">
        <v>6.5099999999999999E-4</v>
      </c>
      <c r="CM119" s="3">
        <v>-6.5099999999999999E-4</v>
      </c>
      <c r="CN119" t="s">
        <v>1564</v>
      </c>
      <c r="CO119" t="s">
        <v>8176</v>
      </c>
      <c r="CP119" t="s">
        <v>1564</v>
      </c>
    </row>
    <row r="120" spans="1:94" x14ac:dyDescent="0.45">
      <c r="A120" t="s">
        <v>1360</v>
      </c>
      <c r="B120">
        <v>0</v>
      </c>
      <c r="C120" t="s">
        <v>1561</v>
      </c>
      <c r="D120" t="s">
        <v>1361</v>
      </c>
      <c r="E120" s="3">
        <v>0</v>
      </c>
      <c r="F120" s="3">
        <v>1</v>
      </c>
      <c r="G120" s="3">
        <v>2</v>
      </c>
      <c r="H120" t="s">
        <v>1427</v>
      </c>
      <c r="I120" s="3">
        <v>2006</v>
      </c>
      <c r="J120" t="s">
        <v>7987</v>
      </c>
      <c r="K120" t="s">
        <v>1429</v>
      </c>
      <c r="L120" s="3">
        <v>0</v>
      </c>
      <c r="M120" t="s">
        <v>8177</v>
      </c>
      <c r="N120" s="3">
        <v>1890</v>
      </c>
      <c r="O120" s="3">
        <v>130</v>
      </c>
      <c r="P120" s="3">
        <v>-130</v>
      </c>
      <c r="Q120" s="3">
        <v>0</v>
      </c>
      <c r="R120" s="3">
        <v>2.35</v>
      </c>
      <c r="U120" s="3">
        <v>0</v>
      </c>
      <c r="AD120" s="3">
        <v>260.61</v>
      </c>
      <c r="AG120" s="3">
        <v>0</v>
      </c>
      <c r="AH120" s="3">
        <v>0.82</v>
      </c>
      <c r="AK120" s="3">
        <v>0</v>
      </c>
      <c r="AL120" t="s">
        <v>1426</v>
      </c>
      <c r="AM120" s="3">
        <v>0.06</v>
      </c>
      <c r="AN120" s="3">
        <v>0.09</v>
      </c>
      <c r="AO120" s="3">
        <v>-0.09</v>
      </c>
      <c r="AP120" s="3">
        <v>0</v>
      </c>
      <c r="AY120" s="3">
        <v>0</v>
      </c>
      <c r="AZ120" t="s">
        <v>8177</v>
      </c>
      <c r="BA120" t="s">
        <v>8093</v>
      </c>
      <c r="BJ120" s="3">
        <v>0.49</v>
      </c>
      <c r="BK120" s="3">
        <v>0.05</v>
      </c>
      <c r="BL120" s="3">
        <v>-0.05</v>
      </c>
      <c r="BM120" s="3">
        <v>0</v>
      </c>
      <c r="BN120" s="3">
        <v>0.16</v>
      </c>
      <c r="BO120" s="3">
        <v>0.2</v>
      </c>
      <c r="BP120" s="3">
        <v>-0.2</v>
      </c>
      <c r="BQ120" s="3">
        <v>0</v>
      </c>
      <c r="BR120" t="s">
        <v>7935</v>
      </c>
      <c r="BW120" t="s">
        <v>7936</v>
      </c>
      <c r="BX120" t="s">
        <v>8174</v>
      </c>
      <c r="BY120" s="3">
        <v>332.42299379999997</v>
      </c>
      <c r="BZ120" t="s">
        <v>8175</v>
      </c>
      <c r="CA120" s="3">
        <v>-4.6408316999999997</v>
      </c>
      <c r="CB120" s="3">
        <v>8.8005800000000001</v>
      </c>
      <c r="CC120" s="3">
        <v>3.6150000000000002E-3</v>
      </c>
      <c r="CD120" s="3">
        <v>-3.6150000000000002E-3</v>
      </c>
      <c r="CE120" s="3">
        <v>10.41</v>
      </c>
      <c r="CF120" s="3">
        <v>0.1</v>
      </c>
      <c r="CG120" s="3">
        <v>-0.1</v>
      </c>
      <c r="CH120" s="3">
        <v>5.5940000000000003</v>
      </c>
      <c r="CI120" s="3">
        <v>1.7000000000000001E-2</v>
      </c>
      <c r="CJ120" s="3">
        <v>-1.7000000000000001E-2</v>
      </c>
      <c r="CK120" s="3">
        <v>9.2245000000000008</v>
      </c>
      <c r="CL120" s="3">
        <v>6.5099999999999999E-4</v>
      </c>
      <c r="CM120" s="3">
        <v>-6.5099999999999999E-4</v>
      </c>
      <c r="CN120" t="s">
        <v>8178</v>
      </c>
      <c r="CO120" t="s">
        <v>8179</v>
      </c>
      <c r="CP120" t="s">
        <v>1570</v>
      </c>
    </row>
    <row r="121" spans="1:94" x14ac:dyDescent="0.45">
      <c r="A121" t="s">
        <v>1360</v>
      </c>
      <c r="B121">
        <v>0</v>
      </c>
      <c r="C121" t="s">
        <v>1561</v>
      </c>
      <c r="D121" t="s">
        <v>1361</v>
      </c>
      <c r="E121" s="3">
        <v>0</v>
      </c>
      <c r="F121" s="3">
        <v>1</v>
      </c>
      <c r="G121" s="3">
        <v>2</v>
      </c>
      <c r="H121" t="s">
        <v>1427</v>
      </c>
      <c r="I121" s="3">
        <v>2006</v>
      </c>
      <c r="J121" t="s">
        <v>7987</v>
      </c>
      <c r="K121" t="s">
        <v>1429</v>
      </c>
      <c r="L121" s="3">
        <v>0</v>
      </c>
      <c r="M121" t="s">
        <v>7942</v>
      </c>
      <c r="N121" s="3">
        <v>1940</v>
      </c>
      <c r="O121" s="3">
        <v>12</v>
      </c>
      <c r="P121" s="3">
        <v>-12</v>
      </c>
      <c r="Q121" s="3">
        <v>0</v>
      </c>
      <c r="R121" s="3">
        <v>2.4089999999999998</v>
      </c>
      <c r="S121" s="3">
        <v>1.7999999999999999E-2</v>
      </c>
      <c r="T121" s="3">
        <v>-1.7000000000000001E-2</v>
      </c>
      <c r="U121" s="3">
        <v>0</v>
      </c>
      <c r="AD121" s="3">
        <v>283.18511064</v>
      </c>
      <c r="AE121" s="3">
        <v>11.441822650000001</v>
      </c>
      <c r="AF121" s="3">
        <v>-11.441822650000001</v>
      </c>
      <c r="AG121" s="3">
        <v>0</v>
      </c>
      <c r="AH121" s="3">
        <v>0.89100000000000001</v>
      </c>
      <c r="AI121" s="3">
        <v>3.5999999999999997E-2</v>
      </c>
      <c r="AJ121" s="3">
        <v>-3.5999999999999997E-2</v>
      </c>
      <c r="AK121" s="3">
        <v>0</v>
      </c>
      <c r="AL121" t="s">
        <v>1426</v>
      </c>
      <c r="AM121" s="3">
        <v>0.05</v>
      </c>
      <c r="AN121" s="3">
        <v>2.9000000000000001E-2</v>
      </c>
      <c r="AO121" s="3">
        <v>-0.03</v>
      </c>
      <c r="AP121" s="3">
        <v>0</v>
      </c>
      <c r="AY121" s="3">
        <v>0</v>
      </c>
      <c r="AZ121" t="s">
        <v>7942</v>
      </c>
      <c r="BB121" s="3">
        <v>3562.68</v>
      </c>
      <c r="BC121" s="3">
        <v>30.5</v>
      </c>
      <c r="BD121" s="3">
        <v>-30.5</v>
      </c>
      <c r="BE121" s="3">
        <v>0</v>
      </c>
      <c r="BF121" s="3">
        <v>0.46845799999999999</v>
      </c>
      <c r="BG121" s="3">
        <v>6.829E-3</v>
      </c>
      <c r="BH121" s="3">
        <v>-6.829E-3</v>
      </c>
      <c r="BI121" s="3">
        <v>0</v>
      </c>
      <c r="BJ121" s="3">
        <v>0.49585899999999999</v>
      </c>
      <c r="BK121" s="3">
        <v>8.8140000000000007E-3</v>
      </c>
      <c r="BL121" s="3">
        <v>-8.8140000000000007E-3</v>
      </c>
      <c r="BM121" s="3">
        <v>0</v>
      </c>
      <c r="BN121" s="3">
        <v>0.39600000000000002</v>
      </c>
      <c r="BO121" s="3">
        <v>6.1600000000000002E-2</v>
      </c>
      <c r="BP121" s="3">
        <v>-6.1600000000000002E-2</v>
      </c>
      <c r="BQ121" s="3">
        <v>0</v>
      </c>
      <c r="BR121" t="s">
        <v>7935</v>
      </c>
      <c r="BS121" s="3">
        <v>4.7906279999999999</v>
      </c>
      <c r="BT121" s="3">
        <v>8.822E-3</v>
      </c>
      <c r="BU121" s="3">
        <v>-8.822E-3</v>
      </c>
      <c r="BV121" s="3">
        <v>0</v>
      </c>
      <c r="BW121" t="s">
        <v>7936</v>
      </c>
      <c r="BX121" t="s">
        <v>8174</v>
      </c>
      <c r="BY121" s="3">
        <v>332.42299379999997</v>
      </c>
      <c r="BZ121" t="s">
        <v>8175</v>
      </c>
      <c r="CA121" s="3">
        <v>-4.6408316999999997</v>
      </c>
      <c r="CB121" s="3">
        <v>8.8005800000000001</v>
      </c>
      <c r="CC121" s="3">
        <v>3.6150000000000002E-3</v>
      </c>
      <c r="CD121" s="3">
        <v>-3.6150000000000002E-3</v>
      </c>
      <c r="CE121" s="3">
        <v>10.41</v>
      </c>
      <c r="CF121" s="3">
        <v>0.1</v>
      </c>
      <c r="CG121" s="3">
        <v>-0.1</v>
      </c>
      <c r="CH121" s="3">
        <v>5.5940000000000003</v>
      </c>
      <c r="CI121" s="3">
        <v>1.7000000000000001E-2</v>
      </c>
      <c r="CJ121" s="3">
        <v>-1.7000000000000001E-2</v>
      </c>
      <c r="CK121" s="3">
        <v>9.2245000000000008</v>
      </c>
      <c r="CL121" s="3">
        <v>6.5099999999999999E-4</v>
      </c>
      <c r="CM121" s="3">
        <v>-6.5099999999999999E-4</v>
      </c>
      <c r="CN121" t="s">
        <v>7943</v>
      </c>
      <c r="CO121" t="s">
        <v>7944</v>
      </c>
      <c r="CP121" t="s">
        <v>7943</v>
      </c>
    </row>
    <row r="122" spans="1:94" x14ac:dyDescent="0.45">
      <c r="A122" t="s">
        <v>1360</v>
      </c>
      <c r="B122">
        <v>0</v>
      </c>
      <c r="C122" t="s">
        <v>1561</v>
      </c>
      <c r="D122" t="s">
        <v>1361</v>
      </c>
      <c r="E122" s="3">
        <v>0</v>
      </c>
      <c r="F122" s="3">
        <v>1</v>
      </c>
      <c r="G122" s="3">
        <v>2</v>
      </c>
      <c r="H122" t="s">
        <v>1427</v>
      </c>
      <c r="I122" s="3">
        <v>2006</v>
      </c>
      <c r="J122" t="s">
        <v>7987</v>
      </c>
      <c r="K122" t="s">
        <v>1429</v>
      </c>
      <c r="L122" s="3">
        <v>0</v>
      </c>
      <c r="M122" t="s">
        <v>8085</v>
      </c>
      <c r="N122" s="3">
        <v>1882</v>
      </c>
      <c r="O122" s="3">
        <v>250</v>
      </c>
      <c r="P122" s="3">
        <v>-250</v>
      </c>
      <c r="Q122" s="3">
        <v>0</v>
      </c>
      <c r="R122" s="3">
        <v>2.35</v>
      </c>
      <c r="S122" s="3">
        <v>0.22</v>
      </c>
      <c r="T122" s="3">
        <v>-0.22</v>
      </c>
      <c r="U122" s="3">
        <v>0</v>
      </c>
      <c r="AD122" s="3">
        <v>317.83</v>
      </c>
      <c r="AE122" s="3">
        <v>98.527299999999997</v>
      </c>
      <c r="AF122" s="3">
        <v>-98.527299999999997</v>
      </c>
      <c r="AG122" s="3">
        <v>0</v>
      </c>
      <c r="AH122" s="3">
        <v>1</v>
      </c>
      <c r="AI122" s="3">
        <v>0.31</v>
      </c>
      <c r="AJ122" s="3">
        <v>-0.31</v>
      </c>
      <c r="AK122" s="3">
        <v>0</v>
      </c>
      <c r="AL122" t="s">
        <v>1426</v>
      </c>
      <c r="AM122" s="3">
        <v>0.04</v>
      </c>
      <c r="AN122" s="3">
        <v>0.02</v>
      </c>
      <c r="AO122" s="3">
        <v>-0.02</v>
      </c>
      <c r="AP122" s="3">
        <v>0</v>
      </c>
      <c r="AY122" s="3">
        <v>0</v>
      </c>
      <c r="AZ122" t="s">
        <v>8085</v>
      </c>
      <c r="BB122" s="3">
        <v>3241</v>
      </c>
      <c r="BC122" s="3">
        <v>150</v>
      </c>
      <c r="BD122" s="3">
        <v>-150</v>
      </c>
      <c r="BE122" s="3">
        <v>0</v>
      </c>
      <c r="BF122" s="3">
        <v>0.53</v>
      </c>
      <c r="BG122" s="3">
        <v>0.05</v>
      </c>
      <c r="BH122" s="3">
        <v>-0.05</v>
      </c>
      <c r="BI122" s="3">
        <v>0</v>
      </c>
      <c r="BJ122" s="3">
        <v>0.65</v>
      </c>
      <c r="BK122" s="3">
        <v>0.24</v>
      </c>
      <c r="BL122" s="3">
        <v>-0.24</v>
      </c>
      <c r="BM122" s="3">
        <v>0</v>
      </c>
      <c r="BN122" s="3">
        <v>0.24</v>
      </c>
      <c r="BQ122" s="3">
        <v>0</v>
      </c>
      <c r="BR122" t="s">
        <v>7935</v>
      </c>
      <c r="BS122" s="3">
        <v>4.8</v>
      </c>
      <c r="BT122" s="3">
        <v>0.14000000000000001</v>
      </c>
      <c r="BU122" s="3">
        <v>-0.14000000000000001</v>
      </c>
      <c r="BV122" s="3">
        <v>0</v>
      </c>
      <c r="BW122" t="s">
        <v>7936</v>
      </c>
      <c r="BX122" t="s">
        <v>8174</v>
      </c>
      <c r="BY122" s="3">
        <v>332.42299379999997</v>
      </c>
      <c r="BZ122" t="s">
        <v>8175</v>
      </c>
      <c r="CA122" s="3">
        <v>-4.6408316999999997</v>
      </c>
      <c r="CB122" s="3">
        <v>8.8005800000000001</v>
      </c>
      <c r="CC122" s="3">
        <v>3.6150000000000002E-3</v>
      </c>
      <c r="CD122" s="3">
        <v>-3.6150000000000002E-3</v>
      </c>
      <c r="CE122" s="3">
        <v>10.41</v>
      </c>
      <c r="CF122" s="3">
        <v>0.1</v>
      </c>
      <c r="CG122" s="3">
        <v>-0.1</v>
      </c>
      <c r="CH122" s="3">
        <v>5.5940000000000003</v>
      </c>
      <c r="CI122" s="3">
        <v>1.7000000000000001E-2</v>
      </c>
      <c r="CJ122" s="3">
        <v>-1.7000000000000001E-2</v>
      </c>
      <c r="CK122" s="3">
        <v>9.2245000000000008</v>
      </c>
      <c r="CL122" s="3">
        <v>6.5099999999999999E-4</v>
      </c>
      <c r="CM122" s="3">
        <v>-6.5099999999999999E-4</v>
      </c>
      <c r="CN122" t="s">
        <v>8180</v>
      </c>
      <c r="CO122" t="s">
        <v>8086</v>
      </c>
      <c r="CP122" t="s">
        <v>8087</v>
      </c>
    </row>
    <row r="123" spans="1:94" x14ac:dyDescent="0.45">
      <c r="A123" t="s">
        <v>1360</v>
      </c>
      <c r="B123">
        <v>0</v>
      </c>
      <c r="C123" t="s">
        <v>1561</v>
      </c>
      <c r="D123" t="s">
        <v>1361</v>
      </c>
      <c r="E123" s="3">
        <v>0</v>
      </c>
      <c r="F123" s="3">
        <v>1</v>
      </c>
      <c r="G123" s="3">
        <v>2</v>
      </c>
      <c r="H123" t="s">
        <v>1427</v>
      </c>
      <c r="I123" s="3">
        <v>2006</v>
      </c>
      <c r="J123" t="s">
        <v>7987</v>
      </c>
      <c r="K123" t="s">
        <v>1429</v>
      </c>
      <c r="L123" s="3">
        <v>0</v>
      </c>
      <c r="M123" t="s">
        <v>8138</v>
      </c>
      <c r="N123" s="3">
        <v>1845</v>
      </c>
      <c r="O123" s="3">
        <v>15</v>
      </c>
      <c r="P123" s="3">
        <v>-15</v>
      </c>
      <c r="Q123" s="3">
        <v>0</v>
      </c>
      <c r="R123" s="3">
        <v>2.3199999999999998</v>
      </c>
      <c r="U123" s="3">
        <v>0</v>
      </c>
      <c r="AD123" s="3">
        <v>289.20999999999998</v>
      </c>
      <c r="AG123" s="3">
        <v>0</v>
      </c>
      <c r="AH123" s="3">
        <v>0.91</v>
      </c>
      <c r="AK123" s="3">
        <v>0</v>
      </c>
      <c r="AL123" t="s">
        <v>1426</v>
      </c>
      <c r="AM123" s="3">
        <v>0.05</v>
      </c>
      <c r="AN123" s="3">
        <v>0.03</v>
      </c>
      <c r="AO123" s="3">
        <v>-0.03</v>
      </c>
      <c r="AP123" s="3">
        <v>0</v>
      </c>
      <c r="AY123" s="3">
        <v>0</v>
      </c>
      <c r="AZ123" t="s">
        <v>8138</v>
      </c>
      <c r="BA123" t="s">
        <v>8112</v>
      </c>
      <c r="BJ123" s="3">
        <v>0.49</v>
      </c>
      <c r="BM123" s="3">
        <v>0</v>
      </c>
      <c r="BW123" t="s">
        <v>7936</v>
      </c>
      <c r="BX123" t="s">
        <v>8174</v>
      </c>
      <c r="BY123" s="3">
        <v>332.42299379999997</v>
      </c>
      <c r="BZ123" t="s">
        <v>8175</v>
      </c>
      <c r="CA123" s="3">
        <v>-4.6408316999999997</v>
      </c>
      <c r="CB123" s="3">
        <v>8.8005800000000001</v>
      </c>
      <c r="CC123" s="3">
        <v>3.6150000000000002E-3</v>
      </c>
      <c r="CD123" s="3">
        <v>-3.6150000000000002E-3</v>
      </c>
      <c r="CE123" s="3">
        <v>10.41</v>
      </c>
      <c r="CF123" s="3">
        <v>0.1</v>
      </c>
      <c r="CG123" s="3">
        <v>-0.1</v>
      </c>
      <c r="CH123" s="3">
        <v>5.5940000000000003</v>
      </c>
      <c r="CI123" s="3">
        <v>1.7000000000000001E-2</v>
      </c>
      <c r="CJ123" s="3">
        <v>-1.7000000000000001E-2</v>
      </c>
      <c r="CK123" s="3">
        <v>9.2245000000000008</v>
      </c>
      <c r="CL123" s="3">
        <v>6.5099999999999999E-4</v>
      </c>
      <c r="CM123" s="3">
        <v>-6.5099999999999999E-4</v>
      </c>
      <c r="CN123" t="s">
        <v>8178</v>
      </c>
      <c r="CO123" t="s">
        <v>8139</v>
      </c>
      <c r="CP123" t="s">
        <v>1570</v>
      </c>
    </row>
    <row r="124" spans="1:94" x14ac:dyDescent="0.45">
      <c r="A124" t="s">
        <v>1360</v>
      </c>
      <c r="B124">
        <v>0</v>
      </c>
      <c r="C124" t="s">
        <v>1561</v>
      </c>
      <c r="D124" t="s">
        <v>1361</v>
      </c>
      <c r="E124" s="3">
        <v>0</v>
      </c>
      <c r="F124" s="3">
        <v>1</v>
      </c>
      <c r="G124" s="3">
        <v>2</v>
      </c>
      <c r="H124" t="s">
        <v>1427</v>
      </c>
      <c r="I124" s="3">
        <v>2006</v>
      </c>
      <c r="J124" t="s">
        <v>7987</v>
      </c>
      <c r="K124" t="s">
        <v>1429</v>
      </c>
      <c r="L124" s="3">
        <v>0</v>
      </c>
      <c r="M124" t="s">
        <v>8181</v>
      </c>
      <c r="N124" s="3">
        <v>1915</v>
      </c>
      <c r="O124" s="3">
        <v>23</v>
      </c>
      <c r="P124" s="3">
        <v>-24</v>
      </c>
      <c r="Q124" s="3">
        <v>0</v>
      </c>
      <c r="AD124" s="3">
        <v>286.04556630000002</v>
      </c>
      <c r="AE124" s="3">
        <v>13.6666215</v>
      </c>
      <c r="AF124" s="3">
        <v>-14.302278319999999</v>
      </c>
      <c r="AG124" s="3">
        <v>0</v>
      </c>
      <c r="AH124" s="3">
        <v>0.9</v>
      </c>
      <c r="AI124" s="3">
        <v>4.2999999999999997E-2</v>
      </c>
      <c r="AJ124" s="3">
        <v>-4.4999999999999998E-2</v>
      </c>
      <c r="AK124" s="3">
        <v>0</v>
      </c>
      <c r="AL124" t="s">
        <v>1426</v>
      </c>
      <c r="AY124" s="3">
        <v>0</v>
      </c>
      <c r="AZ124" t="s">
        <v>8181</v>
      </c>
      <c r="BA124" t="s">
        <v>638</v>
      </c>
      <c r="BJ124" s="3">
        <v>0.49</v>
      </c>
      <c r="BK124" s="3">
        <v>4.9000000000000002E-2</v>
      </c>
      <c r="BL124" s="3">
        <v>-4.9000000000000002E-2</v>
      </c>
      <c r="BM124" s="3">
        <v>0</v>
      </c>
      <c r="BN124" s="3">
        <v>0.22</v>
      </c>
      <c r="BO124" s="3">
        <v>0.17</v>
      </c>
      <c r="BP124" s="3">
        <v>-0.17</v>
      </c>
      <c r="BQ124" s="3">
        <v>0</v>
      </c>
      <c r="BR124" t="s">
        <v>7935</v>
      </c>
      <c r="BW124" t="s">
        <v>7936</v>
      </c>
      <c r="BX124" t="s">
        <v>8174</v>
      </c>
      <c r="BY124" s="3">
        <v>332.42299379999997</v>
      </c>
      <c r="BZ124" t="s">
        <v>8175</v>
      </c>
      <c r="CA124" s="3">
        <v>-4.6408316999999997</v>
      </c>
      <c r="CB124" s="3">
        <v>8.8005800000000001</v>
      </c>
      <c r="CC124" s="3">
        <v>3.6150000000000002E-3</v>
      </c>
      <c r="CD124" s="3">
        <v>-3.6150000000000002E-3</v>
      </c>
      <c r="CE124" s="3">
        <v>10.41</v>
      </c>
      <c r="CF124" s="3">
        <v>0.1</v>
      </c>
      <c r="CG124" s="3">
        <v>-0.1</v>
      </c>
      <c r="CH124" s="3">
        <v>5.5940000000000003</v>
      </c>
      <c r="CI124" s="3">
        <v>1.7000000000000001E-2</v>
      </c>
      <c r="CJ124" s="3">
        <v>-1.7000000000000001E-2</v>
      </c>
      <c r="CK124" s="3">
        <v>9.2245000000000008</v>
      </c>
      <c r="CL124" s="3">
        <v>6.5099999999999999E-4</v>
      </c>
      <c r="CM124" s="3">
        <v>-6.5099999999999999E-4</v>
      </c>
      <c r="CN124" t="s">
        <v>8182</v>
      </c>
      <c r="CO124" t="s">
        <v>8183</v>
      </c>
      <c r="CP124" t="s">
        <v>8182</v>
      </c>
    </row>
    <row r="125" spans="1:94" x14ac:dyDescent="0.45">
      <c r="A125" t="s">
        <v>1360</v>
      </c>
      <c r="B125">
        <v>0</v>
      </c>
      <c r="C125" t="s">
        <v>1561</v>
      </c>
      <c r="D125" t="s">
        <v>1361</v>
      </c>
      <c r="E125" s="3">
        <v>0</v>
      </c>
      <c r="F125" s="3">
        <v>1</v>
      </c>
      <c r="G125" s="3">
        <v>2</v>
      </c>
      <c r="H125" t="s">
        <v>1427</v>
      </c>
      <c r="I125" s="3">
        <v>2006</v>
      </c>
      <c r="J125" t="s">
        <v>7987</v>
      </c>
      <c r="K125" t="s">
        <v>1429</v>
      </c>
      <c r="L125" s="3">
        <v>0</v>
      </c>
      <c r="M125" t="s">
        <v>8184</v>
      </c>
      <c r="N125" s="3">
        <v>1924</v>
      </c>
      <c r="O125" s="3">
        <v>15</v>
      </c>
      <c r="P125" s="3">
        <v>-15</v>
      </c>
      <c r="Q125" s="3">
        <v>0</v>
      </c>
      <c r="R125" s="3">
        <v>2.39</v>
      </c>
      <c r="S125" s="3">
        <v>8.2000000000000003E-2</v>
      </c>
      <c r="T125" s="3">
        <v>-8.2000000000000003E-2</v>
      </c>
      <c r="U125" s="3">
        <v>0</v>
      </c>
      <c r="AD125" s="3">
        <v>289.53100000000001</v>
      </c>
      <c r="AE125" s="3">
        <v>11.441000000000001</v>
      </c>
      <c r="AF125" s="3">
        <v>-11.441000000000001</v>
      </c>
      <c r="AG125" s="3">
        <v>0</v>
      </c>
      <c r="AH125" s="3">
        <v>0.91100000000000003</v>
      </c>
      <c r="AI125" s="3">
        <v>3.5999999999999997E-2</v>
      </c>
      <c r="AJ125" s="3">
        <v>-3.5999999999999997E-2</v>
      </c>
      <c r="AK125" s="3">
        <v>0</v>
      </c>
      <c r="AL125" t="s">
        <v>1426</v>
      </c>
      <c r="AM125" s="3">
        <v>3.7999999999999999E-2</v>
      </c>
      <c r="AN125" s="3">
        <v>1.9E-2</v>
      </c>
      <c r="AO125" s="3">
        <v>-1.9E-2</v>
      </c>
      <c r="AP125" s="3">
        <v>0</v>
      </c>
      <c r="AY125" s="3">
        <v>0</v>
      </c>
      <c r="AZ125" t="s">
        <v>7936</v>
      </c>
      <c r="BB125" s="3">
        <v>3407</v>
      </c>
      <c r="BC125" s="3">
        <v>157</v>
      </c>
      <c r="BD125" s="3">
        <v>-157</v>
      </c>
      <c r="BE125" s="3">
        <v>0</v>
      </c>
      <c r="BF125" s="3">
        <v>0.46391199999999999</v>
      </c>
      <c r="BG125" s="3">
        <v>1.3663E-2</v>
      </c>
      <c r="BH125" s="3">
        <v>-1.3663E-2</v>
      </c>
      <c r="BI125" s="3">
        <v>0</v>
      </c>
      <c r="BJ125" s="3">
        <v>0.46128599999999997</v>
      </c>
      <c r="BK125" s="3">
        <v>2.019E-2</v>
      </c>
      <c r="BL125" s="3">
        <v>-2.019E-2</v>
      </c>
      <c r="BM125" s="3">
        <v>0</v>
      </c>
      <c r="BS125" s="3">
        <v>4.7691699999999999</v>
      </c>
      <c r="BT125" s="3">
        <v>6.5690000000000002E-3</v>
      </c>
      <c r="BU125" s="3">
        <v>-6.5690000000000002E-3</v>
      </c>
      <c r="BV125" s="3">
        <v>0</v>
      </c>
      <c r="BW125" t="s">
        <v>7936</v>
      </c>
      <c r="BX125" t="s">
        <v>8174</v>
      </c>
      <c r="BY125" s="3">
        <v>332.42299379999997</v>
      </c>
      <c r="BZ125" t="s">
        <v>8175</v>
      </c>
      <c r="CA125" s="3">
        <v>-4.6408316999999997</v>
      </c>
      <c r="CB125" s="3">
        <v>8.8005800000000001</v>
      </c>
      <c r="CC125" s="3">
        <v>3.6150000000000002E-3</v>
      </c>
      <c r="CD125" s="3">
        <v>-3.6150000000000002E-3</v>
      </c>
      <c r="CE125" s="3">
        <v>10.41</v>
      </c>
      <c r="CF125" s="3">
        <v>0.1</v>
      </c>
      <c r="CG125" s="3">
        <v>-0.1</v>
      </c>
      <c r="CH125" s="3">
        <v>5.5940000000000003</v>
      </c>
      <c r="CI125" s="3">
        <v>1.7000000000000001E-2</v>
      </c>
      <c r="CJ125" s="3">
        <v>-1.7000000000000001E-2</v>
      </c>
      <c r="CK125" s="3">
        <v>9.2245000000000008</v>
      </c>
      <c r="CL125" s="3">
        <v>6.5099999999999999E-4</v>
      </c>
      <c r="CM125" s="3">
        <v>-6.5099999999999999E-4</v>
      </c>
      <c r="CN125" t="s">
        <v>8178</v>
      </c>
      <c r="CO125" t="s">
        <v>8185</v>
      </c>
      <c r="CP125" t="s">
        <v>8186</v>
      </c>
    </row>
    <row r="126" spans="1:94" x14ac:dyDescent="0.45">
      <c r="A126" t="s">
        <v>1360</v>
      </c>
      <c r="B126">
        <v>0</v>
      </c>
      <c r="C126" t="s">
        <v>1565</v>
      </c>
      <c r="D126" t="s">
        <v>1361</v>
      </c>
      <c r="E126" s="3">
        <v>0</v>
      </c>
      <c r="F126" s="3">
        <v>1</v>
      </c>
      <c r="G126" s="3">
        <v>2</v>
      </c>
      <c r="H126" t="s">
        <v>1427</v>
      </c>
      <c r="I126" s="3">
        <v>2014</v>
      </c>
      <c r="J126" t="s">
        <v>7987</v>
      </c>
      <c r="K126" t="s">
        <v>1429</v>
      </c>
      <c r="L126" s="3">
        <v>0</v>
      </c>
      <c r="M126" t="s">
        <v>8181</v>
      </c>
      <c r="N126" s="3">
        <v>7068</v>
      </c>
      <c r="O126" s="3">
        <v>6282</v>
      </c>
      <c r="P126" s="3">
        <v>-2166</v>
      </c>
      <c r="Q126" s="3">
        <v>0</v>
      </c>
      <c r="AD126" s="3">
        <v>223.11554171</v>
      </c>
      <c r="AE126" s="3">
        <v>109.33297201000001</v>
      </c>
      <c r="AF126" s="3">
        <v>-64.519166619999993</v>
      </c>
      <c r="AG126" s="3">
        <v>0</v>
      </c>
      <c r="AH126" s="3">
        <v>0.70199999999999996</v>
      </c>
      <c r="AI126" s="3">
        <v>0.34399999999999997</v>
      </c>
      <c r="AJ126" s="3">
        <v>-0.20300000000000001</v>
      </c>
      <c r="AK126" s="3">
        <v>0</v>
      </c>
      <c r="AL126" t="s">
        <v>1426</v>
      </c>
      <c r="AY126" s="3">
        <v>0</v>
      </c>
      <c r="AZ126" t="s">
        <v>8181</v>
      </c>
      <c r="BA126" t="s">
        <v>638</v>
      </c>
      <c r="BJ126" s="3">
        <v>0.49</v>
      </c>
      <c r="BK126" s="3">
        <v>4.9000000000000002E-2</v>
      </c>
      <c r="BL126" s="3">
        <v>-4.9000000000000002E-2</v>
      </c>
      <c r="BM126" s="3">
        <v>0</v>
      </c>
      <c r="BN126" s="3">
        <v>0.22</v>
      </c>
      <c r="BO126" s="3">
        <v>0.17</v>
      </c>
      <c r="BP126" s="3">
        <v>-0.17</v>
      </c>
      <c r="BQ126" s="3">
        <v>0</v>
      </c>
      <c r="BR126" t="s">
        <v>7935</v>
      </c>
      <c r="BW126" t="s">
        <v>7936</v>
      </c>
      <c r="BX126" t="s">
        <v>8174</v>
      </c>
      <c r="BY126" s="3">
        <v>332.42299379999997</v>
      </c>
      <c r="BZ126" t="s">
        <v>8175</v>
      </c>
      <c r="CA126" s="3">
        <v>-4.6408316999999997</v>
      </c>
      <c r="CB126" s="3">
        <v>8.8005800000000001</v>
      </c>
      <c r="CC126" s="3">
        <v>3.6150000000000002E-3</v>
      </c>
      <c r="CD126" s="3">
        <v>-3.6150000000000002E-3</v>
      </c>
      <c r="CE126" s="3">
        <v>10.41</v>
      </c>
      <c r="CF126" s="3">
        <v>0.1</v>
      </c>
      <c r="CG126" s="3">
        <v>-0.1</v>
      </c>
      <c r="CH126" s="3">
        <v>5.5940000000000003</v>
      </c>
      <c r="CI126" s="3">
        <v>1.7000000000000001E-2</v>
      </c>
      <c r="CJ126" s="3">
        <v>-1.7000000000000001E-2</v>
      </c>
      <c r="CK126" s="3">
        <v>9.2245000000000008</v>
      </c>
      <c r="CL126" s="3">
        <v>6.5099999999999999E-4</v>
      </c>
      <c r="CM126" s="3">
        <v>-6.5099999999999999E-4</v>
      </c>
      <c r="CN126" t="s">
        <v>8182</v>
      </c>
      <c r="CO126" t="s">
        <v>8183</v>
      </c>
      <c r="CP126" t="s">
        <v>8182</v>
      </c>
    </row>
    <row r="127" spans="1:94" x14ac:dyDescent="0.45">
      <c r="A127" t="s">
        <v>1360</v>
      </c>
      <c r="B127">
        <v>0</v>
      </c>
      <c r="C127" t="s">
        <v>1565</v>
      </c>
      <c r="D127" t="s">
        <v>1361</v>
      </c>
      <c r="E127" s="3">
        <v>0</v>
      </c>
      <c r="F127" s="3">
        <v>1</v>
      </c>
      <c r="G127" s="3">
        <v>2</v>
      </c>
      <c r="H127" t="s">
        <v>1427</v>
      </c>
      <c r="I127" s="3">
        <v>2014</v>
      </c>
      <c r="J127" t="s">
        <v>7987</v>
      </c>
      <c r="K127" t="s">
        <v>1429</v>
      </c>
      <c r="L127" s="3">
        <v>0</v>
      </c>
      <c r="M127" t="s">
        <v>7942</v>
      </c>
      <c r="N127" s="3">
        <v>5750</v>
      </c>
      <c r="O127" s="3">
        <v>130</v>
      </c>
      <c r="P127" s="3">
        <v>-120</v>
      </c>
      <c r="Q127" s="3">
        <v>0</v>
      </c>
      <c r="R127" s="3">
        <v>4.9740000000000002</v>
      </c>
      <c r="S127" s="3">
        <v>8.3000000000000004E-2</v>
      </c>
      <c r="T127" s="3">
        <v>-7.3999999999999996E-2</v>
      </c>
      <c r="U127" s="3">
        <v>0</v>
      </c>
      <c r="AD127" s="3">
        <v>342.93685115</v>
      </c>
      <c r="AE127" s="3">
        <v>16.844905570000002</v>
      </c>
      <c r="AF127" s="3">
        <v>-16.844905570000002</v>
      </c>
      <c r="AG127" s="3">
        <v>0</v>
      </c>
      <c r="AH127" s="3">
        <v>1.079</v>
      </c>
      <c r="AI127" s="3">
        <v>5.2999999999999999E-2</v>
      </c>
      <c r="AJ127" s="3">
        <v>-5.2999999999999999E-2</v>
      </c>
      <c r="AK127" s="3">
        <v>0</v>
      </c>
      <c r="AL127" t="s">
        <v>1426</v>
      </c>
      <c r="AM127" s="3">
        <v>9.9000000000000005E-2</v>
      </c>
      <c r="AN127" s="3">
        <v>4.1000000000000002E-2</v>
      </c>
      <c r="AO127" s="3">
        <v>-0.04</v>
      </c>
      <c r="AP127" s="3">
        <v>0</v>
      </c>
      <c r="AY127" s="3">
        <v>0</v>
      </c>
      <c r="AZ127" t="s">
        <v>7942</v>
      </c>
      <c r="BB127" s="3">
        <v>3562.68</v>
      </c>
      <c r="BC127" s="3">
        <v>30.5</v>
      </c>
      <c r="BD127" s="3">
        <v>-30.5</v>
      </c>
      <c r="BE127" s="3">
        <v>0</v>
      </c>
      <c r="BF127" s="3">
        <v>0.46845799999999999</v>
      </c>
      <c r="BG127" s="3">
        <v>6.829E-3</v>
      </c>
      <c r="BH127" s="3">
        <v>-6.829E-3</v>
      </c>
      <c r="BI127" s="3">
        <v>0</v>
      </c>
      <c r="BJ127" s="3">
        <v>0.49585899999999999</v>
      </c>
      <c r="BK127" s="3">
        <v>8.8140000000000007E-3</v>
      </c>
      <c r="BL127" s="3">
        <v>-8.8140000000000007E-3</v>
      </c>
      <c r="BM127" s="3">
        <v>0</v>
      </c>
      <c r="BN127" s="3">
        <v>0.39600000000000002</v>
      </c>
      <c r="BO127" s="3">
        <v>6.1600000000000002E-2</v>
      </c>
      <c r="BP127" s="3">
        <v>-6.1600000000000002E-2</v>
      </c>
      <c r="BQ127" s="3">
        <v>0</v>
      </c>
      <c r="BR127" t="s">
        <v>7935</v>
      </c>
      <c r="BS127" s="3">
        <v>4.7906279999999999</v>
      </c>
      <c r="BT127" s="3">
        <v>8.822E-3</v>
      </c>
      <c r="BU127" s="3">
        <v>-8.822E-3</v>
      </c>
      <c r="BV127" s="3">
        <v>0</v>
      </c>
      <c r="BW127" t="s">
        <v>7936</v>
      </c>
      <c r="BX127" t="s">
        <v>8174</v>
      </c>
      <c r="BY127" s="3">
        <v>332.42299379999997</v>
      </c>
      <c r="BZ127" t="s">
        <v>8175</v>
      </c>
      <c r="CA127" s="3">
        <v>-4.6408316999999997</v>
      </c>
      <c r="CB127" s="3">
        <v>8.8005800000000001</v>
      </c>
      <c r="CC127" s="3">
        <v>3.6150000000000002E-3</v>
      </c>
      <c r="CD127" s="3">
        <v>-3.6150000000000002E-3</v>
      </c>
      <c r="CE127" s="3">
        <v>10.41</v>
      </c>
      <c r="CF127" s="3">
        <v>0.1</v>
      </c>
      <c r="CG127" s="3">
        <v>-0.1</v>
      </c>
      <c r="CH127" s="3">
        <v>5.5940000000000003</v>
      </c>
      <c r="CI127" s="3">
        <v>1.7000000000000001E-2</v>
      </c>
      <c r="CJ127" s="3">
        <v>-1.7000000000000001E-2</v>
      </c>
      <c r="CK127" s="3">
        <v>9.2245000000000008</v>
      </c>
      <c r="CL127" s="3">
        <v>6.5099999999999999E-4</v>
      </c>
      <c r="CM127" s="3">
        <v>-6.5099999999999999E-4</v>
      </c>
      <c r="CN127" t="s">
        <v>7943</v>
      </c>
      <c r="CO127" t="s">
        <v>7944</v>
      </c>
      <c r="CP127" t="s">
        <v>7943</v>
      </c>
    </row>
    <row r="128" spans="1:94" x14ac:dyDescent="0.45">
      <c r="A128" t="s">
        <v>1360</v>
      </c>
      <c r="B128">
        <v>1</v>
      </c>
      <c r="C128" t="s">
        <v>1565</v>
      </c>
      <c r="D128" t="s">
        <v>1361</v>
      </c>
      <c r="E128" s="3">
        <v>1</v>
      </c>
      <c r="F128" s="3">
        <v>1</v>
      </c>
      <c r="G128" s="3">
        <v>2</v>
      </c>
      <c r="H128" t="s">
        <v>1427</v>
      </c>
      <c r="I128" s="3">
        <v>2014</v>
      </c>
      <c r="J128" t="s">
        <v>7987</v>
      </c>
      <c r="K128" t="s">
        <v>1429</v>
      </c>
      <c r="L128" s="3">
        <v>0</v>
      </c>
      <c r="M128" t="s">
        <v>8173</v>
      </c>
      <c r="N128" s="3">
        <v>5990</v>
      </c>
      <c r="O128" s="3">
        <v>110</v>
      </c>
      <c r="P128" s="3">
        <v>-100</v>
      </c>
      <c r="Q128" s="3">
        <v>0</v>
      </c>
      <c r="R128" s="3">
        <v>4.95</v>
      </c>
      <c r="S128" s="3">
        <v>0.25</v>
      </c>
      <c r="T128" s="3">
        <v>-0.28000000000000003</v>
      </c>
      <c r="U128" s="3">
        <v>0</v>
      </c>
      <c r="AD128" s="3">
        <v>314.65012293000001</v>
      </c>
      <c r="AE128" s="3">
        <v>34.961124769999998</v>
      </c>
      <c r="AF128" s="3">
        <v>-34.961124769999998</v>
      </c>
      <c r="AG128" s="3">
        <v>0</v>
      </c>
      <c r="AH128" s="3">
        <v>0.99</v>
      </c>
      <c r="AI128" s="3">
        <v>0.11</v>
      </c>
      <c r="AJ128" s="3">
        <v>-0.11</v>
      </c>
      <c r="AK128" s="3">
        <v>0</v>
      </c>
      <c r="AL128" t="s">
        <v>1426</v>
      </c>
      <c r="AM128" s="3">
        <v>9.1999999999999998E-2</v>
      </c>
      <c r="AN128" s="3">
        <v>3.7999999999999999E-2</v>
      </c>
      <c r="AO128" s="3">
        <v>-3.5999999999999997E-2</v>
      </c>
      <c r="AP128" s="3">
        <v>0</v>
      </c>
      <c r="AY128" s="3">
        <v>0</v>
      </c>
      <c r="AZ128" t="s">
        <v>8173</v>
      </c>
      <c r="BA128" t="s">
        <v>638</v>
      </c>
      <c r="BB128" s="3">
        <v>3467</v>
      </c>
      <c r="BC128" s="3">
        <v>68</v>
      </c>
      <c r="BD128" s="3">
        <v>-68</v>
      </c>
      <c r="BE128" s="3">
        <v>0</v>
      </c>
      <c r="BF128" s="3">
        <v>0.45</v>
      </c>
      <c r="BG128" s="3">
        <v>7.0000000000000007E-2</v>
      </c>
      <c r="BH128" s="3">
        <v>-7.0000000000000007E-2</v>
      </c>
      <c r="BI128" s="3">
        <v>0</v>
      </c>
      <c r="BJ128" s="3">
        <v>0.45</v>
      </c>
      <c r="BK128" s="3">
        <v>7.0000000000000007E-2</v>
      </c>
      <c r="BL128" s="3">
        <v>-7.0000000000000007E-2</v>
      </c>
      <c r="BM128" s="3">
        <v>0</v>
      </c>
      <c r="BN128" s="3">
        <v>0.09</v>
      </c>
      <c r="BO128" s="3">
        <v>0.09</v>
      </c>
      <c r="BP128" s="3">
        <v>-0.09</v>
      </c>
      <c r="BQ128" s="3">
        <v>0</v>
      </c>
      <c r="BR128" t="s">
        <v>7935</v>
      </c>
      <c r="BS128" s="3">
        <v>4.8</v>
      </c>
      <c r="BT128" s="3">
        <v>7.0000000000000007E-2</v>
      </c>
      <c r="BU128" s="3">
        <v>-7.0000000000000007E-2</v>
      </c>
      <c r="BV128" s="3">
        <v>0</v>
      </c>
      <c r="BW128" t="s">
        <v>7936</v>
      </c>
      <c r="BX128" t="s">
        <v>8174</v>
      </c>
      <c r="BY128" s="3">
        <v>332.42299379999997</v>
      </c>
      <c r="BZ128" t="s">
        <v>8175</v>
      </c>
      <c r="CA128" s="3">
        <v>-4.6408316999999997</v>
      </c>
      <c r="CB128" s="3">
        <v>8.8005800000000001</v>
      </c>
      <c r="CC128" s="3">
        <v>3.6150000000000002E-3</v>
      </c>
      <c r="CD128" s="3">
        <v>-3.6150000000000002E-3</v>
      </c>
      <c r="CE128" s="3">
        <v>10.41</v>
      </c>
      <c r="CF128" s="3">
        <v>0.1</v>
      </c>
      <c r="CG128" s="3">
        <v>-0.1</v>
      </c>
      <c r="CH128" s="3">
        <v>5.5940000000000003</v>
      </c>
      <c r="CI128" s="3">
        <v>1.7000000000000001E-2</v>
      </c>
      <c r="CJ128" s="3">
        <v>-1.7000000000000001E-2</v>
      </c>
      <c r="CK128" s="3">
        <v>9.2245000000000008</v>
      </c>
      <c r="CL128" s="3">
        <v>6.5099999999999999E-4</v>
      </c>
      <c r="CM128" s="3">
        <v>-6.5099999999999999E-4</v>
      </c>
      <c r="CN128" t="s">
        <v>1566</v>
      </c>
      <c r="CO128" t="s">
        <v>8176</v>
      </c>
      <c r="CP128" t="s">
        <v>1566</v>
      </c>
    </row>
    <row r="129" spans="1:94" x14ac:dyDescent="0.45">
      <c r="A129" t="s">
        <v>357</v>
      </c>
      <c r="B129">
        <v>0</v>
      </c>
      <c r="C129" t="s">
        <v>1567</v>
      </c>
      <c r="D129" t="s">
        <v>358</v>
      </c>
      <c r="E129" s="3">
        <v>0</v>
      </c>
      <c r="F129" s="3">
        <v>1</v>
      </c>
      <c r="G129" s="3">
        <v>4</v>
      </c>
      <c r="H129" t="s">
        <v>1427</v>
      </c>
      <c r="I129" s="3">
        <v>1998</v>
      </c>
      <c r="J129" t="s">
        <v>7932</v>
      </c>
      <c r="K129" t="s">
        <v>1429</v>
      </c>
      <c r="L129" s="3">
        <v>0</v>
      </c>
      <c r="M129" t="s">
        <v>7942</v>
      </c>
      <c r="N129" s="3">
        <v>61.034739999999999</v>
      </c>
      <c r="O129" s="3">
        <v>8.0000000000000004E-4</v>
      </c>
      <c r="P129" s="3">
        <v>-8.4000000000000003E-4</v>
      </c>
      <c r="Q129" s="3">
        <v>0</v>
      </c>
      <c r="R129" s="3">
        <v>0.2177</v>
      </c>
      <c r="S129" s="3">
        <v>1.8E-3</v>
      </c>
      <c r="T129" s="3">
        <v>-1.9E-3</v>
      </c>
      <c r="U129" s="3">
        <v>0</v>
      </c>
      <c r="AD129" s="3">
        <v>672.20708080999998</v>
      </c>
      <c r="AE129" s="3">
        <v>11.123994250000001</v>
      </c>
      <c r="AF129" s="3">
        <v>-11.441822650000001</v>
      </c>
      <c r="AG129" s="3">
        <v>0</v>
      </c>
      <c r="AH129" s="3">
        <v>2.1150000000000002</v>
      </c>
      <c r="AI129" s="3">
        <v>3.5000000000000003E-2</v>
      </c>
      <c r="AJ129" s="3">
        <v>-3.5999999999999997E-2</v>
      </c>
      <c r="AK129" s="3">
        <v>0</v>
      </c>
      <c r="AL129" t="s">
        <v>1426</v>
      </c>
      <c r="AM129" s="3">
        <v>2E-3</v>
      </c>
      <c r="AN129" s="3">
        <v>1.9E-3</v>
      </c>
      <c r="AO129" s="3">
        <v>-1.4E-3</v>
      </c>
      <c r="AP129" s="3">
        <v>0</v>
      </c>
      <c r="AY129" s="3">
        <v>0</v>
      </c>
      <c r="AZ129" t="s">
        <v>7942</v>
      </c>
      <c r="BB129" s="3">
        <v>3293.74</v>
      </c>
      <c r="BC129" s="3">
        <v>48.39</v>
      </c>
      <c r="BD129" s="3">
        <v>-48.39</v>
      </c>
      <c r="BE129" s="3">
        <v>0</v>
      </c>
      <c r="BF129" s="3">
        <v>0.36699999999999999</v>
      </c>
      <c r="BG129" s="3">
        <v>8.0199999999999994E-3</v>
      </c>
      <c r="BH129" s="3">
        <v>-8.0199999999999994E-3</v>
      </c>
      <c r="BI129" s="3">
        <v>0</v>
      </c>
      <c r="BJ129" s="3">
        <v>0.36960700000000002</v>
      </c>
      <c r="BK129" s="3">
        <v>9.2510000000000005E-3</v>
      </c>
      <c r="BL129" s="3">
        <v>-9.2510000000000005E-3</v>
      </c>
      <c r="BM129" s="3">
        <v>0</v>
      </c>
      <c r="BN129" s="3">
        <v>0.21290000000000001</v>
      </c>
      <c r="BO129" s="3">
        <v>6.3700000000000007E-2</v>
      </c>
      <c r="BP129" s="3">
        <v>-6.3700000000000007E-2</v>
      </c>
      <c r="BQ129" s="3">
        <v>0</v>
      </c>
      <c r="BR129" t="s">
        <v>7935</v>
      </c>
      <c r="BS129" s="3">
        <v>4.874911</v>
      </c>
      <c r="BT129" s="3">
        <v>1.1674E-2</v>
      </c>
      <c r="BU129" s="3">
        <v>-1.1674E-2</v>
      </c>
      <c r="BV129" s="3">
        <v>0</v>
      </c>
      <c r="BW129" t="s">
        <v>7936</v>
      </c>
      <c r="BX129" t="s">
        <v>8187</v>
      </c>
      <c r="BY129" s="3">
        <v>343.32397370000001</v>
      </c>
      <c r="BZ129" t="s">
        <v>8188</v>
      </c>
      <c r="CA129" s="3">
        <v>-14.266595799999999</v>
      </c>
      <c r="CB129" s="3">
        <v>4.6751699999999996</v>
      </c>
      <c r="CC129" s="3">
        <v>1.67E-3</v>
      </c>
      <c r="CD129" s="3">
        <v>-1.67E-3</v>
      </c>
      <c r="CE129" s="3">
        <v>10.16</v>
      </c>
      <c r="CF129" s="3">
        <v>0.1</v>
      </c>
      <c r="CG129" s="3">
        <v>-0.1</v>
      </c>
      <c r="CH129" s="3">
        <v>5.01</v>
      </c>
      <c r="CI129" s="3">
        <v>2.1000000000000001E-2</v>
      </c>
      <c r="CJ129" s="3">
        <v>-2.1000000000000001E-2</v>
      </c>
      <c r="CK129" s="3">
        <v>8.8752999999999993</v>
      </c>
      <c r="CL129" s="3">
        <v>1.4499999999999999E-3</v>
      </c>
      <c r="CM129" s="3">
        <v>-1.4499999999999999E-3</v>
      </c>
      <c r="CN129" t="s">
        <v>7943</v>
      </c>
      <c r="CO129" t="s">
        <v>7944</v>
      </c>
      <c r="CP129" t="s">
        <v>7943</v>
      </c>
    </row>
    <row r="130" spans="1:94" x14ac:dyDescent="0.45">
      <c r="A130" t="s">
        <v>357</v>
      </c>
      <c r="B130">
        <v>0</v>
      </c>
      <c r="C130" t="s">
        <v>1567</v>
      </c>
      <c r="D130" t="s">
        <v>358</v>
      </c>
      <c r="E130" s="3">
        <v>0</v>
      </c>
      <c r="F130" s="3">
        <v>1</v>
      </c>
      <c r="G130" s="3">
        <v>4</v>
      </c>
      <c r="H130" t="s">
        <v>1427</v>
      </c>
      <c r="I130" s="3">
        <v>1998</v>
      </c>
      <c r="J130" t="s">
        <v>7932</v>
      </c>
      <c r="K130" t="s">
        <v>1429</v>
      </c>
      <c r="L130" s="3">
        <v>0</v>
      </c>
      <c r="M130" t="s">
        <v>8189</v>
      </c>
      <c r="N130" s="3">
        <v>61.4</v>
      </c>
      <c r="O130" s="3">
        <v>0.2</v>
      </c>
      <c r="P130" s="3">
        <v>-0.2</v>
      </c>
      <c r="Q130" s="3">
        <v>0</v>
      </c>
      <c r="AD130" s="3">
        <v>1144.1822652000001</v>
      </c>
      <c r="AE130" s="3">
        <v>127.13136280000001</v>
      </c>
      <c r="AF130" s="3">
        <v>-127.13136280000001</v>
      </c>
      <c r="AG130" s="3">
        <v>0</v>
      </c>
      <c r="AH130" s="3">
        <v>3.6</v>
      </c>
      <c r="AI130" s="3">
        <v>0.4</v>
      </c>
      <c r="AJ130" s="3">
        <v>-0.4</v>
      </c>
      <c r="AK130" s="3">
        <v>0</v>
      </c>
      <c r="AL130" t="s">
        <v>1453</v>
      </c>
      <c r="AM130" s="3">
        <v>0.16</v>
      </c>
      <c r="AN130" s="3">
        <v>0.15</v>
      </c>
      <c r="AO130" s="3">
        <v>-0.15</v>
      </c>
      <c r="AP130" s="3">
        <v>0</v>
      </c>
      <c r="AY130" s="3">
        <v>0</v>
      </c>
      <c r="BW130" t="s">
        <v>7936</v>
      </c>
      <c r="BX130" t="s">
        <v>8187</v>
      </c>
      <c r="BY130" s="3">
        <v>343.32397370000001</v>
      </c>
      <c r="BZ130" t="s">
        <v>8188</v>
      </c>
      <c r="CA130" s="3">
        <v>-14.266595799999999</v>
      </c>
      <c r="CB130" s="3">
        <v>4.6751699999999996</v>
      </c>
      <c r="CC130" s="3">
        <v>1.67E-3</v>
      </c>
      <c r="CD130" s="3">
        <v>-1.67E-3</v>
      </c>
      <c r="CE130" s="3">
        <v>10.16</v>
      </c>
      <c r="CF130" s="3">
        <v>0.1</v>
      </c>
      <c r="CG130" s="3">
        <v>-0.1</v>
      </c>
      <c r="CH130" s="3">
        <v>5.01</v>
      </c>
      <c r="CI130" s="3">
        <v>2.1000000000000001E-2</v>
      </c>
      <c r="CJ130" s="3">
        <v>-2.1000000000000001E-2</v>
      </c>
      <c r="CK130" s="3">
        <v>8.8752999999999993</v>
      </c>
      <c r="CL130" s="3">
        <v>1.4499999999999999E-3</v>
      </c>
      <c r="CM130" s="3">
        <v>-1.4499999999999999E-3</v>
      </c>
      <c r="CN130" t="s">
        <v>8190</v>
      </c>
      <c r="CO130" t="s">
        <v>8191</v>
      </c>
      <c r="CP130" t="s">
        <v>8190</v>
      </c>
    </row>
    <row r="131" spans="1:94" x14ac:dyDescent="0.45">
      <c r="A131" t="s">
        <v>357</v>
      </c>
      <c r="B131">
        <v>1</v>
      </c>
      <c r="C131" t="s">
        <v>1567</v>
      </c>
      <c r="D131" t="s">
        <v>358</v>
      </c>
      <c r="E131" s="3">
        <v>1</v>
      </c>
      <c r="F131" s="3">
        <v>1</v>
      </c>
      <c r="G131" s="3">
        <v>4</v>
      </c>
      <c r="H131" t="s">
        <v>1427</v>
      </c>
      <c r="I131" s="3">
        <v>1998</v>
      </c>
      <c r="J131" t="s">
        <v>7932</v>
      </c>
      <c r="K131" t="s">
        <v>1429</v>
      </c>
      <c r="L131" s="3">
        <v>0</v>
      </c>
      <c r="M131" t="s">
        <v>8192</v>
      </c>
      <c r="N131" s="3">
        <v>61.116599999999998</v>
      </c>
      <c r="O131" s="3">
        <v>8.6E-3</v>
      </c>
      <c r="P131" s="3">
        <v>-8.6E-3</v>
      </c>
      <c r="Q131" s="3">
        <v>0</v>
      </c>
      <c r="R131" s="3">
        <v>0.208317</v>
      </c>
      <c r="S131" s="3">
        <v>2.0000000000000002E-5</v>
      </c>
      <c r="T131" s="3">
        <v>-2.0000000000000002E-5</v>
      </c>
      <c r="U131" s="3">
        <v>0</v>
      </c>
      <c r="AD131" s="3">
        <v>723.22349999999994</v>
      </c>
      <c r="AE131" s="3">
        <v>1.4301999999999999</v>
      </c>
      <c r="AF131" s="3">
        <v>-1.4301999999999999</v>
      </c>
      <c r="AG131" s="3">
        <v>0</v>
      </c>
      <c r="AH131" s="3">
        <v>2.2755999999999998</v>
      </c>
      <c r="AI131" s="3">
        <v>4.4999999999999997E-3</v>
      </c>
      <c r="AJ131" s="3">
        <v>-4.4999999999999997E-3</v>
      </c>
      <c r="AK131" s="3">
        <v>0</v>
      </c>
      <c r="AL131" t="s">
        <v>1453</v>
      </c>
      <c r="AM131" s="3">
        <v>3.2399999999999998E-2</v>
      </c>
      <c r="AN131" s="3">
        <v>1.2999999999999999E-3</v>
      </c>
      <c r="AO131" s="3">
        <v>-1.2999999999999999E-3</v>
      </c>
      <c r="AP131" s="3">
        <v>0</v>
      </c>
      <c r="AY131" s="3">
        <v>0</v>
      </c>
      <c r="AZ131" t="s">
        <v>8192</v>
      </c>
      <c r="BF131" s="3">
        <v>0.3</v>
      </c>
      <c r="BI131" s="3">
        <v>0</v>
      </c>
      <c r="BJ131" s="3">
        <v>0.32</v>
      </c>
      <c r="BK131" s="3">
        <v>0.03</v>
      </c>
      <c r="BL131" s="3">
        <v>-0.03</v>
      </c>
      <c r="BM131" s="3">
        <v>0</v>
      </c>
      <c r="BW131" t="s">
        <v>7936</v>
      </c>
      <c r="BX131" t="s">
        <v>8187</v>
      </c>
      <c r="BY131" s="3">
        <v>343.32397370000001</v>
      </c>
      <c r="BZ131" t="s">
        <v>8188</v>
      </c>
      <c r="CA131" s="3">
        <v>-14.266595799999999</v>
      </c>
      <c r="CB131" s="3">
        <v>4.6751699999999996</v>
      </c>
      <c r="CC131" s="3">
        <v>1.67E-3</v>
      </c>
      <c r="CD131" s="3">
        <v>-1.67E-3</v>
      </c>
      <c r="CE131" s="3">
        <v>10.16</v>
      </c>
      <c r="CF131" s="3">
        <v>0.1</v>
      </c>
      <c r="CG131" s="3">
        <v>-0.1</v>
      </c>
      <c r="CH131" s="3">
        <v>5.01</v>
      </c>
      <c r="CI131" s="3">
        <v>2.1000000000000001E-2</v>
      </c>
      <c r="CJ131" s="3">
        <v>-2.1000000000000001E-2</v>
      </c>
      <c r="CK131" s="3">
        <v>8.8752999999999993</v>
      </c>
      <c r="CL131" s="3">
        <v>1.4499999999999999E-3</v>
      </c>
      <c r="CM131" s="3">
        <v>-1.4499999999999999E-3</v>
      </c>
      <c r="CN131" t="s">
        <v>1570</v>
      </c>
      <c r="CO131" t="s">
        <v>8193</v>
      </c>
      <c r="CP131" t="s">
        <v>1570</v>
      </c>
    </row>
    <row r="132" spans="1:94" x14ac:dyDescent="0.45">
      <c r="A132" t="s">
        <v>357</v>
      </c>
      <c r="B132">
        <v>0</v>
      </c>
      <c r="C132" t="s">
        <v>1567</v>
      </c>
      <c r="D132" t="s">
        <v>358</v>
      </c>
      <c r="E132" s="3">
        <v>0</v>
      </c>
      <c r="F132" s="3">
        <v>1</v>
      </c>
      <c r="G132" s="3">
        <v>4</v>
      </c>
      <c r="H132" t="s">
        <v>1427</v>
      </c>
      <c r="I132" s="3">
        <v>1998</v>
      </c>
      <c r="J132" t="s">
        <v>7932</v>
      </c>
      <c r="K132" t="s">
        <v>1429</v>
      </c>
      <c r="L132" s="3">
        <v>0</v>
      </c>
      <c r="M132" t="s">
        <v>8121</v>
      </c>
      <c r="N132" s="3">
        <v>61.082000000000001</v>
      </c>
      <c r="O132" s="3">
        <v>6.0000000000000001E-3</v>
      </c>
      <c r="P132" s="3">
        <v>-0.01</v>
      </c>
      <c r="Q132" s="3">
        <v>0</v>
      </c>
      <c r="R132" s="3">
        <v>0.214</v>
      </c>
      <c r="S132" s="3">
        <v>1E-3</v>
      </c>
      <c r="T132" s="3">
        <v>-1E-3</v>
      </c>
      <c r="U132" s="3">
        <v>0</v>
      </c>
      <c r="AD132" s="3">
        <v>887.69135194</v>
      </c>
      <c r="AE132" s="3">
        <v>1.1666334</v>
      </c>
      <c r="AF132" s="3">
        <v>-1.1666334</v>
      </c>
      <c r="AG132" s="3">
        <v>0</v>
      </c>
      <c r="AH132" s="3">
        <v>2.7929753399999999</v>
      </c>
      <c r="AI132" s="3">
        <v>3.6706199999999999E-3</v>
      </c>
      <c r="AJ132" s="3">
        <v>-3.6706199999999999E-3</v>
      </c>
      <c r="AK132" s="3">
        <v>0</v>
      </c>
      <c r="AL132" t="s">
        <v>1601</v>
      </c>
      <c r="AM132" s="3">
        <v>2.7E-2</v>
      </c>
      <c r="AN132" s="3">
        <v>2E-3</v>
      </c>
      <c r="AO132" s="3">
        <v>-2E-3</v>
      </c>
      <c r="AP132" s="3">
        <v>0</v>
      </c>
      <c r="AY132" s="3">
        <v>0</v>
      </c>
      <c r="AZ132" t="s">
        <v>7936</v>
      </c>
      <c r="BB132" s="3">
        <v>3271</v>
      </c>
      <c r="BC132" s="3">
        <v>157</v>
      </c>
      <c r="BD132" s="3">
        <v>-157</v>
      </c>
      <c r="BE132" s="3">
        <v>0</v>
      </c>
      <c r="BF132" s="3">
        <v>0.35222399999999998</v>
      </c>
      <c r="BG132" s="3">
        <v>1.0529999999999999E-2</v>
      </c>
      <c r="BH132" s="3">
        <v>-1.0529999999999999E-2</v>
      </c>
      <c r="BI132" s="3">
        <v>0</v>
      </c>
      <c r="BJ132" s="3">
        <v>0.33677800000000002</v>
      </c>
      <c r="BK132" s="3">
        <v>2.0240999999999999E-2</v>
      </c>
      <c r="BL132" s="3">
        <v>-2.0240999999999999E-2</v>
      </c>
      <c r="BM132" s="3">
        <v>0</v>
      </c>
      <c r="BS132" s="3">
        <v>4.8717699999999997</v>
      </c>
      <c r="BT132" s="3">
        <v>3.9800000000000002E-4</v>
      </c>
      <c r="BU132" s="3">
        <v>-3.9800000000000002E-4</v>
      </c>
      <c r="BV132" s="3">
        <v>0</v>
      </c>
      <c r="BW132" t="s">
        <v>7936</v>
      </c>
      <c r="BX132" t="s">
        <v>8187</v>
      </c>
      <c r="BY132" s="3">
        <v>343.32397370000001</v>
      </c>
      <c r="BZ132" t="s">
        <v>8188</v>
      </c>
      <c r="CA132" s="3">
        <v>-14.266595799999999</v>
      </c>
      <c r="CB132" s="3">
        <v>4.6751699999999996</v>
      </c>
      <c r="CC132" s="3">
        <v>1.67E-3</v>
      </c>
      <c r="CD132" s="3">
        <v>-1.67E-3</v>
      </c>
      <c r="CE132" s="3">
        <v>10.16</v>
      </c>
      <c r="CF132" s="3">
        <v>0.1</v>
      </c>
      <c r="CG132" s="3">
        <v>-0.1</v>
      </c>
      <c r="CH132" s="3">
        <v>5.01</v>
      </c>
      <c r="CI132" s="3">
        <v>2.1000000000000001E-2</v>
      </c>
      <c r="CJ132" s="3">
        <v>-2.1000000000000001E-2</v>
      </c>
      <c r="CK132" s="3">
        <v>8.8752999999999993</v>
      </c>
      <c r="CL132" s="3">
        <v>1.4499999999999999E-3</v>
      </c>
      <c r="CM132" s="3">
        <v>-1.4499999999999999E-3</v>
      </c>
      <c r="CN132" t="s">
        <v>8122</v>
      </c>
      <c r="CO132" t="s">
        <v>8123</v>
      </c>
      <c r="CP132" t="s">
        <v>8124</v>
      </c>
    </row>
    <row r="133" spans="1:94" x14ac:dyDescent="0.45">
      <c r="A133" t="s">
        <v>357</v>
      </c>
      <c r="B133">
        <v>0</v>
      </c>
      <c r="C133" t="s">
        <v>1567</v>
      </c>
      <c r="D133" t="s">
        <v>358</v>
      </c>
      <c r="E133" s="3">
        <v>0</v>
      </c>
      <c r="F133" s="3">
        <v>1</v>
      </c>
      <c r="G133" s="3">
        <v>4</v>
      </c>
      <c r="H133" t="s">
        <v>1427</v>
      </c>
      <c r="I133" s="3">
        <v>1998</v>
      </c>
      <c r="J133" t="s">
        <v>7932</v>
      </c>
      <c r="K133" t="s">
        <v>1429</v>
      </c>
      <c r="L133" s="3">
        <v>0</v>
      </c>
      <c r="M133" t="s">
        <v>8194</v>
      </c>
      <c r="N133" s="3">
        <v>60.83</v>
      </c>
      <c r="O133" s="3">
        <v>1.9E-2</v>
      </c>
      <c r="P133" s="3">
        <v>-1.9E-2</v>
      </c>
      <c r="Q133" s="3">
        <v>0</v>
      </c>
      <c r="R133" s="3">
        <v>0.20774000000000001</v>
      </c>
      <c r="S133" s="3">
        <v>4.0000000000000003E-5</v>
      </c>
      <c r="T133" s="3">
        <v>-4.0000000000000003E-5</v>
      </c>
      <c r="U133" s="3">
        <v>0</v>
      </c>
      <c r="AD133" s="3">
        <v>804.07600000000002</v>
      </c>
      <c r="AE133" s="3">
        <v>2.5430000000000001</v>
      </c>
      <c r="AF133" s="3">
        <v>-2.5430000000000001</v>
      </c>
      <c r="AG133" s="3">
        <v>0</v>
      </c>
      <c r="AH133" s="3">
        <v>2.5299999999999998</v>
      </c>
      <c r="AI133" s="3">
        <v>8.0000000000000002E-3</v>
      </c>
      <c r="AJ133" s="3">
        <v>-8.0000000000000002E-3</v>
      </c>
      <c r="AK133" s="3">
        <v>0</v>
      </c>
      <c r="AL133" t="s">
        <v>1453</v>
      </c>
      <c r="AM133" s="3">
        <v>3.3799999999999997E-2</v>
      </c>
      <c r="AN133" s="3">
        <v>2.5000000000000001E-3</v>
      </c>
      <c r="AO133" s="3">
        <v>-2.5000000000000001E-3</v>
      </c>
      <c r="AP133" s="3">
        <v>0</v>
      </c>
      <c r="AY133" s="3">
        <v>0</v>
      </c>
      <c r="AZ133" t="s">
        <v>7936</v>
      </c>
      <c r="BB133" s="3">
        <v>3271</v>
      </c>
      <c r="BC133" s="3">
        <v>157</v>
      </c>
      <c r="BD133" s="3">
        <v>-157</v>
      </c>
      <c r="BE133" s="3">
        <v>0</v>
      </c>
      <c r="BF133" s="3">
        <v>0.35222399999999998</v>
      </c>
      <c r="BG133" s="3">
        <v>1.0529999999999999E-2</v>
      </c>
      <c r="BH133" s="3">
        <v>-1.0529999999999999E-2</v>
      </c>
      <c r="BI133" s="3">
        <v>0</v>
      </c>
      <c r="BJ133" s="3">
        <v>0.33677800000000002</v>
      </c>
      <c r="BK133" s="3">
        <v>2.0240999999999999E-2</v>
      </c>
      <c r="BL133" s="3">
        <v>-2.0240999999999999E-2</v>
      </c>
      <c r="BM133" s="3">
        <v>0</v>
      </c>
      <c r="BS133" s="3">
        <v>4.8717699999999997</v>
      </c>
      <c r="BT133" s="3">
        <v>3.9800000000000002E-4</v>
      </c>
      <c r="BU133" s="3">
        <v>-3.9800000000000002E-4</v>
      </c>
      <c r="BV133" s="3">
        <v>0</v>
      </c>
      <c r="BW133" t="s">
        <v>7936</v>
      </c>
      <c r="BX133" t="s">
        <v>8187</v>
      </c>
      <c r="BY133" s="3">
        <v>343.32397370000001</v>
      </c>
      <c r="BZ133" t="s">
        <v>8188</v>
      </c>
      <c r="CA133" s="3">
        <v>-14.266595799999999</v>
      </c>
      <c r="CB133" s="3">
        <v>4.6751699999999996</v>
      </c>
      <c r="CC133" s="3">
        <v>1.67E-3</v>
      </c>
      <c r="CD133" s="3">
        <v>-1.67E-3</v>
      </c>
      <c r="CE133" s="3">
        <v>10.16</v>
      </c>
      <c r="CF133" s="3">
        <v>0.1</v>
      </c>
      <c r="CG133" s="3">
        <v>-0.1</v>
      </c>
      <c r="CH133" s="3">
        <v>5.01</v>
      </c>
      <c r="CI133" s="3">
        <v>2.1000000000000001E-2</v>
      </c>
      <c r="CJ133" s="3">
        <v>-2.1000000000000001E-2</v>
      </c>
      <c r="CK133" s="3">
        <v>8.8752999999999993</v>
      </c>
      <c r="CL133" s="3">
        <v>1.4499999999999999E-3</v>
      </c>
      <c r="CM133" s="3">
        <v>-1.4499999999999999E-3</v>
      </c>
      <c r="CN133" t="s">
        <v>1570</v>
      </c>
      <c r="CO133" t="s">
        <v>8195</v>
      </c>
      <c r="CP133" t="s">
        <v>1570</v>
      </c>
    </row>
    <row r="134" spans="1:94" x14ac:dyDescent="0.45">
      <c r="A134" t="s">
        <v>357</v>
      </c>
      <c r="B134">
        <v>0</v>
      </c>
      <c r="C134" t="s">
        <v>1567</v>
      </c>
      <c r="D134" t="s">
        <v>358</v>
      </c>
      <c r="E134" s="3">
        <v>0</v>
      </c>
      <c r="F134" s="3">
        <v>1</v>
      </c>
      <c r="G134" s="3">
        <v>4</v>
      </c>
      <c r="H134" t="s">
        <v>1427</v>
      </c>
      <c r="I134" s="3">
        <v>1998</v>
      </c>
      <c r="J134" t="s">
        <v>7932</v>
      </c>
      <c r="K134" t="s">
        <v>1429</v>
      </c>
      <c r="L134" s="3">
        <v>0</v>
      </c>
      <c r="M134" t="s">
        <v>8196</v>
      </c>
      <c r="N134" s="3">
        <v>61.02</v>
      </c>
      <c r="O134" s="3">
        <v>0.03</v>
      </c>
      <c r="P134" s="3">
        <v>-0.03</v>
      </c>
      <c r="Q134" s="3">
        <v>0</v>
      </c>
      <c r="R134" s="3">
        <v>0.20799999999999999</v>
      </c>
      <c r="U134" s="3">
        <v>0</v>
      </c>
      <c r="AD134" s="3">
        <v>600.66999999999996</v>
      </c>
      <c r="AE134" s="3">
        <v>95.34</v>
      </c>
      <c r="AF134" s="3">
        <v>-95.34</v>
      </c>
      <c r="AG134" s="3">
        <v>0</v>
      </c>
      <c r="AH134" s="3">
        <v>1.89</v>
      </c>
      <c r="AI134" s="3">
        <v>0.3</v>
      </c>
      <c r="AJ134" s="3">
        <v>-0.3</v>
      </c>
      <c r="AK134" s="3">
        <v>0</v>
      </c>
      <c r="AL134" t="s">
        <v>1426</v>
      </c>
      <c r="AM134" s="3">
        <v>0.1</v>
      </c>
      <c r="AN134" s="3">
        <v>0.02</v>
      </c>
      <c r="AO134" s="3">
        <v>-0.02</v>
      </c>
      <c r="AP134" s="3">
        <v>0</v>
      </c>
      <c r="AY134" s="3">
        <v>0</v>
      </c>
      <c r="AZ134" t="s">
        <v>7936</v>
      </c>
      <c r="BB134" s="3">
        <v>3271</v>
      </c>
      <c r="BC134" s="3">
        <v>157</v>
      </c>
      <c r="BD134" s="3">
        <v>-157</v>
      </c>
      <c r="BE134" s="3">
        <v>0</v>
      </c>
      <c r="BF134" s="3">
        <v>0.35222399999999998</v>
      </c>
      <c r="BG134" s="3">
        <v>1.0529999999999999E-2</v>
      </c>
      <c r="BH134" s="3">
        <v>-1.0529999999999999E-2</v>
      </c>
      <c r="BI134" s="3">
        <v>0</v>
      </c>
      <c r="BJ134" s="3">
        <v>0.33677800000000002</v>
      </c>
      <c r="BK134" s="3">
        <v>2.0240999999999999E-2</v>
      </c>
      <c r="BL134" s="3">
        <v>-2.0240999999999999E-2</v>
      </c>
      <c r="BM134" s="3">
        <v>0</v>
      </c>
      <c r="BS134" s="3">
        <v>4.8717699999999997</v>
      </c>
      <c r="BT134" s="3">
        <v>3.9800000000000002E-4</v>
      </c>
      <c r="BU134" s="3">
        <v>-3.9800000000000002E-4</v>
      </c>
      <c r="BV134" s="3">
        <v>0</v>
      </c>
      <c r="BW134" t="s">
        <v>7936</v>
      </c>
      <c r="BX134" t="s">
        <v>8187</v>
      </c>
      <c r="BY134" s="3">
        <v>343.32397370000001</v>
      </c>
      <c r="BZ134" t="s">
        <v>8188</v>
      </c>
      <c r="CA134" s="3">
        <v>-14.266595799999999</v>
      </c>
      <c r="CB134" s="3">
        <v>4.6751699999999996</v>
      </c>
      <c r="CC134" s="3">
        <v>1.67E-3</v>
      </c>
      <c r="CD134" s="3">
        <v>-1.67E-3</v>
      </c>
      <c r="CE134" s="3">
        <v>10.16</v>
      </c>
      <c r="CF134" s="3">
        <v>0.1</v>
      </c>
      <c r="CG134" s="3">
        <v>-0.1</v>
      </c>
      <c r="CH134" s="3">
        <v>5.01</v>
      </c>
      <c r="CI134" s="3">
        <v>2.1000000000000001E-2</v>
      </c>
      <c r="CJ134" s="3">
        <v>-2.1000000000000001E-2</v>
      </c>
      <c r="CK134" s="3">
        <v>8.8752999999999993</v>
      </c>
      <c r="CL134" s="3">
        <v>1.4499999999999999E-3</v>
      </c>
      <c r="CM134" s="3">
        <v>-1.4499999999999999E-3</v>
      </c>
      <c r="CN134" t="s">
        <v>1570</v>
      </c>
      <c r="CO134" t="s">
        <v>8197</v>
      </c>
      <c r="CP134" t="s">
        <v>1570</v>
      </c>
    </row>
    <row r="135" spans="1:94" x14ac:dyDescent="0.45">
      <c r="A135" t="s">
        <v>357</v>
      </c>
      <c r="B135">
        <v>0</v>
      </c>
      <c r="C135" t="s">
        <v>1567</v>
      </c>
      <c r="D135" t="s">
        <v>358</v>
      </c>
      <c r="E135" s="3">
        <v>0</v>
      </c>
      <c r="F135" s="3">
        <v>1</v>
      </c>
      <c r="G135" s="3">
        <v>4</v>
      </c>
      <c r="H135" t="s">
        <v>1427</v>
      </c>
      <c r="I135" s="3">
        <v>1998</v>
      </c>
      <c r="J135" t="s">
        <v>7932</v>
      </c>
      <c r="K135" t="s">
        <v>1429</v>
      </c>
      <c r="L135" s="3">
        <v>0</v>
      </c>
      <c r="M135" t="s">
        <v>8198</v>
      </c>
      <c r="N135" s="3">
        <v>61.087000000000003</v>
      </c>
      <c r="O135" s="3">
        <v>1.0999999999999999E-2</v>
      </c>
      <c r="P135" s="3">
        <v>-1.2E-2</v>
      </c>
      <c r="Q135" s="3">
        <v>0</v>
      </c>
      <c r="R135" s="3">
        <v>0.218585</v>
      </c>
      <c r="S135" s="3">
        <v>2.5999999999999998E-5</v>
      </c>
      <c r="T135" s="3">
        <v>-2.5999999999999998E-5</v>
      </c>
      <c r="U135" s="3">
        <v>0</v>
      </c>
      <c r="AD135" s="3">
        <v>845.3</v>
      </c>
      <c r="AE135" s="3">
        <v>16.600000000000001</v>
      </c>
      <c r="AF135" s="3">
        <v>-15</v>
      </c>
      <c r="AG135" s="3">
        <v>0</v>
      </c>
      <c r="AH135" s="3">
        <v>2.6595979000000001</v>
      </c>
      <c r="AI135" s="3">
        <v>5.222918E-2</v>
      </c>
      <c r="AJ135" s="3">
        <v>-4.7195040000000001E-2</v>
      </c>
      <c r="AK135" s="3">
        <v>0</v>
      </c>
      <c r="AL135" t="s">
        <v>1453</v>
      </c>
      <c r="AM135" s="3">
        <v>3.6799999999999999E-2</v>
      </c>
      <c r="AN135" s="3">
        <v>1.9E-3</v>
      </c>
      <c r="AO135" s="3">
        <v>-2.5000000000000001E-3</v>
      </c>
      <c r="AP135" s="3">
        <v>0</v>
      </c>
      <c r="AY135" s="3">
        <v>0</v>
      </c>
      <c r="AZ135" t="s">
        <v>8198</v>
      </c>
      <c r="BJ135" s="3">
        <v>0.37</v>
      </c>
      <c r="BM135" s="3">
        <v>0</v>
      </c>
      <c r="BW135" t="s">
        <v>7936</v>
      </c>
      <c r="BX135" t="s">
        <v>8187</v>
      </c>
      <c r="BY135" s="3">
        <v>343.32397370000001</v>
      </c>
      <c r="BZ135" t="s">
        <v>8188</v>
      </c>
      <c r="CA135" s="3">
        <v>-14.266595799999999</v>
      </c>
      <c r="CB135" s="3">
        <v>4.6751699999999996</v>
      </c>
      <c r="CC135" s="3">
        <v>1.67E-3</v>
      </c>
      <c r="CD135" s="3">
        <v>-1.67E-3</v>
      </c>
      <c r="CE135" s="3">
        <v>10.16</v>
      </c>
      <c r="CF135" s="3">
        <v>0.1</v>
      </c>
      <c r="CG135" s="3">
        <v>-0.1</v>
      </c>
      <c r="CH135" s="3">
        <v>5.01</v>
      </c>
      <c r="CI135" s="3">
        <v>2.1000000000000001E-2</v>
      </c>
      <c r="CJ135" s="3">
        <v>-2.1000000000000001E-2</v>
      </c>
      <c r="CK135" s="3">
        <v>8.8752999999999993</v>
      </c>
      <c r="CL135" s="3">
        <v>1.4499999999999999E-3</v>
      </c>
      <c r="CM135" s="3">
        <v>-1.4499999999999999E-3</v>
      </c>
      <c r="CN135" t="s">
        <v>8199</v>
      </c>
      <c r="CO135" t="s">
        <v>8200</v>
      </c>
      <c r="CP135" t="s">
        <v>8201</v>
      </c>
    </row>
    <row r="136" spans="1:94" x14ac:dyDescent="0.45">
      <c r="A136" t="s">
        <v>357</v>
      </c>
      <c r="B136">
        <v>0</v>
      </c>
      <c r="C136" t="s">
        <v>1567</v>
      </c>
      <c r="D136" t="s">
        <v>358</v>
      </c>
      <c r="E136" s="3">
        <v>0</v>
      </c>
      <c r="F136" s="3">
        <v>1</v>
      </c>
      <c r="G136" s="3">
        <v>4</v>
      </c>
      <c r="H136" t="s">
        <v>1427</v>
      </c>
      <c r="I136" s="3">
        <v>1998</v>
      </c>
      <c r="J136" t="s">
        <v>7932</v>
      </c>
      <c r="K136" t="s">
        <v>1429</v>
      </c>
      <c r="L136" s="3">
        <v>0</v>
      </c>
      <c r="M136" t="s">
        <v>8202</v>
      </c>
      <c r="N136" s="3">
        <v>61.064999999999998</v>
      </c>
      <c r="O136" s="3">
        <v>1.2E-2</v>
      </c>
      <c r="P136" s="3">
        <v>-1.2E-2</v>
      </c>
      <c r="Q136" s="3">
        <v>0</v>
      </c>
      <c r="R136" s="3">
        <v>0.21099999999999999</v>
      </c>
      <c r="U136" s="3">
        <v>0</v>
      </c>
      <c r="AD136" s="3">
        <v>839.04</v>
      </c>
      <c r="AG136" s="3">
        <v>0</v>
      </c>
      <c r="AH136" s="3">
        <v>2.64</v>
      </c>
      <c r="AK136" s="3">
        <v>0</v>
      </c>
      <c r="AL136" t="s">
        <v>1453</v>
      </c>
      <c r="AM136" s="3">
        <v>3.1E-2</v>
      </c>
      <c r="AN136" s="3">
        <v>1E-3</v>
      </c>
      <c r="AO136" s="3">
        <v>-1E-3</v>
      </c>
      <c r="AP136" s="3">
        <v>0</v>
      </c>
      <c r="AY136" s="3">
        <v>0</v>
      </c>
      <c r="AZ136" t="s">
        <v>8202</v>
      </c>
      <c r="BA136" t="s">
        <v>8025</v>
      </c>
      <c r="BJ136" s="3">
        <v>0.33400000000000002</v>
      </c>
      <c r="BK136" s="3">
        <v>3.3000000000000002E-2</v>
      </c>
      <c r="BL136" s="3">
        <v>-3.3000000000000002E-2</v>
      </c>
      <c r="BM136" s="3">
        <v>0</v>
      </c>
      <c r="BN136" s="3">
        <v>0.05</v>
      </c>
      <c r="BO136" s="3">
        <v>0.2</v>
      </c>
      <c r="BP136" s="3">
        <v>-0.2</v>
      </c>
      <c r="BQ136" s="3">
        <v>0</v>
      </c>
      <c r="BR136" t="s">
        <v>7935</v>
      </c>
      <c r="BW136" t="s">
        <v>7936</v>
      </c>
      <c r="BX136" t="s">
        <v>8187</v>
      </c>
      <c r="BY136" s="3">
        <v>343.32397370000001</v>
      </c>
      <c r="BZ136" t="s">
        <v>8188</v>
      </c>
      <c r="CA136" s="3">
        <v>-14.266595799999999</v>
      </c>
      <c r="CB136" s="3">
        <v>4.6751699999999996</v>
      </c>
      <c r="CC136" s="3">
        <v>1.67E-3</v>
      </c>
      <c r="CD136" s="3">
        <v>-1.67E-3</v>
      </c>
      <c r="CE136" s="3">
        <v>10.16</v>
      </c>
      <c r="CF136" s="3">
        <v>0.1</v>
      </c>
      <c r="CG136" s="3">
        <v>-0.1</v>
      </c>
      <c r="CH136" s="3">
        <v>5.01</v>
      </c>
      <c r="CI136" s="3">
        <v>2.1000000000000001E-2</v>
      </c>
      <c r="CJ136" s="3">
        <v>-2.1000000000000001E-2</v>
      </c>
      <c r="CK136" s="3">
        <v>8.8752999999999993</v>
      </c>
      <c r="CL136" s="3">
        <v>1.4499999999999999E-3</v>
      </c>
      <c r="CM136" s="3">
        <v>-1.4499999999999999E-3</v>
      </c>
      <c r="CN136" t="s">
        <v>1570</v>
      </c>
      <c r="CO136" t="s">
        <v>8203</v>
      </c>
      <c r="CP136" t="s">
        <v>1570</v>
      </c>
    </row>
    <row r="137" spans="1:94" x14ac:dyDescent="0.45">
      <c r="A137" t="s">
        <v>357</v>
      </c>
      <c r="B137">
        <v>0</v>
      </c>
      <c r="C137" t="s">
        <v>1567</v>
      </c>
      <c r="D137" t="s">
        <v>358</v>
      </c>
      <c r="E137" s="3">
        <v>0</v>
      </c>
      <c r="F137" s="3">
        <v>1</v>
      </c>
      <c r="G137" s="3">
        <v>4</v>
      </c>
      <c r="H137" t="s">
        <v>1427</v>
      </c>
      <c r="I137" s="3">
        <v>1998</v>
      </c>
      <c r="J137" t="s">
        <v>7932</v>
      </c>
      <c r="K137" t="s">
        <v>1429</v>
      </c>
      <c r="L137" s="3">
        <v>0</v>
      </c>
      <c r="M137" t="s">
        <v>8204</v>
      </c>
      <c r="N137" s="3">
        <v>60.85</v>
      </c>
      <c r="O137" s="3">
        <v>0.15</v>
      </c>
      <c r="P137" s="3">
        <v>-0.15</v>
      </c>
      <c r="Q137" s="3">
        <v>0</v>
      </c>
      <c r="R137" s="3">
        <v>0.21</v>
      </c>
      <c r="S137" s="3">
        <v>0.01</v>
      </c>
      <c r="T137" s="3">
        <v>-0.01</v>
      </c>
      <c r="U137" s="3">
        <v>0</v>
      </c>
      <c r="AD137" s="3">
        <v>670.59</v>
      </c>
      <c r="AE137" s="3">
        <v>63.56</v>
      </c>
      <c r="AF137" s="3">
        <v>-63.56</v>
      </c>
      <c r="AG137" s="3">
        <v>0</v>
      </c>
      <c r="AH137" s="3">
        <v>2.11</v>
      </c>
      <c r="AI137" s="3">
        <v>0.2</v>
      </c>
      <c r="AJ137" s="3">
        <v>-0.2</v>
      </c>
      <c r="AK137" s="3">
        <v>0</v>
      </c>
      <c r="AL137" t="s">
        <v>1426</v>
      </c>
      <c r="AM137" s="3">
        <v>0.27</v>
      </c>
      <c r="AN137" s="3">
        <v>0.03</v>
      </c>
      <c r="AO137" s="3">
        <v>-0.03</v>
      </c>
      <c r="AP137" s="3">
        <v>0</v>
      </c>
      <c r="AY137" s="3">
        <v>0</v>
      </c>
      <c r="AZ137" t="s">
        <v>7936</v>
      </c>
      <c r="BB137" s="3">
        <v>3271</v>
      </c>
      <c r="BC137" s="3">
        <v>157</v>
      </c>
      <c r="BD137" s="3">
        <v>-157</v>
      </c>
      <c r="BE137" s="3">
        <v>0</v>
      </c>
      <c r="BF137" s="3">
        <v>0.35222399999999998</v>
      </c>
      <c r="BG137" s="3">
        <v>1.0529999999999999E-2</v>
      </c>
      <c r="BH137" s="3">
        <v>-1.0529999999999999E-2</v>
      </c>
      <c r="BI137" s="3">
        <v>0</v>
      </c>
      <c r="BJ137" s="3">
        <v>0.33677800000000002</v>
      </c>
      <c r="BK137" s="3">
        <v>2.0240999999999999E-2</v>
      </c>
      <c r="BL137" s="3">
        <v>-2.0240999999999999E-2</v>
      </c>
      <c r="BM137" s="3">
        <v>0</v>
      </c>
      <c r="BS137" s="3">
        <v>4.8717699999999997</v>
      </c>
      <c r="BT137" s="3">
        <v>3.9800000000000002E-4</v>
      </c>
      <c r="BU137" s="3">
        <v>-3.9800000000000002E-4</v>
      </c>
      <c r="BV137" s="3">
        <v>0</v>
      </c>
      <c r="BW137" t="s">
        <v>7936</v>
      </c>
      <c r="BX137" t="s">
        <v>8187</v>
      </c>
      <c r="BY137" s="3">
        <v>343.32397370000001</v>
      </c>
      <c r="BZ137" t="s">
        <v>8188</v>
      </c>
      <c r="CA137" s="3">
        <v>-14.266595799999999</v>
      </c>
      <c r="CB137" s="3">
        <v>4.6751699999999996</v>
      </c>
      <c r="CC137" s="3">
        <v>1.67E-3</v>
      </c>
      <c r="CD137" s="3">
        <v>-1.67E-3</v>
      </c>
      <c r="CE137" s="3">
        <v>10.16</v>
      </c>
      <c r="CF137" s="3">
        <v>0.1</v>
      </c>
      <c r="CG137" s="3">
        <v>-0.1</v>
      </c>
      <c r="CH137" s="3">
        <v>5.01</v>
      </c>
      <c r="CI137" s="3">
        <v>2.1000000000000001E-2</v>
      </c>
      <c r="CJ137" s="3">
        <v>-2.1000000000000001E-2</v>
      </c>
      <c r="CK137" s="3">
        <v>8.8752999999999993</v>
      </c>
      <c r="CL137" s="3">
        <v>1.4499999999999999E-3</v>
      </c>
      <c r="CM137" s="3">
        <v>-1.4499999999999999E-3</v>
      </c>
      <c r="CN137" t="s">
        <v>1570</v>
      </c>
      <c r="CO137" t="s">
        <v>8205</v>
      </c>
      <c r="CP137" t="s">
        <v>1570</v>
      </c>
    </row>
    <row r="138" spans="1:94" x14ac:dyDescent="0.45">
      <c r="A138" t="s">
        <v>357</v>
      </c>
      <c r="B138">
        <v>0</v>
      </c>
      <c r="C138" t="s">
        <v>1571</v>
      </c>
      <c r="D138" t="s">
        <v>358</v>
      </c>
      <c r="E138" s="3">
        <v>0</v>
      </c>
      <c r="F138" s="3">
        <v>1</v>
      </c>
      <c r="G138" s="3">
        <v>4</v>
      </c>
      <c r="H138" t="s">
        <v>1427</v>
      </c>
      <c r="I138" s="3">
        <v>2000</v>
      </c>
      <c r="J138" t="s">
        <v>7932</v>
      </c>
      <c r="K138" t="s">
        <v>1429</v>
      </c>
      <c r="L138" s="3">
        <v>0</v>
      </c>
      <c r="M138" t="s">
        <v>8198</v>
      </c>
      <c r="N138" s="3">
        <v>30.078399999999998</v>
      </c>
      <c r="O138" s="3">
        <v>7.4999999999999997E-3</v>
      </c>
      <c r="P138" s="3">
        <v>-7.1000000000000004E-3</v>
      </c>
      <c r="Q138" s="3">
        <v>0</v>
      </c>
      <c r="R138" s="3">
        <v>0.135989</v>
      </c>
      <c r="S138" s="3">
        <v>2.3E-5</v>
      </c>
      <c r="T138" s="3">
        <v>-2.0999999999999999E-5</v>
      </c>
      <c r="U138" s="3">
        <v>0</v>
      </c>
      <c r="AD138" s="3">
        <v>266.2</v>
      </c>
      <c r="AE138" s="3">
        <v>4.8</v>
      </c>
      <c r="AF138" s="3">
        <v>-4.3</v>
      </c>
      <c r="AG138" s="3">
        <v>0</v>
      </c>
      <c r="AH138" s="3">
        <v>0.83755466999999995</v>
      </c>
      <c r="AI138" s="3">
        <v>1.510241E-2</v>
      </c>
      <c r="AJ138" s="3">
        <v>-1.352925E-2</v>
      </c>
      <c r="AK138" s="3">
        <v>0</v>
      </c>
      <c r="AL138" t="s">
        <v>1453</v>
      </c>
      <c r="AM138" s="3">
        <v>0.25309999999999999</v>
      </c>
      <c r="AN138" s="3">
        <v>3.0999999999999999E-3</v>
      </c>
      <c r="AO138" s="3">
        <v>-3.0999999999999999E-3</v>
      </c>
      <c r="AP138" s="3">
        <v>0</v>
      </c>
      <c r="AY138" s="3">
        <v>0</v>
      </c>
      <c r="AZ138" t="s">
        <v>8198</v>
      </c>
      <c r="BJ138" s="3">
        <v>0.37</v>
      </c>
      <c r="BM138" s="3">
        <v>0</v>
      </c>
      <c r="BW138" t="s">
        <v>7936</v>
      </c>
      <c r="BX138" t="s">
        <v>8187</v>
      </c>
      <c r="BY138" s="3">
        <v>343.32397370000001</v>
      </c>
      <c r="BZ138" t="s">
        <v>8188</v>
      </c>
      <c r="CA138" s="3">
        <v>-14.266595799999999</v>
      </c>
      <c r="CB138" s="3">
        <v>4.6751699999999996</v>
      </c>
      <c r="CC138" s="3">
        <v>1.67E-3</v>
      </c>
      <c r="CD138" s="3">
        <v>-1.67E-3</v>
      </c>
      <c r="CE138" s="3">
        <v>10.16</v>
      </c>
      <c r="CF138" s="3">
        <v>0.1</v>
      </c>
      <c r="CG138" s="3">
        <v>-0.1</v>
      </c>
      <c r="CH138" s="3">
        <v>5.01</v>
      </c>
      <c r="CI138" s="3">
        <v>2.1000000000000001E-2</v>
      </c>
      <c r="CJ138" s="3">
        <v>-2.1000000000000001E-2</v>
      </c>
      <c r="CK138" s="3">
        <v>8.8752999999999993</v>
      </c>
      <c r="CL138" s="3">
        <v>1.4499999999999999E-3</v>
      </c>
      <c r="CM138" s="3">
        <v>-1.4499999999999999E-3</v>
      </c>
      <c r="CN138" t="s">
        <v>8199</v>
      </c>
      <c r="CO138" t="s">
        <v>8200</v>
      </c>
      <c r="CP138" t="s">
        <v>8201</v>
      </c>
    </row>
    <row r="139" spans="1:94" x14ac:dyDescent="0.45">
      <c r="A139" t="s">
        <v>357</v>
      </c>
      <c r="B139">
        <v>0</v>
      </c>
      <c r="C139" t="s">
        <v>1571</v>
      </c>
      <c r="D139" t="s">
        <v>358</v>
      </c>
      <c r="E139" s="3">
        <v>0</v>
      </c>
      <c r="F139" s="3">
        <v>1</v>
      </c>
      <c r="G139" s="3">
        <v>4</v>
      </c>
      <c r="H139" t="s">
        <v>1427</v>
      </c>
      <c r="I139" s="3">
        <v>2000</v>
      </c>
      <c r="J139" t="s">
        <v>7932</v>
      </c>
      <c r="K139" t="s">
        <v>1429</v>
      </c>
      <c r="L139" s="3">
        <v>0</v>
      </c>
      <c r="M139" t="s">
        <v>8196</v>
      </c>
      <c r="N139" s="3">
        <v>30.12</v>
      </c>
      <c r="O139" s="3">
        <v>0.02</v>
      </c>
      <c r="P139" s="3">
        <v>-0.02</v>
      </c>
      <c r="Q139" s="3">
        <v>0</v>
      </c>
      <c r="R139" s="3">
        <v>0.13</v>
      </c>
      <c r="U139" s="3">
        <v>0</v>
      </c>
      <c r="AD139" s="3">
        <v>177.98</v>
      </c>
      <c r="AE139" s="3">
        <v>28.6</v>
      </c>
      <c r="AF139" s="3">
        <v>-28.6</v>
      </c>
      <c r="AG139" s="3">
        <v>0</v>
      </c>
      <c r="AH139" s="3">
        <v>0.56000000000000005</v>
      </c>
      <c r="AI139" s="3">
        <v>0.09</v>
      </c>
      <c r="AJ139" s="3">
        <v>-0.09</v>
      </c>
      <c r="AK139" s="3">
        <v>0</v>
      </c>
      <c r="AL139" t="s">
        <v>1426</v>
      </c>
      <c r="AM139" s="3">
        <v>0.27</v>
      </c>
      <c r="AN139" s="3">
        <v>0.04</v>
      </c>
      <c r="AO139" s="3">
        <v>-0.04</v>
      </c>
      <c r="AP139" s="3">
        <v>0</v>
      </c>
      <c r="AY139" s="3">
        <v>0</v>
      </c>
      <c r="AZ139" t="s">
        <v>7936</v>
      </c>
      <c r="BB139" s="3">
        <v>3271</v>
      </c>
      <c r="BC139" s="3">
        <v>157</v>
      </c>
      <c r="BD139" s="3">
        <v>-157</v>
      </c>
      <c r="BE139" s="3">
        <v>0</v>
      </c>
      <c r="BF139" s="3">
        <v>0.35222399999999998</v>
      </c>
      <c r="BG139" s="3">
        <v>1.0529999999999999E-2</v>
      </c>
      <c r="BH139" s="3">
        <v>-1.0529999999999999E-2</v>
      </c>
      <c r="BI139" s="3">
        <v>0</v>
      </c>
      <c r="BJ139" s="3">
        <v>0.33677800000000002</v>
      </c>
      <c r="BK139" s="3">
        <v>2.0240999999999999E-2</v>
      </c>
      <c r="BL139" s="3">
        <v>-2.0240999999999999E-2</v>
      </c>
      <c r="BM139" s="3">
        <v>0</v>
      </c>
      <c r="BS139" s="3">
        <v>4.8717699999999997</v>
      </c>
      <c r="BT139" s="3">
        <v>3.9800000000000002E-4</v>
      </c>
      <c r="BU139" s="3">
        <v>-3.9800000000000002E-4</v>
      </c>
      <c r="BV139" s="3">
        <v>0</v>
      </c>
      <c r="BW139" t="s">
        <v>7936</v>
      </c>
      <c r="BX139" t="s">
        <v>8187</v>
      </c>
      <c r="BY139" s="3">
        <v>343.32397370000001</v>
      </c>
      <c r="BZ139" t="s">
        <v>8188</v>
      </c>
      <c r="CA139" s="3">
        <v>-14.266595799999999</v>
      </c>
      <c r="CB139" s="3">
        <v>4.6751699999999996</v>
      </c>
      <c r="CC139" s="3">
        <v>1.67E-3</v>
      </c>
      <c r="CD139" s="3">
        <v>-1.67E-3</v>
      </c>
      <c r="CE139" s="3">
        <v>10.16</v>
      </c>
      <c r="CF139" s="3">
        <v>0.1</v>
      </c>
      <c r="CG139" s="3">
        <v>-0.1</v>
      </c>
      <c r="CH139" s="3">
        <v>5.01</v>
      </c>
      <c r="CI139" s="3">
        <v>2.1000000000000001E-2</v>
      </c>
      <c r="CJ139" s="3">
        <v>-2.1000000000000001E-2</v>
      </c>
      <c r="CK139" s="3">
        <v>8.8752999999999993</v>
      </c>
      <c r="CL139" s="3">
        <v>1.4499999999999999E-3</v>
      </c>
      <c r="CM139" s="3">
        <v>-1.4499999999999999E-3</v>
      </c>
      <c r="CN139" t="s">
        <v>1570</v>
      </c>
      <c r="CO139" t="s">
        <v>8197</v>
      </c>
      <c r="CP139" t="s">
        <v>1570</v>
      </c>
    </row>
    <row r="140" spans="1:94" x14ac:dyDescent="0.45">
      <c r="A140" t="s">
        <v>357</v>
      </c>
      <c r="B140">
        <v>0</v>
      </c>
      <c r="C140" t="s">
        <v>1571</v>
      </c>
      <c r="D140" t="s">
        <v>358</v>
      </c>
      <c r="E140" s="3">
        <v>0</v>
      </c>
      <c r="F140" s="3">
        <v>1</v>
      </c>
      <c r="G140" s="3">
        <v>4</v>
      </c>
      <c r="H140" t="s">
        <v>1427</v>
      </c>
      <c r="I140" s="3">
        <v>2000</v>
      </c>
      <c r="J140" t="s">
        <v>7932</v>
      </c>
      <c r="K140" t="s">
        <v>1429</v>
      </c>
      <c r="L140" s="3">
        <v>0</v>
      </c>
      <c r="M140" t="s">
        <v>8194</v>
      </c>
      <c r="N140" s="3">
        <v>30.454999999999998</v>
      </c>
      <c r="O140" s="3">
        <v>1.9E-2</v>
      </c>
      <c r="P140" s="3">
        <v>-1.9E-2</v>
      </c>
      <c r="Q140" s="3">
        <v>0</v>
      </c>
      <c r="R140" s="3">
        <v>0.13064999999999999</v>
      </c>
      <c r="S140" s="3">
        <v>5.0000000000000002E-5</v>
      </c>
      <c r="T140" s="3">
        <v>-5.0000000000000002E-5</v>
      </c>
      <c r="U140" s="3">
        <v>0</v>
      </c>
      <c r="AD140" s="3">
        <v>251.07499999999999</v>
      </c>
      <c r="AE140" s="3">
        <v>1.907</v>
      </c>
      <c r="AF140" s="3">
        <v>-1.907</v>
      </c>
      <c r="AG140" s="3">
        <v>0</v>
      </c>
      <c r="AH140" s="3">
        <v>0.79</v>
      </c>
      <c r="AI140" s="3">
        <v>6.0000000000000001E-3</v>
      </c>
      <c r="AJ140" s="3">
        <v>-6.0000000000000001E-3</v>
      </c>
      <c r="AK140" s="3">
        <v>0</v>
      </c>
      <c r="AL140" t="s">
        <v>1453</v>
      </c>
      <c r="AM140" s="3">
        <v>0.26319999999999999</v>
      </c>
      <c r="AN140" s="3">
        <v>1.2999999999999999E-3</v>
      </c>
      <c r="AO140" s="3">
        <v>-1.2999999999999999E-3</v>
      </c>
      <c r="AP140" s="3">
        <v>0</v>
      </c>
      <c r="AY140" s="3">
        <v>0</v>
      </c>
      <c r="AZ140" t="s">
        <v>7936</v>
      </c>
      <c r="BB140" s="3">
        <v>3271</v>
      </c>
      <c r="BC140" s="3">
        <v>157</v>
      </c>
      <c r="BD140" s="3">
        <v>-157</v>
      </c>
      <c r="BE140" s="3">
        <v>0</v>
      </c>
      <c r="BF140" s="3">
        <v>0.35222399999999998</v>
      </c>
      <c r="BG140" s="3">
        <v>1.0529999999999999E-2</v>
      </c>
      <c r="BH140" s="3">
        <v>-1.0529999999999999E-2</v>
      </c>
      <c r="BI140" s="3">
        <v>0</v>
      </c>
      <c r="BJ140" s="3">
        <v>0.33677800000000002</v>
      </c>
      <c r="BK140" s="3">
        <v>2.0240999999999999E-2</v>
      </c>
      <c r="BL140" s="3">
        <v>-2.0240999999999999E-2</v>
      </c>
      <c r="BM140" s="3">
        <v>0</v>
      </c>
      <c r="BS140" s="3">
        <v>4.8717699999999997</v>
      </c>
      <c r="BT140" s="3">
        <v>3.9800000000000002E-4</v>
      </c>
      <c r="BU140" s="3">
        <v>-3.9800000000000002E-4</v>
      </c>
      <c r="BV140" s="3">
        <v>0</v>
      </c>
      <c r="BW140" t="s">
        <v>7936</v>
      </c>
      <c r="BX140" t="s">
        <v>8187</v>
      </c>
      <c r="BY140" s="3">
        <v>343.32397370000001</v>
      </c>
      <c r="BZ140" t="s">
        <v>8188</v>
      </c>
      <c r="CA140" s="3">
        <v>-14.266595799999999</v>
      </c>
      <c r="CB140" s="3">
        <v>4.6751699999999996</v>
      </c>
      <c r="CC140" s="3">
        <v>1.67E-3</v>
      </c>
      <c r="CD140" s="3">
        <v>-1.67E-3</v>
      </c>
      <c r="CE140" s="3">
        <v>10.16</v>
      </c>
      <c r="CF140" s="3">
        <v>0.1</v>
      </c>
      <c r="CG140" s="3">
        <v>-0.1</v>
      </c>
      <c r="CH140" s="3">
        <v>5.01</v>
      </c>
      <c r="CI140" s="3">
        <v>2.1000000000000001E-2</v>
      </c>
      <c r="CJ140" s="3">
        <v>-2.1000000000000001E-2</v>
      </c>
      <c r="CK140" s="3">
        <v>8.8752999999999993</v>
      </c>
      <c r="CL140" s="3">
        <v>1.4499999999999999E-3</v>
      </c>
      <c r="CM140" s="3">
        <v>-1.4499999999999999E-3</v>
      </c>
      <c r="CN140" t="s">
        <v>1570</v>
      </c>
      <c r="CO140" t="s">
        <v>8195</v>
      </c>
      <c r="CP140" t="s">
        <v>1570</v>
      </c>
    </row>
    <row r="141" spans="1:94" x14ac:dyDescent="0.45">
      <c r="A141" t="s">
        <v>357</v>
      </c>
      <c r="B141">
        <v>0</v>
      </c>
      <c r="C141" t="s">
        <v>1571</v>
      </c>
      <c r="D141" t="s">
        <v>358</v>
      </c>
      <c r="E141" s="3">
        <v>0</v>
      </c>
      <c r="F141" s="3">
        <v>1</v>
      </c>
      <c r="G141" s="3">
        <v>4</v>
      </c>
      <c r="H141" t="s">
        <v>1427</v>
      </c>
      <c r="I141" s="3">
        <v>2000</v>
      </c>
      <c r="J141" t="s">
        <v>7932</v>
      </c>
      <c r="K141" t="s">
        <v>1429</v>
      </c>
      <c r="L141" s="3">
        <v>0</v>
      </c>
      <c r="M141" t="s">
        <v>8121</v>
      </c>
      <c r="N141" s="3">
        <v>30.126000000000001</v>
      </c>
      <c r="O141" s="3">
        <v>1.0999999999999999E-2</v>
      </c>
      <c r="P141" s="3">
        <v>-3.0000000000000001E-3</v>
      </c>
      <c r="Q141" s="3">
        <v>0</v>
      </c>
      <c r="R141" s="3">
        <v>0.13400000000000001</v>
      </c>
      <c r="S141" s="3">
        <v>1E-3</v>
      </c>
      <c r="T141" s="3">
        <v>-1E-3</v>
      </c>
      <c r="U141" s="3">
        <v>0</v>
      </c>
      <c r="AD141" s="3">
        <v>281.74196542999999</v>
      </c>
      <c r="AE141" s="3">
        <v>0.81664338000000003</v>
      </c>
      <c r="AF141" s="3">
        <v>-0.81664338000000003</v>
      </c>
      <c r="AG141" s="3">
        <v>0</v>
      </c>
      <c r="AH141" s="3">
        <v>0.88645490999999998</v>
      </c>
      <c r="AI141" s="3">
        <v>2.5694300000000002E-3</v>
      </c>
      <c r="AJ141" s="3">
        <v>-2.5694300000000002E-3</v>
      </c>
      <c r="AK141" s="3">
        <v>0</v>
      </c>
      <c r="AL141" t="s">
        <v>1601</v>
      </c>
      <c r="AM141" s="3">
        <v>0.25</v>
      </c>
      <c r="AN141" s="3">
        <v>1E-3</v>
      </c>
      <c r="AO141" s="3">
        <v>-2E-3</v>
      </c>
      <c r="AP141" s="3">
        <v>0</v>
      </c>
      <c r="AY141" s="3">
        <v>0</v>
      </c>
      <c r="AZ141" t="s">
        <v>7936</v>
      </c>
      <c r="BB141" s="3">
        <v>3271</v>
      </c>
      <c r="BC141" s="3">
        <v>157</v>
      </c>
      <c r="BD141" s="3">
        <v>-157</v>
      </c>
      <c r="BE141" s="3">
        <v>0</v>
      </c>
      <c r="BF141" s="3">
        <v>0.35222399999999998</v>
      </c>
      <c r="BG141" s="3">
        <v>1.0529999999999999E-2</v>
      </c>
      <c r="BH141" s="3">
        <v>-1.0529999999999999E-2</v>
      </c>
      <c r="BI141" s="3">
        <v>0</v>
      </c>
      <c r="BJ141" s="3">
        <v>0.33677800000000002</v>
      </c>
      <c r="BK141" s="3">
        <v>2.0240999999999999E-2</v>
      </c>
      <c r="BL141" s="3">
        <v>-2.0240999999999999E-2</v>
      </c>
      <c r="BM141" s="3">
        <v>0</v>
      </c>
      <c r="BS141" s="3">
        <v>4.8717699999999997</v>
      </c>
      <c r="BT141" s="3">
        <v>3.9800000000000002E-4</v>
      </c>
      <c r="BU141" s="3">
        <v>-3.9800000000000002E-4</v>
      </c>
      <c r="BV141" s="3">
        <v>0</v>
      </c>
      <c r="BW141" t="s">
        <v>7936</v>
      </c>
      <c r="BX141" t="s">
        <v>8187</v>
      </c>
      <c r="BY141" s="3">
        <v>343.32397370000001</v>
      </c>
      <c r="BZ141" t="s">
        <v>8188</v>
      </c>
      <c r="CA141" s="3">
        <v>-14.266595799999999</v>
      </c>
      <c r="CB141" s="3">
        <v>4.6751699999999996</v>
      </c>
      <c r="CC141" s="3">
        <v>1.67E-3</v>
      </c>
      <c r="CD141" s="3">
        <v>-1.67E-3</v>
      </c>
      <c r="CE141" s="3">
        <v>10.16</v>
      </c>
      <c r="CF141" s="3">
        <v>0.1</v>
      </c>
      <c r="CG141" s="3">
        <v>-0.1</v>
      </c>
      <c r="CH141" s="3">
        <v>5.01</v>
      </c>
      <c r="CI141" s="3">
        <v>2.1000000000000001E-2</v>
      </c>
      <c r="CJ141" s="3">
        <v>-2.1000000000000001E-2</v>
      </c>
      <c r="CK141" s="3">
        <v>8.8752999999999993</v>
      </c>
      <c r="CL141" s="3">
        <v>1.4499999999999999E-3</v>
      </c>
      <c r="CM141" s="3">
        <v>-1.4499999999999999E-3</v>
      </c>
      <c r="CN141" t="s">
        <v>8122</v>
      </c>
      <c r="CO141" t="s">
        <v>8123</v>
      </c>
      <c r="CP141" t="s">
        <v>8124</v>
      </c>
    </row>
    <row r="142" spans="1:94" x14ac:dyDescent="0.45">
      <c r="A142" t="s">
        <v>357</v>
      </c>
      <c r="B142">
        <v>1</v>
      </c>
      <c r="C142" t="s">
        <v>1571</v>
      </c>
      <c r="D142" t="s">
        <v>358</v>
      </c>
      <c r="E142" s="3">
        <v>1</v>
      </c>
      <c r="F142" s="3">
        <v>1</v>
      </c>
      <c r="G142" s="3">
        <v>4</v>
      </c>
      <c r="H142" t="s">
        <v>1427</v>
      </c>
      <c r="I142" s="3">
        <v>2000</v>
      </c>
      <c r="J142" t="s">
        <v>7932</v>
      </c>
      <c r="K142" t="s">
        <v>1429</v>
      </c>
      <c r="L142" s="3">
        <v>0</v>
      </c>
      <c r="M142" t="s">
        <v>8192</v>
      </c>
      <c r="N142" s="3">
        <v>30.088100000000001</v>
      </c>
      <c r="O142" s="3">
        <v>8.2000000000000007E-3</v>
      </c>
      <c r="P142" s="3">
        <v>-8.2000000000000007E-3</v>
      </c>
      <c r="Q142" s="3">
        <v>0</v>
      </c>
      <c r="R142" s="3">
        <v>0.12959000000000001</v>
      </c>
      <c r="S142" s="3">
        <v>2.4000000000000001E-5</v>
      </c>
      <c r="T142" s="3">
        <v>-2.4000000000000001E-5</v>
      </c>
      <c r="U142" s="3">
        <v>0</v>
      </c>
      <c r="AD142" s="3">
        <v>226.9846</v>
      </c>
      <c r="AE142" s="3">
        <v>1.2395</v>
      </c>
      <c r="AF142" s="3">
        <v>-1.2395</v>
      </c>
      <c r="AG142" s="3">
        <v>0</v>
      </c>
      <c r="AH142" s="3">
        <v>0.71419999999999995</v>
      </c>
      <c r="AI142" s="3">
        <v>3.8999999999999998E-3</v>
      </c>
      <c r="AJ142" s="3">
        <v>-3.8999999999999998E-3</v>
      </c>
      <c r="AK142" s="3">
        <v>0</v>
      </c>
      <c r="AL142" t="s">
        <v>1453</v>
      </c>
      <c r="AM142" s="3">
        <v>0.25591000000000003</v>
      </c>
      <c r="AN142" s="3">
        <v>9.3000000000000005E-4</v>
      </c>
      <c r="AO142" s="3">
        <v>-9.3000000000000005E-4</v>
      </c>
      <c r="AP142" s="3">
        <v>0</v>
      </c>
      <c r="AY142" s="3">
        <v>0</v>
      </c>
      <c r="AZ142" t="s">
        <v>8192</v>
      </c>
      <c r="BF142" s="3">
        <v>0.3</v>
      </c>
      <c r="BI142" s="3">
        <v>0</v>
      </c>
      <c r="BJ142" s="3">
        <v>0.32</v>
      </c>
      <c r="BK142" s="3">
        <v>0.03</v>
      </c>
      <c r="BL142" s="3">
        <v>-0.03</v>
      </c>
      <c r="BM142" s="3">
        <v>0</v>
      </c>
      <c r="BW142" t="s">
        <v>7936</v>
      </c>
      <c r="BX142" t="s">
        <v>8187</v>
      </c>
      <c r="BY142" s="3">
        <v>343.32397370000001</v>
      </c>
      <c r="BZ142" t="s">
        <v>8188</v>
      </c>
      <c r="CA142" s="3">
        <v>-14.266595799999999</v>
      </c>
      <c r="CB142" s="3">
        <v>4.6751699999999996</v>
      </c>
      <c r="CC142" s="3">
        <v>1.67E-3</v>
      </c>
      <c r="CD142" s="3">
        <v>-1.67E-3</v>
      </c>
      <c r="CE142" s="3">
        <v>10.16</v>
      </c>
      <c r="CF142" s="3">
        <v>0.1</v>
      </c>
      <c r="CG142" s="3">
        <v>-0.1</v>
      </c>
      <c r="CH142" s="3">
        <v>5.01</v>
      </c>
      <c r="CI142" s="3">
        <v>2.1000000000000001E-2</v>
      </c>
      <c r="CJ142" s="3">
        <v>-2.1000000000000001E-2</v>
      </c>
      <c r="CK142" s="3">
        <v>8.8752999999999993</v>
      </c>
      <c r="CL142" s="3">
        <v>1.4499999999999999E-3</v>
      </c>
      <c r="CM142" s="3">
        <v>-1.4499999999999999E-3</v>
      </c>
      <c r="CN142" t="s">
        <v>1570</v>
      </c>
      <c r="CO142" t="s">
        <v>8193</v>
      </c>
      <c r="CP142" t="s">
        <v>1570</v>
      </c>
    </row>
    <row r="143" spans="1:94" x14ac:dyDescent="0.45">
      <c r="A143" t="s">
        <v>357</v>
      </c>
      <c r="B143">
        <v>0</v>
      </c>
      <c r="C143" t="s">
        <v>1571</v>
      </c>
      <c r="D143" t="s">
        <v>358</v>
      </c>
      <c r="E143" s="3">
        <v>0</v>
      </c>
      <c r="F143" s="3">
        <v>1</v>
      </c>
      <c r="G143" s="3">
        <v>4</v>
      </c>
      <c r="H143" t="s">
        <v>1427</v>
      </c>
      <c r="I143" s="3">
        <v>2000</v>
      </c>
      <c r="J143" t="s">
        <v>7932</v>
      </c>
      <c r="K143" t="s">
        <v>1429</v>
      </c>
      <c r="L143" s="3">
        <v>0</v>
      </c>
      <c r="M143" t="s">
        <v>8202</v>
      </c>
      <c r="N143" s="3">
        <v>30.259</v>
      </c>
      <c r="O143" s="3">
        <v>0.01</v>
      </c>
      <c r="P143" s="3">
        <v>-0.01</v>
      </c>
      <c r="Q143" s="3">
        <v>0</v>
      </c>
      <c r="R143" s="3">
        <v>0.13200000000000001</v>
      </c>
      <c r="U143" s="3">
        <v>0</v>
      </c>
      <c r="AD143" s="3">
        <v>273.32</v>
      </c>
      <c r="AG143" s="3">
        <v>0</v>
      </c>
      <c r="AH143" s="3">
        <v>0.86</v>
      </c>
      <c r="AK143" s="3">
        <v>0</v>
      </c>
      <c r="AL143" t="s">
        <v>1453</v>
      </c>
      <c r="AM143" s="3">
        <v>0.26500000000000001</v>
      </c>
      <c r="AN143" s="3">
        <v>2E-3</v>
      </c>
      <c r="AO143" s="3">
        <v>-2E-3</v>
      </c>
      <c r="AP143" s="3">
        <v>0</v>
      </c>
      <c r="AY143" s="3">
        <v>0</v>
      </c>
      <c r="AZ143" t="s">
        <v>8202</v>
      </c>
      <c r="BA143" t="s">
        <v>8025</v>
      </c>
      <c r="BJ143" s="3">
        <v>0.33400000000000002</v>
      </c>
      <c r="BK143" s="3">
        <v>3.3000000000000002E-2</v>
      </c>
      <c r="BL143" s="3">
        <v>-3.3000000000000002E-2</v>
      </c>
      <c r="BM143" s="3">
        <v>0</v>
      </c>
      <c r="BN143" s="3">
        <v>0.05</v>
      </c>
      <c r="BO143" s="3">
        <v>0.2</v>
      </c>
      <c r="BP143" s="3">
        <v>-0.2</v>
      </c>
      <c r="BQ143" s="3">
        <v>0</v>
      </c>
      <c r="BR143" t="s">
        <v>7935</v>
      </c>
      <c r="BW143" t="s">
        <v>7936</v>
      </c>
      <c r="BX143" t="s">
        <v>8187</v>
      </c>
      <c r="BY143" s="3">
        <v>343.32397370000001</v>
      </c>
      <c r="BZ143" t="s">
        <v>8188</v>
      </c>
      <c r="CA143" s="3">
        <v>-14.266595799999999</v>
      </c>
      <c r="CB143" s="3">
        <v>4.6751699999999996</v>
      </c>
      <c r="CC143" s="3">
        <v>1.67E-3</v>
      </c>
      <c r="CD143" s="3">
        <v>-1.67E-3</v>
      </c>
      <c r="CE143" s="3">
        <v>10.16</v>
      </c>
      <c r="CF143" s="3">
        <v>0.1</v>
      </c>
      <c r="CG143" s="3">
        <v>-0.1</v>
      </c>
      <c r="CH143" s="3">
        <v>5.01</v>
      </c>
      <c r="CI143" s="3">
        <v>2.1000000000000001E-2</v>
      </c>
      <c r="CJ143" s="3">
        <v>-2.1000000000000001E-2</v>
      </c>
      <c r="CK143" s="3">
        <v>8.8752999999999993</v>
      </c>
      <c r="CL143" s="3">
        <v>1.4499999999999999E-3</v>
      </c>
      <c r="CM143" s="3">
        <v>-1.4499999999999999E-3</v>
      </c>
      <c r="CN143" t="s">
        <v>1570</v>
      </c>
      <c r="CO143" t="s">
        <v>8203</v>
      </c>
      <c r="CP143" t="s">
        <v>1570</v>
      </c>
    </row>
    <row r="144" spans="1:94" x14ac:dyDescent="0.45">
      <c r="A144" t="s">
        <v>357</v>
      </c>
      <c r="B144">
        <v>0</v>
      </c>
      <c r="C144" t="s">
        <v>1571</v>
      </c>
      <c r="D144" t="s">
        <v>358</v>
      </c>
      <c r="E144" s="3">
        <v>0</v>
      </c>
      <c r="F144" s="3">
        <v>1</v>
      </c>
      <c r="G144" s="3">
        <v>4</v>
      </c>
      <c r="H144" t="s">
        <v>1427</v>
      </c>
      <c r="I144" s="3">
        <v>2000</v>
      </c>
      <c r="J144" t="s">
        <v>7932</v>
      </c>
      <c r="K144" t="s">
        <v>1429</v>
      </c>
      <c r="L144" s="3">
        <v>0</v>
      </c>
      <c r="M144" t="s">
        <v>7942</v>
      </c>
      <c r="N144" s="3">
        <v>30.229019999999998</v>
      </c>
      <c r="O144" s="3">
        <v>5.1999999999999995E-4</v>
      </c>
      <c r="P144" s="3">
        <v>-5.5000000000000003E-4</v>
      </c>
      <c r="Q144" s="3">
        <v>0</v>
      </c>
      <c r="R144" s="3">
        <v>0.1363</v>
      </c>
      <c r="S144" s="3">
        <v>1.1000000000000001E-3</v>
      </c>
      <c r="T144" s="3">
        <v>-1.1999999999999999E-3</v>
      </c>
      <c r="U144" s="3">
        <v>0</v>
      </c>
      <c r="AD144" s="3">
        <v>221.84422809</v>
      </c>
      <c r="AE144" s="3">
        <v>3.8139408800000001</v>
      </c>
      <c r="AF144" s="3">
        <v>-4.1317692900000003</v>
      </c>
      <c r="AG144" s="3">
        <v>0</v>
      </c>
      <c r="AH144" s="3">
        <v>0.69799999999999995</v>
      </c>
      <c r="AI144" s="3">
        <v>1.2E-2</v>
      </c>
      <c r="AJ144" s="3">
        <v>-1.2999999999999999E-2</v>
      </c>
      <c r="AK144" s="3">
        <v>0</v>
      </c>
      <c r="AL144" t="s">
        <v>1426</v>
      </c>
      <c r="AM144" s="3">
        <v>6.8999999999999999E-3</v>
      </c>
      <c r="AN144" s="3">
        <v>6.3E-3</v>
      </c>
      <c r="AO144" s="3">
        <v>-5.0000000000000001E-3</v>
      </c>
      <c r="AP144" s="3">
        <v>0</v>
      </c>
      <c r="AY144" s="3">
        <v>0</v>
      </c>
      <c r="AZ144" t="s">
        <v>7942</v>
      </c>
      <c r="BB144" s="3">
        <v>3293.74</v>
      </c>
      <c r="BC144" s="3">
        <v>48.39</v>
      </c>
      <c r="BD144" s="3">
        <v>-48.39</v>
      </c>
      <c r="BE144" s="3">
        <v>0</v>
      </c>
      <c r="BF144" s="3">
        <v>0.36699999999999999</v>
      </c>
      <c r="BG144" s="3">
        <v>8.0199999999999994E-3</v>
      </c>
      <c r="BH144" s="3">
        <v>-8.0199999999999994E-3</v>
      </c>
      <c r="BI144" s="3">
        <v>0</v>
      </c>
      <c r="BJ144" s="3">
        <v>0.36960700000000002</v>
      </c>
      <c r="BK144" s="3">
        <v>9.2510000000000005E-3</v>
      </c>
      <c r="BL144" s="3">
        <v>-9.2510000000000005E-3</v>
      </c>
      <c r="BM144" s="3">
        <v>0</v>
      </c>
      <c r="BN144" s="3">
        <v>0.21290000000000001</v>
      </c>
      <c r="BO144" s="3">
        <v>6.3700000000000007E-2</v>
      </c>
      <c r="BP144" s="3">
        <v>-6.3700000000000007E-2</v>
      </c>
      <c r="BQ144" s="3">
        <v>0</v>
      </c>
      <c r="BR144" t="s">
        <v>7935</v>
      </c>
      <c r="BS144" s="3">
        <v>4.874911</v>
      </c>
      <c r="BT144" s="3">
        <v>1.1674E-2</v>
      </c>
      <c r="BU144" s="3">
        <v>-1.1674E-2</v>
      </c>
      <c r="BV144" s="3">
        <v>0</v>
      </c>
      <c r="BW144" t="s">
        <v>7936</v>
      </c>
      <c r="BX144" t="s">
        <v>8187</v>
      </c>
      <c r="BY144" s="3">
        <v>343.32397370000001</v>
      </c>
      <c r="BZ144" t="s">
        <v>8188</v>
      </c>
      <c r="CA144" s="3">
        <v>-14.266595799999999</v>
      </c>
      <c r="CB144" s="3">
        <v>4.6751699999999996</v>
      </c>
      <c r="CC144" s="3">
        <v>1.67E-3</v>
      </c>
      <c r="CD144" s="3">
        <v>-1.67E-3</v>
      </c>
      <c r="CE144" s="3">
        <v>10.16</v>
      </c>
      <c r="CF144" s="3">
        <v>0.1</v>
      </c>
      <c r="CG144" s="3">
        <v>-0.1</v>
      </c>
      <c r="CH144" s="3">
        <v>5.01</v>
      </c>
      <c r="CI144" s="3">
        <v>2.1000000000000001E-2</v>
      </c>
      <c r="CJ144" s="3">
        <v>-2.1000000000000001E-2</v>
      </c>
      <c r="CK144" s="3">
        <v>8.8752999999999993</v>
      </c>
      <c r="CL144" s="3">
        <v>1.4499999999999999E-3</v>
      </c>
      <c r="CM144" s="3">
        <v>-1.4499999999999999E-3</v>
      </c>
      <c r="CN144" t="s">
        <v>7943</v>
      </c>
      <c r="CO144" t="s">
        <v>7944</v>
      </c>
      <c r="CP144" t="s">
        <v>7943</v>
      </c>
    </row>
    <row r="145" spans="1:94" x14ac:dyDescent="0.45">
      <c r="A145" t="s">
        <v>357</v>
      </c>
      <c r="B145">
        <v>0</v>
      </c>
      <c r="C145" t="s">
        <v>1572</v>
      </c>
      <c r="D145" t="s">
        <v>358</v>
      </c>
      <c r="E145" s="3">
        <v>0</v>
      </c>
      <c r="F145" s="3">
        <v>1</v>
      </c>
      <c r="G145" s="3">
        <v>4</v>
      </c>
      <c r="H145" t="s">
        <v>1427</v>
      </c>
      <c r="I145" s="3">
        <v>2005</v>
      </c>
      <c r="J145" t="s">
        <v>7987</v>
      </c>
      <c r="K145" t="s">
        <v>1429</v>
      </c>
      <c r="L145" s="3">
        <v>0</v>
      </c>
      <c r="M145" t="s">
        <v>8194</v>
      </c>
      <c r="N145" s="3">
        <v>1.93774</v>
      </c>
      <c r="O145" s="3">
        <v>6.0000000000000002E-5</v>
      </c>
      <c r="P145" s="3">
        <v>-6.0000000000000002E-5</v>
      </c>
      <c r="Q145" s="3">
        <v>0</v>
      </c>
      <c r="R145" s="3">
        <v>2.0806700000000001E-2</v>
      </c>
      <c r="S145" s="3">
        <v>3.9999999999999998E-7</v>
      </c>
      <c r="T145" s="3">
        <v>-3.9999999999999998E-7</v>
      </c>
      <c r="U145" s="3">
        <v>0</v>
      </c>
      <c r="AD145" s="3">
        <v>7.53</v>
      </c>
      <c r="AE145" s="3">
        <v>0.7</v>
      </c>
      <c r="AF145" s="3">
        <v>-0.7</v>
      </c>
      <c r="AG145" s="3">
        <v>0</v>
      </c>
      <c r="AH145" s="3">
        <v>2.4E-2</v>
      </c>
      <c r="AI145" s="3">
        <v>2E-3</v>
      </c>
      <c r="AJ145" s="3">
        <v>-2E-3</v>
      </c>
      <c r="AK145" s="3">
        <v>0</v>
      </c>
      <c r="AL145" t="s">
        <v>1453</v>
      </c>
      <c r="AM145" s="3">
        <v>0</v>
      </c>
      <c r="AP145" s="3">
        <v>0</v>
      </c>
      <c r="AY145" s="3">
        <v>0</v>
      </c>
      <c r="AZ145" t="s">
        <v>7936</v>
      </c>
      <c r="BB145" s="3">
        <v>3271</v>
      </c>
      <c r="BC145" s="3">
        <v>157</v>
      </c>
      <c r="BD145" s="3">
        <v>-157</v>
      </c>
      <c r="BE145" s="3">
        <v>0</v>
      </c>
      <c r="BF145" s="3">
        <v>0.35222399999999998</v>
      </c>
      <c r="BG145" s="3">
        <v>1.0529999999999999E-2</v>
      </c>
      <c r="BH145" s="3">
        <v>-1.0529999999999999E-2</v>
      </c>
      <c r="BI145" s="3">
        <v>0</v>
      </c>
      <c r="BJ145" s="3">
        <v>0.33677800000000002</v>
      </c>
      <c r="BK145" s="3">
        <v>2.0240999999999999E-2</v>
      </c>
      <c r="BL145" s="3">
        <v>-2.0240999999999999E-2</v>
      </c>
      <c r="BM145" s="3">
        <v>0</v>
      </c>
      <c r="BS145" s="3">
        <v>4.8717699999999997</v>
      </c>
      <c r="BT145" s="3">
        <v>3.9800000000000002E-4</v>
      </c>
      <c r="BU145" s="3">
        <v>-3.9800000000000002E-4</v>
      </c>
      <c r="BV145" s="3">
        <v>0</v>
      </c>
      <c r="BW145" t="s">
        <v>7936</v>
      </c>
      <c r="BX145" t="s">
        <v>8187</v>
      </c>
      <c r="BY145" s="3">
        <v>343.32397370000001</v>
      </c>
      <c r="BZ145" t="s">
        <v>8188</v>
      </c>
      <c r="CA145" s="3">
        <v>-14.266595799999999</v>
      </c>
      <c r="CB145" s="3">
        <v>4.6751699999999996</v>
      </c>
      <c r="CC145" s="3">
        <v>1.67E-3</v>
      </c>
      <c r="CD145" s="3">
        <v>-1.67E-3</v>
      </c>
      <c r="CE145" s="3">
        <v>10.16</v>
      </c>
      <c r="CF145" s="3">
        <v>0.1</v>
      </c>
      <c r="CG145" s="3">
        <v>-0.1</v>
      </c>
      <c r="CH145" s="3">
        <v>5.01</v>
      </c>
      <c r="CI145" s="3">
        <v>2.1000000000000001E-2</v>
      </c>
      <c r="CJ145" s="3">
        <v>-2.1000000000000001E-2</v>
      </c>
      <c r="CK145" s="3">
        <v>8.8752999999999993</v>
      </c>
      <c r="CL145" s="3">
        <v>1.4499999999999999E-3</v>
      </c>
      <c r="CM145" s="3">
        <v>-1.4499999999999999E-3</v>
      </c>
      <c r="CN145" t="s">
        <v>1570</v>
      </c>
      <c r="CO145" t="s">
        <v>8195</v>
      </c>
      <c r="CP145" t="s">
        <v>1570</v>
      </c>
    </row>
    <row r="146" spans="1:94" x14ac:dyDescent="0.45">
      <c r="A146" t="s">
        <v>357</v>
      </c>
      <c r="B146">
        <v>1</v>
      </c>
      <c r="C146" t="s">
        <v>1572</v>
      </c>
      <c r="D146" t="s">
        <v>358</v>
      </c>
      <c r="E146" s="3">
        <v>1</v>
      </c>
      <c r="F146" s="3">
        <v>1</v>
      </c>
      <c r="G146" s="3">
        <v>4</v>
      </c>
      <c r="H146" t="s">
        <v>1427</v>
      </c>
      <c r="I146" s="3">
        <v>2005</v>
      </c>
      <c r="J146" t="s">
        <v>7987</v>
      </c>
      <c r="K146" t="s">
        <v>1429</v>
      </c>
      <c r="L146" s="3">
        <v>0</v>
      </c>
      <c r="M146" t="s">
        <v>8192</v>
      </c>
      <c r="N146" s="3">
        <v>1.9377800000000001</v>
      </c>
      <c r="O146" s="3">
        <v>2.0000000000000002E-5</v>
      </c>
      <c r="P146" s="3">
        <v>-2.0000000000000002E-5</v>
      </c>
      <c r="Q146" s="3">
        <v>0</v>
      </c>
      <c r="R146" s="3">
        <v>2.0806649999999999E-2</v>
      </c>
      <c r="S146" s="3">
        <v>1.4999999999999999E-7</v>
      </c>
      <c r="T146" s="3">
        <v>-1.4999999999999999E-7</v>
      </c>
      <c r="U146" s="3">
        <v>0</v>
      </c>
      <c r="AD146" s="3">
        <v>6.83</v>
      </c>
      <c r="AE146" s="3">
        <v>0.4</v>
      </c>
      <c r="AF146" s="3">
        <v>-0.4</v>
      </c>
      <c r="AG146" s="3">
        <v>0</v>
      </c>
      <c r="AH146" s="3">
        <v>2.1000000000000001E-2</v>
      </c>
      <c r="AI146" s="3">
        <v>1E-3</v>
      </c>
      <c r="AJ146" s="3">
        <v>-1E-3</v>
      </c>
      <c r="AK146" s="3">
        <v>0</v>
      </c>
      <c r="AL146" t="s">
        <v>1453</v>
      </c>
      <c r="AM146" s="3">
        <v>0.20699999999999999</v>
      </c>
      <c r="AN146" s="3">
        <v>5.5E-2</v>
      </c>
      <c r="AO146" s="3">
        <v>-5.5E-2</v>
      </c>
      <c r="AP146" s="3">
        <v>0</v>
      </c>
      <c r="AY146" s="3">
        <v>0</v>
      </c>
      <c r="AZ146" t="s">
        <v>8192</v>
      </c>
      <c r="BF146" s="3">
        <v>0.3</v>
      </c>
      <c r="BI146" s="3">
        <v>0</v>
      </c>
      <c r="BJ146" s="3">
        <v>0.32</v>
      </c>
      <c r="BK146" s="3">
        <v>0.03</v>
      </c>
      <c r="BL146" s="3">
        <v>-0.03</v>
      </c>
      <c r="BM146" s="3">
        <v>0</v>
      </c>
      <c r="BW146" t="s">
        <v>7936</v>
      </c>
      <c r="BX146" t="s">
        <v>8187</v>
      </c>
      <c r="BY146" s="3">
        <v>343.32397370000001</v>
      </c>
      <c r="BZ146" t="s">
        <v>8188</v>
      </c>
      <c r="CA146" s="3">
        <v>-14.266595799999999</v>
      </c>
      <c r="CB146" s="3">
        <v>4.6751699999999996</v>
      </c>
      <c r="CC146" s="3">
        <v>1.67E-3</v>
      </c>
      <c r="CD146" s="3">
        <v>-1.67E-3</v>
      </c>
      <c r="CE146" s="3">
        <v>10.16</v>
      </c>
      <c r="CF146" s="3">
        <v>0.1</v>
      </c>
      <c r="CG146" s="3">
        <v>-0.1</v>
      </c>
      <c r="CH146" s="3">
        <v>5.01</v>
      </c>
      <c r="CI146" s="3">
        <v>2.1000000000000001E-2</v>
      </c>
      <c r="CJ146" s="3">
        <v>-2.1000000000000001E-2</v>
      </c>
      <c r="CK146" s="3">
        <v>8.8752999999999993</v>
      </c>
      <c r="CL146" s="3">
        <v>1.4499999999999999E-3</v>
      </c>
      <c r="CM146" s="3">
        <v>-1.4499999999999999E-3</v>
      </c>
      <c r="CN146" t="s">
        <v>1570</v>
      </c>
      <c r="CO146" t="s">
        <v>8193</v>
      </c>
      <c r="CP146" t="s">
        <v>1570</v>
      </c>
    </row>
    <row r="147" spans="1:94" x14ac:dyDescent="0.45">
      <c r="A147" t="s">
        <v>357</v>
      </c>
      <c r="B147">
        <v>0</v>
      </c>
      <c r="C147" t="s">
        <v>1572</v>
      </c>
      <c r="D147" t="s">
        <v>358</v>
      </c>
      <c r="E147" s="3">
        <v>0</v>
      </c>
      <c r="F147" s="3">
        <v>1</v>
      </c>
      <c r="G147" s="3">
        <v>4</v>
      </c>
      <c r="H147" t="s">
        <v>1427</v>
      </c>
      <c r="I147" s="3">
        <v>2005</v>
      </c>
      <c r="J147" t="s">
        <v>7987</v>
      </c>
      <c r="K147" t="s">
        <v>1429</v>
      </c>
      <c r="L147" s="3">
        <v>0</v>
      </c>
      <c r="M147" t="s">
        <v>8121</v>
      </c>
      <c r="N147" s="3">
        <v>1.9379999999999999</v>
      </c>
      <c r="O147" s="3">
        <v>1E-3</v>
      </c>
      <c r="P147" s="3">
        <v>-1E-3</v>
      </c>
      <c r="Q147" s="3">
        <v>0</v>
      </c>
      <c r="R147" s="3">
        <v>2.1000000000000001E-2</v>
      </c>
      <c r="S147" s="3">
        <v>1E-3</v>
      </c>
      <c r="T147" s="3">
        <v>-1E-3</v>
      </c>
      <c r="U147" s="3">
        <v>0</v>
      </c>
      <c r="AD147" s="3">
        <v>8.0614367700000003</v>
      </c>
      <c r="AE147" s="3">
        <v>0.31499102000000001</v>
      </c>
      <c r="AF147" s="3">
        <v>-0.31499102000000001</v>
      </c>
      <c r="AG147" s="3">
        <v>0</v>
      </c>
      <c r="AH147" s="3">
        <v>2.5363989999999999E-2</v>
      </c>
      <c r="AI147" s="3">
        <v>9.9106999999999993E-4</v>
      </c>
      <c r="AJ147" s="3">
        <v>-9.9106999999999993E-4</v>
      </c>
      <c r="AK147" s="3">
        <v>0</v>
      </c>
      <c r="AL147" t="s">
        <v>1601</v>
      </c>
      <c r="AM147" s="3">
        <v>8.2000000000000003E-2</v>
      </c>
      <c r="AN147" s="3">
        <v>4.2999999999999997E-2</v>
      </c>
      <c r="AO147" s="3">
        <v>-2.5000000000000001E-2</v>
      </c>
      <c r="AP147" s="3">
        <v>0</v>
      </c>
      <c r="AY147" s="3">
        <v>0</v>
      </c>
      <c r="AZ147" t="s">
        <v>7936</v>
      </c>
      <c r="BB147" s="3">
        <v>3271</v>
      </c>
      <c r="BC147" s="3">
        <v>157</v>
      </c>
      <c r="BD147" s="3">
        <v>-157</v>
      </c>
      <c r="BE147" s="3">
        <v>0</v>
      </c>
      <c r="BF147" s="3">
        <v>0.35222399999999998</v>
      </c>
      <c r="BG147" s="3">
        <v>1.0529999999999999E-2</v>
      </c>
      <c r="BH147" s="3">
        <v>-1.0529999999999999E-2</v>
      </c>
      <c r="BI147" s="3">
        <v>0</v>
      </c>
      <c r="BJ147" s="3">
        <v>0.33677800000000002</v>
      </c>
      <c r="BK147" s="3">
        <v>2.0240999999999999E-2</v>
      </c>
      <c r="BL147" s="3">
        <v>-2.0240999999999999E-2</v>
      </c>
      <c r="BM147" s="3">
        <v>0</v>
      </c>
      <c r="BS147" s="3">
        <v>4.8717699999999997</v>
      </c>
      <c r="BT147" s="3">
        <v>3.9800000000000002E-4</v>
      </c>
      <c r="BU147" s="3">
        <v>-3.9800000000000002E-4</v>
      </c>
      <c r="BV147" s="3">
        <v>0</v>
      </c>
      <c r="BW147" t="s">
        <v>7936</v>
      </c>
      <c r="BX147" t="s">
        <v>8187</v>
      </c>
      <c r="BY147" s="3">
        <v>343.32397370000001</v>
      </c>
      <c r="BZ147" t="s">
        <v>8188</v>
      </c>
      <c r="CA147" s="3">
        <v>-14.266595799999999</v>
      </c>
      <c r="CB147" s="3">
        <v>4.6751699999999996</v>
      </c>
      <c r="CC147" s="3">
        <v>1.67E-3</v>
      </c>
      <c r="CD147" s="3">
        <v>-1.67E-3</v>
      </c>
      <c r="CE147" s="3">
        <v>10.16</v>
      </c>
      <c r="CF147" s="3">
        <v>0.1</v>
      </c>
      <c r="CG147" s="3">
        <v>-0.1</v>
      </c>
      <c r="CH147" s="3">
        <v>5.01</v>
      </c>
      <c r="CI147" s="3">
        <v>2.1000000000000001E-2</v>
      </c>
      <c r="CJ147" s="3">
        <v>-2.1000000000000001E-2</v>
      </c>
      <c r="CK147" s="3">
        <v>8.8752999999999993</v>
      </c>
      <c r="CL147" s="3">
        <v>1.4499999999999999E-3</v>
      </c>
      <c r="CM147" s="3">
        <v>-1.4499999999999999E-3</v>
      </c>
      <c r="CN147" t="s">
        <v>8122</v>
      </c>
      <c r="CO147" t="s">
        <v>8123</v>
      </c>
      <c r="CP147" t="s">
        <v>8124</v>
      </c>
    </row>
    <row r="148" spans="1:94" x14ac:dyDescent="0.45">
      <c r="A148" t="s">
        <v>357</v>
      </c>
      <c r="B148">
        <v>0</v>
      </c>
      <c r="C148" t="s">
        <v>1572</v>
      </c>
      <c r="D148" t="s">
        <v>358</v>
      </c>
      <c r="E148" s="3">
        <v>0</v>
      </c>
      <c r="F148" s="3">
        <v>1</v>
      </c>
      <c r="G148" s="3">
        <v>4</v>
      </c>
      <c r="H148" t="s">
        <v>1427</v>
      </c>
      <c r="I148" s="3">
        <v>2005</v>
      </c>
      <c r="J148" t="s">
        <v>7987</v>
      </c>
      <c r="K148" t="s">
        <v>1429</v>
      </c>
      <c r="L148" s="3">
        <v>0</v>
      </c>
      <c r="M148" t="s">
        <v>8202</v>
      </c>
      <c r="N148" s="3">
        <v>1.9378500000000001</v>
      </c>
      <c r="O148" s="3">
        <v>2.0000000000000002E-5</v>
      </c>
      <c r="P148" s="3">
        <v>-2.0000000000000002E-5</v>
      </c>
      <c r="Q148" s="3">
        <v>0</v>
      </c>
      <c r="R148" s="3">
        <v>2.1000000000000001E-2</v>
      </c>
      <c r="U148" s="3">
        <v>0</v>
      </c>
      <c r="AD148" s="3">
        <v>7.4</v>
      </c>
      <c r="AG148" s="3">
        <v>0</v>
      </c>
      <c r="AH148" s="3">
        <v>0.02</v>
      </c>
      <c r="AK148" s="3">
        <v>0</v>
      </c>
      <c r="AL148" t="s">
        <v>1601</v>
      </c>
      <c r="AM148" s="3">
        <v>0.124</v>
      </c>
      <c r="AN148" s="3">
        <v>3.2000000000000001E-2</v>
      </c>
      <c r="AO148" s="3">
        <v>-3.2000000000000001E-2</v>
      </c>
      <c r="AP148" s="3">
        <v>0</v>
      </c>
      <c r="AY148" s="3">
        <v>0</v>
      </c>
      <c r="AZ148" t="s">
        <v>8202</v>
      </c>
      <c r="BA148" t="s">
        <v>8025</v>
      </c>
      <c r="BJ148" s="3">
        <v>0.33400000000000002</v>
      </c>
      <c r="BK148" s="3">
        <v>3.3000000000000002E-2</v>
      </c>
      <c r="BL148" s="3">
        <v>-3.3000000000000002E-2</v>
      </c>
      <c r="BM148" s="3">
        <v>0</v>
      </c>
      <c r="BN148" s="3">
        <v>0.05</v>
      </c>
      <c r="BO148" s="3">
        <v>0.2</v>
      </c>
      <c r="BP148" s="3">
        <v>-0.2</v>
      </c>
      <c r="BQ148" s="3">
        <v>0</v>
      </c>
      <c r="BR148" t="s">
        <v>7935</v>
      </c>
      <c r="BW148" t="s">
        <v>7936</v>
      </c>
      <c r="BX148" t="s">
        <v>8187</v>
      </c>
      <c r="BY148" s="3">
        <v>343.32397370000001</v>
      </c>
      <c r="BZ148" t="s">
        <v>8188</v>
      </c>
      <c r="CA148" s="3">
        <v>-14.266595799999999</v>
      </c>
      <c r="CB148" s="3">
        <v>4.6751699999999996</v>
      </c>
      <c r="CC148" s="3">
        <v>1.67E-3</v>
      </c>
      <c r="CD148" s="3">
        <v>-1.67E-3</v>
      </c>
      <c r="CE148" s="3">
        <v>10.16</v>
      </c>
      <c r="CF148" s="3">
        <v>0.1</v>
      </c>
      <c r="CG148" s="3">
        <v>-0.1</v>
      </c>
      <c r="CH148" s="3">
        <v>5.01</v>
      </c>
      <c r="CI148" s="3">
        <v>2.1000000000000001E-2</v>
      </c>
      <c r="CJ148" s="3">
        <v>-2.1000000000000001E-2</v>
      </c>
      <c r="CK148" s="3">
        <v>8.8752999999999993</v>
      </c>
      <c r="CL148" s="3">
        <v>1.4499999999999999E-3</v>
      </c>
      <c r="CM148" s="3">
        <v>-1.4499999999999999E-3</v>
      </c>
      <c r="CN148" t="s">
        <v>1570</v>
      </c>
      <c r="CO148" t="s">
        <v>8203</v>
      </c>
      <c r="CP148" t="s">
        <v>1570</v>
      </c>
    </row>
    <row r="149" spans="1:94" x14ac:dyDescent="0.45">
      <c r="A149" t="s">
        <v>357</v>
      </c>
      <c r="B149">
        <v>0</v>
      </c>
      <c r="C149" t="s">
        <v>1572</v>
      </c>
      <c r="D149" t="s">
        <v>358</v>
      </c>
      <c r="E149" s="3">
        <v>0</v>
      </c>
      <c r="F149" s="3">
        <v>1</v>
      </c>
      <c r="G149" s="3">
        <v>4</v>
      </c>
      <c r="H149" t="s">
        <v>1427</v>
      </c>
      <c r="I149" s="3">
        <v>2005</v>
      </c>
      <c r="J149" t="s">
        <v>7987</v>
      </c>
      <c r="K149" t="s">
        <v>1429</v>
      </c>
      <c r="L149" s="3">
        <v>0</v>
      </c>
      <c r="M149" t="s">
        <v>7942</v>
      </c>
      <c r="N149" s="3">
        <v>1.937916</v>
      </c>
      <c r="O149" s="3">
        <v>2.6999999999999999E-5</v>
      </c>
      <c r="P149" s="3">
        <v>-3.0000000000000001E-5</v>
      </c>
      <c r="Q149" s="3">
        <v>0</v>
      </c>
      <c r="R149" s="3">
        <v>2.1829999999999999E-2</v>
      </c>
      <c r="S149" s="3">
        <v>1.8000000000000001E-4</v>
      </c>
      <c r="T149" s="3">
        <v>-1.9000000000000001E-4</v>
      </c>
      <c r="U149" s="3">
        <v>0</v>
      </c>
      <c r="AD149" s="3">
        <v>5.8480426899999998</v>
      </c>
      <c r="AE149" s="3">
        <v>0.50852545000000005</v>
      </c>
      <c r="AF149" s="3">
        <v>-0.47674261000000001</v>
      </c>
      <c r="AG149" s="3">
        <v>0</v>
      </c>
      <c r="AH149" s="3">
        <v>1.84E-2</v>
      </c>
      <c r="AI149" s="3">
        <v>1.6000000000000001E-3</v>
      </c>
      <c r="AJ149" s="3">
        <v>-1.5E-3</v>
      </c>
      <c r="AK149" s="3">
        <v>0</v>
      </c>
      <c r="AL149" t="s">
        <v>1426</v>
      </c>
      <c r="AM149" s="3">
        <v>0.27300000000000002</v>
      </c>
      <c r="AN149" s="3">
        <v>9.2999999999999999E-2</v>
      </c>
      <c r="AO149" s="3">
        <v>-9.8000000000000004E-2</v>
      </c>
      <c r="AP149" s="3">
        <v>0</v>
      </c>
      <c r="AY149" s="3">
        <v>0</v>
      </c>
      <c r="AZ149" t="s">
        <v>7942</v>
      </c>
      <c r="BB149" s="3">
        <v>3293.74</v>
      </c>
      <c r="BC149" s="3">
        <v>48.39</v>
      </c>
      <c r="BD149" s="3">
        <v>-48.39</v>
      </c>
      <c r="BE149" s="3">
        <v>0</v>
      </c>
      <c r="BF149" s="3">
        <v>0.36699999999999999</v>
      </c>
      <c r="BG149" s="3">
        <v>8.0199999999999994E-3</v>
      </c>
      <c r="BH149" s="3">
        <v>-8.0199999999999994E-3</v>
      </c>
      <c r="BI149" s="3">
        <v>0</v>
      </c>
      <c r="BJ149" s="3">
        <v>0.36960700000000002</v>
      </c>
      <c r="BK149" s="3">
        <v>9.2510000000000005E-3</v>
      </c>
      <c r="BL149" s="3">
        <v>-9.2510000000000005E-3</v>
      </c>
      <c r="BM149" s="3">
        <v>0</v>
      </c>
      <c r="BN149" s="3">
        <v>0.21290000000000001</v>
      </c>
      <c r="BO149" s="3">
        <v>6.3700000000000007E-2</v>
      </c>
      <c r="BP149" s="3">
        <v>-6.3700000000000007E-2</v>
      </c>
      <c r="BQ149" s="3">
        <v>0</v>
      </c>
      <c r="BR149" t="s">
        <v>7935</v>
      </c>
      <c r="BS149" s="3">
        <v>4.874911</v>
      </c>
      <c r="BT149" s="3">
        <v>1.1674E-2</v>
      </c>
      <c r="BU149" s="3">
        <v>-1.1674E-2</v>
      </c>
      <c r="BV149" s="3">
        <v>0</v>
      </c>
      <c r="BW149" t="s">
        <v>7936</v>
      </c>
      <c r="BX149" t="s">
        <v>8187</v>
      </c>
      <c r="BY149" s="3">
        <v>343.32397370000001</v>
      </c>
      <c r="BZ149" t="s">
        <v>8188</v>
      </c>
      <c r="CA149" s="3">
        <v>-14.266595799999999</v>
      </c>
      <c r="CB149" s="3">
        <v>4.6751699999999996</v>
      </c>
      <c r="CC149" s="3">
        <v>1.67E-3</v>
      </c>
      <c r="CD149" s="3">
        <v>-1.67E-3</v>
      </c>
      <c r="CE149" s="3">
        <v>10.16</v>
      </c>
      <c r="CF149" s="3">
        <v>0.1</v>
      </c>
      <c r="CG149" s="3">
        <v>-0.1</v>
      </c>
      <c r="CH149" s="3">
        <v>5.01</v>
      </c>
      <c r="CI149" s="3">
        <v>2.1000000000000001E-2</v>
      </c>
      <c r="CJ149" s="3">
        <v>-2.1000000000000001E-2</v>
      </c>
      <c r="CK149" s="3">
        <v>8.8752999999999993</v>
      </c>
      <c r="CL149" s="3">
        <v>1.4499999999999999E-3</v>
      </c>
      <c r="CM149" s="3">
        <v>-1.4499999999999999E-3</v>
      </c>
      <c r="CN149" t="s">
        <v>8206</v>
      </c>
      <c r="CO149" t="s">
        <v>7944</v>
      </c>
      <c r="CP149" t="s">
        <v>8206</v>
      </c>
    </row>
    <row r="150" spans="1:94" x14ac:dyDescent="0.45">
      <c r="A150" t="s">
        <v>357</v>
      </c>
      <c r="B150">
        <v>0</v>
      </c>
      <c r="C150" t="s">
        <v>1572</v>
      </c>
      <c r="D150" t="s">
        <v>358</v>
      </c>
      <c r="E150" s="3">
        <v>0</v>
      </c>
      <c r="F150" s="3">
        <v>1</v>
      </c>
      <c r="G150" s="3">
        <v>4</v>
      </c>
      <c r="H150" t="s">
        <v>1427</v>
      </c>
      <c r="I150" s="3">
        <v>2005</v>
      </c>
      <c r="J150" t="s">
        <v>7987</v>
      </c>
      <c r="K150" t="s">
        <v>1429</v>
      </c>
      <c r="L150" s="3">
        <v>0</v>
      </c>
      <c r="M150" t="s">
        <v>8207</v>
      </c>
      <c r="N150" s="3">
        <v>1.9377800000000001</v>
      </c>
      <c r="O150" s="3">
        <v>2.0000000000000002E-5</v>
      </c>
      <c r="P150" s="3">
        <v>-2.0000000000000002E-5</v>
      </c>
      <c r="Q150" s="3">
        <v>0</v>
      </c>
      <c r="AD150" s="3">
        <v>5.85</v>
      </c>
      <c r="AE150" s="3">
        <v>0.39</v>
      </c>
      <c r="AF150" s="3">
        <v>-0.39</v>
      </c>
      <c r="AG150" s="3">
        <v>0</v>
      </c>
      <c r="AH150" s="3">
        <v>1.840607E-2</v>
      </c>
      <c r="AI150" s="3">
        <v>1.22707E-3</v>
      </c>
      <c r="AJ150" s="3">
        <v>-1.22707E-3</v>
      </c>
      <c r="AK150" s="3">
        <v>0</v>
      </c>
      <c r="AL150" t="s">
        <v>1426</v>
      </c>
      <c r="AM150" s="3">
        <v>0.20699999999999999</v>
      </c>
      <c r="AN150" s="3">
        <v>5.5E-2</v>
      </c>
      <c r="AO150" s="3">
        <v>-5.5E-2</v>
      </c>
      <c r="AP150" s="3">
        <v>0</v>
      </c>
      <c r="AY150" s="3">
        <v>0</v>
      </c>
      <c r="AZ150" t="s">
        <v>7936</v>
      </c>
      <c r="BB150" s="3">
        <v>3271</v>
      </c>
      <c r="BC150" s="3">
        <v>157</v>
      </c>
      <c r="BD150" s="3">
        <v>-157</v>
      </c>
      <c r="BE150" s="3">
        <v>0</v>
      </c>
      <c r="BF150" s="3">
        <v>0.35222399999999998</v>
      </c>
      <c r="BG150" s="3">
        <v>1.0529999999999999E-2</v>
      </c>
      <c r="BH150" s="3">
        <v>-1.0529999999999999E-2</v>
      </c>
      <c r="BI150" s="3">
        <v>0</v>
      </c>
      <c r="BJ150" s="3">
        <v>0.33677800000000002</v>
      </c>
      <c r="BK150" s="3">
        <v>2.0240999999999999E-2</v>
      </c>
      <c r="BL150" s="3">
        <v>-2.0240999999999999E-2</v>
      </c>
      <c r="BM150" s="3">
        <v>0</v>
      </c>
      <c r="BS150" s="3">
        <v>4.8717699999999997</v>
      </c>
      <c r="BT150" s="3">
        <v>3.9800000000000002E-4</v>
      </c>
      <c r="BU150" s="3">
        <v>-3.9800000000000002E-4</v>
      </c>
      <c r="BV150" s="3">
        <v>0</v>
      </c>
      <c r="BW150" t="s">
        <v>7936</v>
      </c>
      <c r="BX150" t="s">
        <v>8187</v>
      </c>
      <c r="BY150" s="3">
        <v>343.32397370000001</v>
      </c>
      <c r="BZ150" t="s">
        <v>8188</v>
      </c>
      <c r="CA150" s="3">
        <v>-14.266595799999999</v>
      </c>
      <c r="CB150" s="3">
        <v>4.6751699999999996</v>
      </c>
      <c r="CC150" s="3">
        <v>1.67E-3</v>
      </c>
      <c r="CD150" s="3">
        <v>-1.67E-3</v>
      </c>
      <c r="CE150" s="3">
        <v>10.16</v>
      </c>
      <c r="CF150" s="3">
        <v>0.1</v>
      </c>
      <c r="CG150" s="3">
        <v>-0.1</v>
      </c>
      <c r="CH150" s="3">
        <v>5.01</v>
      </c>
      <c r="CI150" s="3">
        <v>2.1000000000000001E-2</v>
      </c>
      <c r="CJ150" s="3">
        <v>-2.1000000000000001E-2</v>
      </c>
      <c r="CK150" s="3">
        <v>8.8752999999999993</v>
      </c>
      <c r="CL150" s="3">
        <v>1.4499999999999999E-3</v>
      </c>
      <c r="CM150" s="3">
        <v>-1.4499999999999999E-3</v>
      </c>
      <c r="CN150" t="s">
        <v>8208</v>
      </c>
      <c r="CO150" t="s">
        <v>8137</v>
      </c>
      <c r="CP150" t="s">
        <v>8208</v>
      </c>
    </row>
    <row r="151" spans="1:94" x14ac:dyDescent="0.45">
      <c r="A151" t="s">
        <v>357</v>
      </c>
      <c r="B151">
        <v>0</v>
      </c>
      <c r="C151" t="s">
        <v>1572</v>
      </c>
      <c r="D151" t="s">
        <v>358</v>
      </c>
      <c r="E151" s="3">
        <v>0</v>
      </c>
      <c r="F151" s="3">
        <v>1</v>
      </c>
      <c r="G151" s="3">
        <v>4</v>
      </c>
      <c r="H151" t="s">
        <v>1427</v>
      </c>
      <c r="I151" s="3">
        <v>2005</v>
      </c>
      <c r="J151" t="s">
        <v>7987</v>
      </c>
      <c r="K151" t="s">
        <v>1429</v>
      </c>
      <c r="L151" s="3">
        <v>0</v>
      </c>
      <c r="M151" t="s">
        <v>8198</v>
      </c>
      <c r="N151" s="3">
        <v>1.937848</v>
      </c>
      <c r="O151" s="3">
        <v>2.4000000000000001E-5</v>
      </c>
      <c r="P151" s="3">
        <v>-2.3E-5</v>
      </c>
      <c r="Q151" s="3">
        <v>0</v>
      </c>
      <c r="R151" s="3">
        <v>2.1839109999999998E-2</v>
      </c>
      <c r="S151" s="3">
        <v>1.9000000000000001E-7</v>
      </c>
      <c r="T151" s="3">
        <v>-1.8E-7</v>
      </c>
      <c r="U151" s="3">
        <v>0</v>
      </c>
      <c r="AD151" s="3">
        <v>7.49</v>
      </c>
      <c r="AE151" s="3">
        <v>0.43</v>
      </c>
      <c r="AF151" s="3">
        <v>-0.41</v>
      </c>
      <c r="AG151" s="3">
        <v>0</v>
      </c>
      <c r="AH151" s="3">
        <v>2.356606E-2</v>
      </c>
      <c r="AI151" s="3">
        <v>1.3529200000000001E-3</v>
      </c>
      <c r="AJ151" s="3">
        <v>-1.2899999999999999E-3</v>
      </c>
      <c r="AK151" s="3">
        <v>0</v>
      </c>
      <c r="AL151" t="s">
        <v>1453</v>
      </c>
      <c r="AM151" s="3">
        <v>0.11899999999999999</v>
      </c>
      <c r="AN151" s="3">
        <v>0.05</v>
      </c>
      <c r="AO151" s="3">
        <v>-5.1999999999999998E-2</v>
      </c>
      <c r="AP151" s="3">
        <v>0</v>
      </c>
      <c r="AY151" s="3">
        <v>0</v>
      </c>
      <c r="AZ151" t="s">
        <v>8198</v>
      </c>
      <c r="BJ151" s="3">
        <v>0.37</v>
      </c>
      <c r="BM151" s="3">
        <v>0</v>
      </c>
      <c r="BW151" t="s">
        <v>7936</v>
      </c>
      <c r="BX151" t="s">
        <v>8187</v>
      </c>
      <c r="BY151" s="3">
        <v>343.32397370000001</v>
      </c>
      <c r="BZ151" t="s">
        <v>8188</v>
      </c>
      <c r="CA151" s="3">
        <v>-14.266595799999999</v>
      </c>
      <c r="CB151" s="3">
        <v>4.6751699999999996</v>
      </c>
      <c r="CC151" s="3">
        <v>1.67E-3</v>
      </c>
      <c r="CD151" s="3">
        <v>-1.67E-3</v>
      </c>
      <c r="CE151" s="3">
        <v>10.16</v>
      </c>
      <c r="CF151" s="3">
        <v>0.1</v>
      </c>
      <c r="CG151" s="3">
        <v>-0.1</v>
      </c>
      <c r="CH151" s="3">
        <v>5.01</v>
      </c>
      <c r="CI151" s="3">
        <v>2.1000000000000001E-2</v>
      </c>
      <c r="CJ151" s="3">
        <v>-2.1000000000000001E-2</v>
      </c>
      <c r="CK151" s="3">
        <v>8.8752999999999993</v>
      </c>
      <c r="CL151" s="3">
        <v>1.4499999999999999E-3</v>
      </c>
      <c r="CM151" s="3">
        <v>-1.4499999999999999E-3</v>
      </c>
      <c r="CN151" t="s">
        <v>8199</v>
      </c>
      <c r="CO151" t="s">
        <v>8200</v>
      </c>
      <c r="CP151" t="s">
        <v>8201</v>
      </c>
    </row>
    <row r="152" spans="1:94" x14ac:dyDescent="0.45">
      <c r="A152" t="s">
        <v>357</v>
      </c>
      <c r="B152">
        <v>0</v>
      </c>
      <c r="C152" t="s">
        <v>1573</v>
      </c>
      <c r="D152" t="s">
        <v>358</v>
      </c>
      <c r="E152" s="3">
        <v>0</v>
      </c>
      <c r="F152" s="3">
        <v>1</v>
      </c>
      <c r="G152" s="3">
        <v>4</v>
      </c>
      <c r="H152" t="s">
        <v>1427</v>
      </c>
      <c r="I152" s="3">
        <v>2010</v>
      </c>
      <c r="J152" t="s">
        <v>7987</v>
      </c>
      <c r="K152" t="s">
        <v>1429</v>
      </c>
      <c r="L152" s="3">
        <v>0</v>
      </c>
      <c r="M152" t="s">
        <v>8198</v>
      </c>
      <c r="N152" s="3">
        <v>124.5</v>
      </c>
      <c r="O152" s="3">
        <v>1.33</v>
      </c>
      <c r="P152" s="3">
        <v>-1.33</v>
      </c>
      <c r="Q152" s="3">
        <v>0</v>
      </c>
      <c r="R152" s="3">
        <v>0.35139999999999999</v>
      </c>
      <c r="S152" s="3">
        <v>2.5000000000000001E-3</v>
      </c>
      <c r="T152" s="3">
        <v>-2.5000000000000001E-3</v>
      </c>
      <c r="U152" s="3">
        <v>0</v>
      </c>
      <c r="AD152" s="3">
        <v>16.579999999999998</v>
      </c>
      <c r="AE152" s="3">
        <v>1.96</v>
      </c>
      <c r="AF152" s="3">
        <v>-2.11</v>
      </c>
      <c r="AG152" s="3">
        <v>0</v>
      </c>
      <c r="AH152" s="3">
        <v>5.2166249999999997E-2</v>
      </c>
      <c r="AI152" s="3">
        <v>6.1668199999999999E-3</v>
      </c>
      <c r="AJ152" s="3">
        <v>-6.6387699999999996E-3</v>
      </c>
      <c r="AK152" s="3">
        <v>0</v>
      </c>
      <c r="AL152" t="s">
        <v>1453</v>
      </c>
      <c r="AM152" s="3">
        <v>3.1E-2</v>
      </c>
      <c r="AN152" s="3">
        <v>0.03</v>
      </c>
      <c r="AO152" s="3">
        <v>-2.5000000000000001E-2</v>
      </c>
      <c r="AP152" s="3">
        <v>0</v>
      </c>
      <c r="AY152" s="3">
        <v>0</v>
      </c>
      <c r="AZ152" t="s">
        <v>8198</v>
      </c>
      <c r="BJ152" s="3">
        <v>0.37</v>
      </c>
      <c r="BM152" s="3">
        <v>0</v>
      </c>
      <c r="BW152" t="s">
        <v>7936</v>
      </c>
      <c r="BX152" t="s">
        <v>8187</v>
      </c>
      <c r="BY152" s="3">
        <v>343.32397370000001</v>
      </c>
      <c r="BZ152" t="s">
        <v>8188</v>
      </c>
      <c r="CA152" s="3">
        <v>-14.266595799999999</v>
      </c>
      <c r="CB152" s="3">
        <v>4.6751699999999996</v>
      </c>
      <c r="CC152" s="3">
        <v>1.67E-3</v>
      </c>
      <c r="CD152" s="3">
        <v>-1.67E-3</v>
      </c>
      <c r="CE152" s="3">
        <v>10.16</v>
      </c>
      <c r="CF152" s="3">
        <v>0.1</v>
      </c>
      <c r="CG152" s="3">
        <v>-0.1</v>
      </c>
      <c r="CH152" s="3">
        <v>5.01</v>
      </c>
      <c r="CI152" s="3">
        <v>2.1000000000000001E-2</v>
      </c>
      <c r="CJ152" s="3">
        <v>-2.1000000000000001E-2</v>
      </c>
      <c r="CK152" s="3">
        <v>8.8752999999999993</v>
      </c>
      <c r="CL152" s="3">
        <v>1.4499999999999999E-3</v>
      </c>
      <c r="CM152" s="3">
        <v>-1.4499999999999999E-3</v>
      </c>
      <c r="CN152" t="s">
        <v>8199</v>
      </c>
      <c r="CO152" t="s">
        <v>8200</v>
      </c>
      <c r="CP152" t="s">
        <v>8201</v>
      </c>
    </row>
    <row r="153" spans="1:94" x14ac:dyDescent="0.45">
      <c r="A153" t="s">
        <v>357</v>
      </c>
      <c r="B153">
        <v>1</v>
      </c>
      <c r="C153" t="s">
        <v>1573</v>
      </c>
      <c r="D153" t="s">
        <v>358</v>
      </c>
      <c r="E153" s="3">
        <v>1</v>
      </c>
      <c r="F153" s="3">
        <v>1</v>
      </c>
      <c r="G153" s="3">
        <v>4</v>
      </c>
      <c r="H153" t="s">
        <v>1427</v>
      </c>
      <c r="I153" s="3">
        <v>2010</v>
      </c>
      <c r="J153" t="s">
        <v>7987</v>
      </c>
      <c r="K153" t="s">
        <v>1429</v>
      </c>
      <c r="L153" s="3">
        <v>0</v>
      </c>
      <c r="M153" t="s">
        <v>8192</v>
      </c>
      <c r="N153" s="3">
        <v>124.26</v>
      </c>
      <c r="O153" s="3">
        <v>0.7</v>
      </c>
      <c r="P153" s="3">
        <v>-0.7</v>
      </c>
      <c r="Q153" s="3">
        <v>0</v>
      </c>
      <c r="R153" s="3">
        <v>0.33429999999999999</v>
      </c>
      <c r="S153" s="3">
        <v>1.2999999999999999E-3</v>
      </c>
      <c r="T153" s="3">
        <v>-1.2999999999999999E-3</v>
      </c>
      <c r="U153" s="3">
        <v>0</v>
      </c>
      <c r="AD153" s="3">
        <v>14.6</v>
      </c>
      <c r="AE153" s="3">
        <v>1.7</v>
      </c>
      <c r="AF153" s="3">
        <v>-1.7</v>
      </c>
      <c r="AG153" s="3">
        <v>0</v>
      </c>
      <c r="AH153" s="3">
        <v>4.5999999999999999E-2</v>
      </c>
      <c r="AI153" s="3">
        <v>5.0000000000000001E-3</v>
      </c>
      <c r="AJ153" s="3">
        <v>-5.0000000000000001E-3</v>
      </c>
      <c r="AK153" s="3">
        <v>0</v>
      </c>
      <c r="AL153" t="s">
        <v>1453</v>
      </c>
      <c r="AM153" s="3">
        <v>5.5E-2</v>
      </c>
      <c r="AN153" s="3">
        <v>1.2E-2</v>
      </c>
      <c r="AO153" s="3">
        <v>-1.2E-2</v>
      </c>
      <c r="AP153" s="3">
        <v>0</v>
      </c>
      <c r="AY153" s="3">
        <v>0</v>
      </c>
      <c r="AZ153" t="s">
        <v>8192</v>
      </c>
      <c r="BF153" s="3">
        <v>0.3</v>
      </c>
      <c r="BI153" s="3">
        <v>0</v>
      </c>
      <c r="BJ153" s="3">
        <v>0.32</v>
      </c>
      <c r="BK153" s="3">
        <v>0.03</v>
      </c>
      <c r="BL153" s="3">
        <v>-0.03</v>
      </c>
      <c r="BM153" s="3">
        <v>0</v>
      </c>
      <c r="BW153" t="s">
        <v>7936</v>
      </c>
      <c r="BX153" t="s">
        <v>8187</v>
      </c>
      <c r="BY153" s="3">
        <v>343.32397370000001</v>
      </c>
      <c r="BZ153" t="s">
        <v>8188</v>
      </c>
      <c r="CA153" s="3">
        <v>-14.266595799999999</v>
      </c>
      <c r="CB153" s="3">
        <v>4.6751699999999996</v>
      </c>
      <c r="CC153" s="3">
        <v>1.67E-3</v>
      </c>
      <c r="CD153" s="3">
        <v>-1.67E-3</v>
      </c>
      <c r="CE153" s="3">
        <v>10.16</v>
      </c>
      <c r="CF153" s="3">
        <v>0.1</v>
      </c>
      <c r="CG153" s="3">
        <v>-0.1</v>
      </c>
      <c r="CH153" s="3">
        <v>5.01</v>
      </c>
      <c r="CI153" s="3">
        <v>2.1000000000000001E-2</v>
      </c>
      <c r="CJ153" s="3">
        <v>-2.1000000000000001E-2</v>
      </c>
      <c r="CK153" s="3">
        <v>8.8752999999999993</v>
      </c>
      <c r="CL153" s="3">
        <v>1.4499999999999999E-3</v>
      </c>
      <c r="CM153" s="3">
        <v>-1.4499999999999999E-3</v>
      </c>
      <c r="CN153" t="s">
        <v>1570</v>
      </c>
      <c r="CO153" t="s">
        <v>8193</v>
      </c>
      <c r="CP153" t="s">
        <v>1570</v>
      </c>
    </row>
    <row r="154" spans="1:94" x14ac:dyDescent="0.45">
      <c r="A154" t="s">
        <v>357</v>
      </c>
      <c r="B154">
        <v>0</v>
      </c>
      <c r="C154" t="s">
        <v>1573</v>
      </c>
      <c r="D154" t="s">
        <v>358</v>
      </c>
      <c r="E154" s="3">
        <v>0</v>
      </c>
      <c r="F154" s="3">
        <v>1</v>
      </c>
      <c r="G154" s="3">
        <v>4</v>
      </c>
      <c r="H154" t="s">
        <v>1427</v>
      </c>
      <c r="I154" s="3">
        <v>2010</v>
      </c>
      <c r="J154" t="s">
        <v>7987</v>
      </c>
      <c r="K154" t="s">
        <v>1429</v>
      </c>
      <c r="L154" s="3">
        <v>0</v>
      </c>
      <c r="M154" t="s">
        <v>8121</v>
      </c>
      <c r="N154" s="3">
        <v>124.4</v>
      </c>
      <c r="O154" s="3">
        <v>0.3</v>
      </c>
      <c r="P154" s="3">
        <v>-0.7</v>
      </c>
      <c r="Q154" s="3">
        <v>0</v>
      </c>
      <c r="R154" s="3">
        <v>0.34499999999999997</v>
      </c>
      <c r="S154" s="3">
        <v>1E-3</v>
      </c>
      <c r="T154" s="3">
        <v>-2E-3</v>
      </c>
      <c r="U154" s="3">
        <v>0</v>
      </c>
      <c r="AD154" s="3">
        <v>18.00115332</v>
      </c>
      <c r="AE154" s="3">
        <v>1.5049570800000001</v>
      </c>
      <c r="AF154" s="3">
        <v>-1.5049570800000001</v>
      </c>
      <c r="AG154" s="3">
        <v>0</v>
      </c>
      <c r="AH154" s="3">
        <v>5.6637680000000003E-2</v>
      </c>
      <c r="AI154" s="3">
        <v>4.7350999999999999E-3</v>
      </c>
      <c r="AJ154" s="3">
        <v>-4.7350999999999999E-3</v>
      </c>
      <c r="AK154" s="3">
        <v>0</v>
      </c>
      <c r="AL154" t="s">
        <v>1601</v>
      </c>
      <c r="AM154" s="3">
        <v>0.04</v>
      </c>
      <c r="AN154" s="3">
        <v>2.1000000000000001E-2</v>
      </c>
      <c r="AO154" s="3">
        <v>-4.0000000000000001E-3</v>
      </c>
      <c r="AP154" s="3">
        <v>0</v>
      </c>
      <c r="AY154" s="3">
        <v>0</v>
      </c>
      <c r="AZ154" t="s">
        <v>7936</v>
      </c>
      <c r="BB154" s="3">
        <v>3271</v>
      </c>
      <c r="BC154" s="3">
        <v>157</v>
      </c>
      <c r="BD154" s="3">
        <v>-157</v>
      </c>
      <c r="BE154" s="3">
        <v>0</v>
      </c>
      <c r="BF154" s="3">
        <v>0.35222399999999998</v>
      </c>
      <c r="BG154" s="3">
        <v>1.0529999999999999E-2</v>
      </c>
      <c r="BH154" s="3">
        <v>-1.0529999999999999E-2</v>
      </c>
      <c r="BI154" s="3">
        <v>0</v>
      </c>
      <c r="BJ154" s="3">
        <v>0.33677800000000002</v>
      </c>
      <c r="BK154" s="3">
        <v>2.0240999999999999E-2</v>
      </c>
      <c r="BL154" s="3">
        <v>-2.0240999999999999E-2</v>
      </c>
      <c r="BM154" s="3">
        <v>0</v>
      </c>
      <c r="BS154" s="3">
        <v>4.8717699999999997</v>
      </c>
      <c r="BT154" s="3">
        <v>3.9800000000000002E-4</v>
      </c>
      <c r="BU154" s="3">
        <v>-3.9800000000000002E-4</v>
      </c>
      <c r="BV154" s="3">
        <v>0</v>
      </c>
      <c r="BW154" t="s">
        <v>7936</v>
      </c>
      <c r="BX154" t="s">
        <v>8187</v>
      </c>
      <c r="BY154" s="3">
        <v>343.32397370000001</v>
      </c>
      <c r="BZ154" t="s">
        <v>8188</v>
      </c>
      <c r="CA154" s="3">
        <v>-14.266595799999999</v>
      </c>
      <c r="CB154" s="3">
        <v>4.6751699999999996</v>
      </c>
      <c r="CC154" s="3">
        <v>1.67E-3</v>
      </c>
      <c r="CD154" s="3">
        <v>-1.67E-3</v>
      </c>
      <c r="CE154" s="3">
        <v>10.16</v>
      </c>
      <c r="CF154" s="3">
        <v>0.1</v>
      </c>
      <c r="CG154" s="3">
        <v>-0.1</v>
      </c>
      <c r="CH154" s="3">
        <v>5.01</v>
      </c>
      <c r="CI154" s="3">
        <v>2.1000000000000001E-2</v>
      </c>
      <c r="CJ154" s="3">
        <v>-2.1000000000000001E-2</v>
      </c>
      <c r="CK154" s="3">
        <v>8.8752999999999993</v>
      </c>
      <c r="CL154" s="3">
        <v>1.4499999999999999E-3</v>
      </c>
      <c r="CM154" s="3">
        <v>-1.4499999999999999E-3</v>
      </c>
      <c r="CN154" t="s">
        <v>8122</v>
      </c>
      <c r="CO154" t="s">
        <v>8123</v>
      </c>
      <c r="CP154" t="s">
        <v>8124</v>
      </c>
    </row>
    <row r="155" spans="1:94" x14ac:dyDescent="0.45">
      <c r="A155" t="s">
        <v>135</v>
      </c>
      <c r="B155">
        <v>1</v>
      </c>
      <c r="C155" t="s">
        <v>1574</v>
      </c>
      <c r="D155" t="s">
        <v>136</v>
      </c>
      <c r="E155" s="3">
        <v>1</v>
      </c>
      <c r="F155" s="3">
        <v>1</v>
      </c>
      <c r="G155" s="3">
        <v>4</v>
      </c>
      <c r="H155" t="s">
        <v>1427</v>
      </c>
      <c r="I155" s="3">
        <v>2020</v>
      </c>
      <c r="J155" t="s">
        <v>7966</v>
      </c>
      <c r="K155" t="s">
        <v>1429</v>
      </c>
      <c r="L155" s="3">
        <v>0</v>
      </c>
      <c r="M155" t="s">
        <v>8209</v>
      </c>
      <c r="N155" s="3">
        <v>9.2619000000000007</v>
      </c>
      <c r="O155" s="3">
        <v>5.0000000000000001E-4</v>
      </c>
      <c r="P155" s="3">
        <v>-5.0000000000000001E-4</v>
      </c>
      <c r="Q155" s="3">
        <v>0</v>
      </c>
      <c r="R155" s="3">
        <v>6.83E-2</v>
      </c>
      <c r="S155" s="3">
        <v>2.2000000000000001E-3</v>
      </c>
      <c r="T155" s="3">
        <v>-2.3999999999999998E-3</v>
      </c>
      <c r="U155" s="3">
        <v>0</v>
      </c>
      <c r="AD155" s="3">
        <v>3.9</v>
      </c>
      <c r="AE155" s="3">
        <v>0.5</v>
      </c>
      <c r="AF155" s="3">
        <v>-0.5</v>
      </c>
      <c r="AG155" s="3">
        <v>0</v>
      </c>
      <c r="AH155" s="3">
        <v>1.227077E-2</v>
      </c>
      <c r="AI155" s="3">
        <v>1.57318E-3</v>
      </c>
      <c r="AJ155" s="3">
        <v>-1.57318E-3</v>
      </c>
      <c r="AK155" s="3">
        <v>0</v>
      </c>
      <c r="AL155" t="s">
        <v>1426</v>
      </c>
      <c r="AM155" s="3">
        <v>0.14000000000000001</v>
      </c>
      <c r="AN155" s="3">
        <v>0.06</v>
      </c>
      <c r="AO155" s="3">
        <v>-0.06</v>
      </c>
      <c r="AP155" s="3">
        <v>0</v>
      </c>
      <c r="AQ155" s="3">
        <v>7.8</v>
      </c>
      <c r="AR155" s="3">
        <v>1.3</v>
      </c>
      <c r="AS155" s="3">
        <v>-1.1000000000000001</v>
      </c>
      <c r="AT155" s="3">
        <v>0</v>
      </c>
      <c r="AU155" s="3">
        <v>426</v>
      </c>
      <c r="AV155" s="3">
        <v>16</v>
      </c>
      <c r="AW155" s="3">
        <v>-16</v>
      </c>
      <c r="AX155" s="3">
        <v>0</v>
      </c>
      <c r="AY155" s="3">
        <v>0</v>
      </c>
      <c r="AZ155" t="s">
        <v>8209</v>
      </c>
      <c r="BA155" t="s">
        <v>8167</v>
      </c>
      <c r="BB155" s="3">
        <v>3688</v>
      </c>
      <c r="BC155" s="3">
        <v>86</v>
      </c>
      <c r="BD155" s="3">
        <v>-86</v>
      </c>
      <c r="BE155" s="3">
        <v>0</v>
      </c>
      <c r="BF155" s="3">
        <v>0.46800000000000003</v>
      </c>
      <c r="BG155" s="3">
        <v>2.1999999999999999E-2</v>
      </c>
      <c r="BH155" s="3">
        <v>-2.1999999999999999E-2</v>
      </c>
      <c r="BI155" s="3">
        <v>0</v>
      </c>
      <c r="BJ155" s="3">
        <v>0.495</v>
      </c>
      <c r="BK155" s="3">
        <v>4.9000000000000002E-2</v>
      </c>
      <c r="BL155" s="3">
        <v>-4.9000000000000002E-2</v>
      </c>
      <c r="BM155" s="3">
        <v>0</v>
      </c>
      <c r="BN155" s="3">
        <v>-0.06</v>
      </c>
      <c r="BO155" s="3">
        <v>0.08</v>
      </c>
      <c r="BP155" s="3">
        <v>-0.08</v>
      </c>
      <c r="BQ155" s="3">
        <v>0</v>
      </c>
      <c r="BR155" t="s">
        <v>7935</v>
      </c>
      <c r="BS155" s="3">
        <v>4.1559999999999997</v>
      </c>
      <c r="BT155" s="3">
        <v>0.04</v>
      </c>
      <c r="BU155" s="3">
        <v>-3.7999999999999999E-2</v>
      </c>
      <c r="BV155" s="3">
        <v>0</v>
      </c>
      <c r="BW155" t="s">
        <v>7936</v>
      </c>
      <c r="BX155" t="s">
        <v>8210</v>
      </c>
      <c r="BY155" s="3">
        <v>346.50275729999998</v>
      </c>
      <c r="BZ155" t="s">
        <v>8211</v>
      </c>
      <c r="CA155" s="3">
        <v>-35.8473489</v>
      </c>
      <c r="CB155" s="3">
        <v>3.2867899999999999</v>
      </c>
      <c r="CC155" s="3">
        <v>4.8999999999999998E-4</v>
      </c>
      <c r="CD155" s="3">
        <v>-4.8999999999999998E-4</v>
      </c>
      <c r="CE155" s="3">
        <v>7.56</v>
      </c>
      <c r="CF155" s="3">
        <v>0.2</v>
      </c>
      <c r="CG155" s="3">
        <v>-0.2</v>
      </c>
      <c r="CH155" s="3">
        <v>3.4649999999999999</v>
      </c>
      <c r="CI155" s="3">
        <v>0.2</v>
      </c>
      <c r="CJ155" s="3">
        <v>-0.2</v>
      </c>
      <c r="CK155" s="3">
        <v>6.5219899999999997</v>
      </c>
      <c r="CL155" s="3">
        <v>8.9599999999999999E-4</v>
      </c>
      <c r="CM155" s="3">
        <v>-8.9599999999999999E-4</v>
      </c>
      <c r="CN155" t="s">
        <v>1577</v>
      </c>
      <c r="CO155" t="s">
        <v>8212</v>
      </c>
      <c r="CP155" t="s">
        <v>1577</v>
      </c>
    </row>
    <row r="156" spans="1:94" x14ac:dyDescent="0.45">
      <c r="A156" t="s">
        <v>135</v>
      </c>
      <c r="B156">
        <v>0</v>
      </c>
      <c r="C156" t="s">
        <v>1574</v>
      </c>
      <c r="D156" t="s">
        <v>136</v>
      </c>
      <c r="E156" s="3">
        <v>0</v>
      </c>
      <c r="F156" s="3">
        <v>1</v>
      </c>
      <c r="G156" s="3">
        <v>4</v>
      </c>
      <c r="H156" t="s">
        <v>1427</v>
      </c>
      <c r="I156" s="3">
        <v>2020</v>
      </c>
      <c r="J156" t="s">
        <v>7966</v>
      </c>
      <c r="K156" t="s">
        <v>1429</v>
      </c>
      <c r="L156" s="3">
        <v>0</v>
      </c>
      <c r="M156" t="s">
        <v>8213</v>
      </c>
      <c r="N156" s="3">
        <v>9.2620000000000005</v>
      </c>
      <c r="O156" s="3">
        <v>1E-3</v>
      </c>
      <c r="P156" s="3">
        <v>-1E-3</v>
      </c>
      <c r="Q156" s="3">
        <v>0</v>
      </c>
      <c r="R156" s="3">
        <v>6.8000000000000005E-2</v>
      </c>
      <c r="S156" s="3">
        <v>2E-3</v>
      </c>
      <c r="T156" s="3">
        <v>-2E-3</v>
      </c>
      <c r="U156" s="3">
        <v>0</v>
      </c>
      <c r="AD156" s="3">
        <v>4.2</v>
      </c>
      <c r="AE156" s="3">
        <v>0.6</v>
      </c>
      <c r="AF156" s="3">
        <v>-0.6</v>
      </c>
      <c r="AG156" s="3">
        <v>0</v>
      </c>
      <c r="AH156" s="3">
        <v>1.321461E-2</v>
      </c>
      <c r="AI156" s="3">
        <v>1.8878E-3</v>
      </c>
      <c r="AJ156" s="3">
        <v>-1.8878E-3</v>
      </c>
      <c r="AK156" s="3">
        <v>0</v>
      </c>
      <c r="AL156" t="s">
        <v>1426</v>
      </c>
      <c r="AM156" s="3">
        <v>0</v>
      </c>
      <c r="AP156" s="3">
        <v>0</v>
      </c>
      <c r="AQ156" s="3">
        <v>7.95</v>
      </c>
      <c r="AR156" s="3">
        <v>0.2</v>
      </c>
      <c r="AS156" s="3">
        <v>-0.2</v>
      </c>
      <c r="AT156" s="3">
        <v>0</v>
      </c>
      <c r="AU156" s="3">
        <v>468</v>
      </c>
      <c r="AX156" s="3">
        <v>0</v>
      </c>
      <c r="AY156" s="3">
        <v>0</v>
      </c>
      <c r="AZ156" t="s">
        <v>8213</v>
      </c>
      <c r="BA156" t="s">
        <v>8167</v>
      </c>
      <c r="BB156" s="3">
        <v>3688</v>
      </c>
      <c r="BC156" s="3">
        <v>86</v>
      </c>
      <c r="BD156" s="3">
        <v>-86</v>
      </c>
      <c r="BE156" s="3">
        <v>0</v>
      </c>
      <c r="BF156" s="3">
        <v>0.47120000000000001</v>
      </c>
      <c r="BG156" s="3">
        <v>8.5999999999999993E-2</v>
      </c>
      <c r="BH156" s="3">
        <v>-8.5999999999999993E-2</v>
      </c>
      <c r="BI156" s="3">
        <v>0</v>
      </c>
      <c r="BJ156" s="3">
        <v>0.48899999999999999</v>
      </c>
      <c r="BK156" s="3">
        <v>0.05</v>
      </c>
      <c r="BL156" s="3">
        <v>-0.05</v>
      </c>
      <c r="BM156" s="3">
        <v>0</v>
      </c>
      <c r="BN156" s="3">
        <v>-0.06</v>
      </c>
      <c r="BO156" s="3">
        <v>0.08</v>
      </c>
      <c r="BP156" s="3">
        <v>-0.08</v>
      </c>
      <c r="BQ156" s="3">
        <v>0</v>
      </c>
      <c r="BR156" t="s">
        <v>7935</v>
      </c>
      <c r="BS156" s="3">
        <v>4.78</v>
      </c>
      <c r="BV156" s="3">
        <v>0</v>
      </c>
      <c r="BW156" t="s">
        <v>8214</v>
      </c>
      <c r="BX156" t="s">
        <v>8215</v>
      </c>
      <c r="BY156" s="3">
        <v>346.4668274</v>
      </c>
      <c r="BZ156" t="s">
        <v>8216</v>
      </c>
      <c r="CA156" s="3">
        <v>-35.853069300000001</v>
      </c>
      <c r="CB156" s="3">
        <v>3.29</v>
      </c>
      <c r="CC156" s="3">
        <v>0.01</v>
      </c>
      <c r="CD156" s="3">
        <v>-0.01</v>
      </c>
      <c r="CN156" t="s">
        <v>8035</v>
      </c>
      <c r="CO156" t="s">
        <v>8217</v>
      </c>
      <c r="CP156" t="s">
        <v>8037</v>
      </c>
    </row>
    <row r="157" spans="1:94" x14ac:dyDescent="0.45">
      <c r="A157" t="s">
        <v>135</v>
      </c>
      <c r="B157">
        <v>0</v>
      </c>
      <c r="C157" t="s">
        <v>1574</v>
      </c>
      <c r="D157" t="s">
        <v>136</v>
      </c>
      <c r="E157" s="3">
        <v>0</v>
      </c>
      <c r="F157" s="3">
        <v>1</v>
      </c>
      <c r="G157" s="3">
        <v>4</v>
      </c>
      <c r="H157" t="s">
        <v>1427</v>
      </c>
      <c r="I157" s="3">
        <v>2020</v>
      </c>
      <c r="J157" t="s">
        <v>7966</v>
      </c>
      <c r="K157" t="s">
        <v>1429</v>
      </c>
      <c r="L157" s="3">
        <v>0</v>
      </c>
      <c r="M157" t="s">
        <v>7940</v>
      </c>
      <c r="N157" s="3">
        <v>9.2617700000000003</v>
      </c>
      <c r="O157" s="3">
        <v>5.5000000000000003E-4</v>
      </c>
      <c r="P157" s="3">
        <v>-5.2999999999999998E-4</v>
      </c>
      <c r="Q157" s="3">
        <v>0</v>
      </c>
      <c r="R157" s="3">
        <v>7.51E-2</v>
      </c>
      <c r="S157" s="3">
        <v>9.4999999999999998E-3</v>
      </c>
      <c r="T157" s="3">
        <v>-1.2999999999999999E-2</v>
      </c>
      <c r="U157" s="3">
        <v>0</v>
      </c>
      <c r="AD157" s="3">
        <v>6.9</v>
      </c>
      <c r="AE157" s="3">
        <v>2.1</v>
      </c>
      <c r="AF157" s="3">
        <v>-2.2000000000000002</v>
      </c>
      <c r="AG157" s="3">
        <v>0</v>
      </c>
      <c r="AH157" s="3">
        <v>2.1709829999999999E-2</v>
      </c>
      <c r="AI157" s="3">
        <v>6.6073399999999997E-3</v>
      </c>
      <c r="AJ157" s="3">
        <v>-6.9219700000000004E-3</v>
      </c>
      <c r="AK157" s="3">
        <v>0</v>
      </c>
      <c r="AL157" t="s">
        <v>1426</v>
      </c>
      <c r="AM157" s="3">
        <v>8.3000000000000004E-2</v>
      </c>
      <c r="AN157" s="3">
        <v>8.5000000000000006E-2</v>
      </c>
      <c r="AO157" s="3">
        <v>-5.8000000000000003E-2</v>
      </c>
      <c r="AP157" s="3">
        <v>0</v>
      </c>
      <c r="AY157" s="3">
        <v>0</v>
      </c>
      <c r="AZ157" t="s">
        <v>7940</v>
      </c>
      <c r="BB157" s="3">
        <v>3680</v>
      </c>
      <c r="BE157" s="3">
        <v>0</v>
      </c>
      <c r="BW157" t="s">
        <v>7936</v>
      </c>
      <c r="BX157" t="s">
        <v>8210</v>
      </c>
      <c r="BY157" s="3">
        <v>346.50275729999998</v>
      </c>
      <c r="BZ157" t="s">
        <v>8211</v>
      </c>
      <c r="CA157" s="3">
        <v>-35.8473489</v>
      </c>
      <c r="CB157" s="3">
        <v>3.2867899999999999</v>
      </c>
      <c r="CC157" s="3">
        <v>4.8999999999999998E-4</v>
      </c>
      <c r="CD157" s="3">
        <v>-4.8999999999999998E-4</v>
      </c>
      <c r="CE157" s="3">
        <v>7.56</v>
      </c>
      <c r="CF157" s="3">
        <v>0.2</v>
      </c>
      <c r="CG157" s="3">
        <v>-0.2</v>
      </c>
      <c r="CH157" s="3">
        <v>3.4649999999999999</v>
      </c>
      <c r="CI157" s="3">
        <v>0.2</v>
      </c>
      <c r="CJ157" s="3">
        <v>-0.2</v>
      </c>
      <c r="CK157" s="3">
        <v>6.5219899999999997</v>
      </c>
      <c r="CL157" s="3">
        <v>8.9599999999999999E-4</v>
      </c>
      <c r="CM157" s="3">
        <v>-8.9599999999999999E-4</v>
      </c>
      <c r="CN157" t="s">
        <v>1513</v>
      </c>
      <c r="CO157" t="s">
        <v>7941</v>
      </c>
      <c r="CP157" t="s">
        <v>1513</v>
      </c>
    </row>
    <row r="158" spans="1:94" x14ac:dyDescent="0.45">
      <c r="A158" t="s">
        <v>135</v>
      </c>
      <c r="B158">
        <v>0</v>
      </c>
      <c r="C158" t="s">
        <v>1578</v>
      </c>
      <c r="D158" t="s">
        <v>136</v>
      </c>
      <c r="E158" s="3">
        <v>0</v>
      </c>
      <c r="F158" s="3">
        <v>1</v>
      </c>
      <c r="G158" s="3">
        <v>4</v>
      </c>
      <c r="H158" t="s">
        <v>1427</v>
      </c>
      <c r="I158" s="3">
        <v>2020</v>
      </c>
      <c r="J158" t="s">
        <v>7966</v>
      </c>
      <c r="K158" t="s">
        <v>1429</v>
      </c>
      <c r="L158" s="3">
        <v>0</v>
      </c>
      <c r="M158" t="s">
        <v>7940</v>
      </c>
      <c r="N158" s="3">
        <v>21.795200000000001</v>
      </c>
      <c r="O158" s="3">
        <v>2.5000000000000001E-3</v>
      </c>
      <c r="P158" s="3">
        <v>-2.3999999999999998E-3</v>
      </c>
      <c r="Q158" s="3">
        <v>0</v>
      </c>
      <c r="R158" s="3">
        <v>0.13300000000000001</v>
      </c>
      <c r="S158" s="3">
        <v>1.7000000000000001E-2</v>
      </c>
      <c r="T158" s="3">
        <v>-2.1999999999999999E-2</v>
      </c>
      <c r="U158" s="3">
        <v>0</v>
      </c>
      <c r="AD158" s="3">
        <v>10.199999999999999</v>
      </c>
      <c r="AE158" s="3">
        <v>3</v>
      </c>
      <c r="AF158" s="3">
        <v>-3.2</v>
      </c>
      <c r="AG158" s="3">
        <v>0</v>
      </c>
      <c r="AH158" s="3">
        <v>3.2092790000000003E-2</v>
      </c>
      <c r="AI158" s="3">
        <v>9.4390600000000009E-3</v>
      </c>
      <c r="AJ158" s="3">
        <v>-1.006833E-2</v>
      </c>
      <c r="AK158" s="3">
        <v>0</v>
      </c>
      <c r="AL158" t="s">
        <v>1426</v>
      </c>
      <c r="AM158" s="3">
        <v>0.26500000000000001</v>
      </c>
      <c r="AN158" s="3">
        <v>7.5999999999999998E-2</v>
      </c>
      <c r="AO158" s="3">
        <v>-7.6999999999999999E-2</v>
      </c>
      <c r="AP158" s="3">
        <v>0</v>
      </c>
      <c r="AY158" s="3">
        <v>0</v>
      </c>
      <c r="AZ158" t="s">
        <v>7940</v>
      </c>
      <c r="BB158" s="3">
        <v>3680</v>
      </c>
      <c r="BE158" s="3">
        <v>0</v>
      </c>
      <c r="BW158" t="s">
        <v>7936</v>
      </c>
      <c r="BX158" t="s">
        <v>8210</v>
      </c>
      <c r="BY158" s="3">
        <v>346.50275729999998</v>
      </c>
      <c r="BZ158" t="s">
        <v>8211</v>
      </c>
      <c r="CA158" s="3">
        <v>-35.8473489</v>
      </c>
      <c r="CB158" s="3">
        <v>3.2867899999999999</v>
      </c>
      <c r="CC158" s="3">
        <v>4.8999999999999998E-4</v>
      </c>
      <c r="CD158" s="3">
        <v>-4.8999999999999998E-4</v>
      </c>
      <c r="CE158" s="3">
        <v>7.56</v>
      </c>
      <c r="CF158" s="3">
        <v>0.2</v>
      </c>
      <c r="CG158" s="3">
        <v>-0.2</v>
      </c>
      <c r="CH158" s="3">
        <v>3.4649999999999999</v>
      </c>
      <c r="CI158" s="3">
        <v>0.2</v>
      </c>
      <c r="CJ158" s="3">
        <v>-0.2</v>
      </c>
      <c r="CK158" s="3">
        <v>6.5219899999999997</v>
      </c>
      <c r="CL158" s="3">
        <v>8.9599999999999999E-4</v>
      </c>
      <c r="CM158" s="3">
        <v>-8.9599999999999999E-4</v>
      </c>
      <c r="CN158" t="s">
        <v>1513</v>
      </c>
      <c r="CO158" t="s">
        <v>7941</v>
      </c>
      <c r="CP158" t="s">
        <v>1513</v>
      </c>
    </row>
    <row r="159" spans="1:94" x14ac:dyDescent="0.45">
      <c r="A159" t="s">
        <v>135</v>
      </c>
      <c r="B159">
        <v>1</v>
      </c>
      <c r="C159" t="s">
        <v>1578</v>
      </c>
      <c r="D159" t="s">
        <v>136</v>
      </c>
      <c r="E159" s="3">
        <v>1</v>
      </c>
      <c r="F159" s="3">
        <v>1</v>
      </c>
      <c r="G159" s="3">
        <v>4</v>
      </c>
      <c r="H159" t="s">
        <v>1427</v>
      </c>
      <c r="I159" s="3">
        <v>2020</v>
      </c>
      <c r="J159" t="s">
        <v>7966</v>
      </c>
      <c r="K159" t="s">
        <v>1429</v>
      </c>
      <c r="L159" s="3">
        <v>0</v>
      </c>
      <c r="M159" t="s">
        <v>8209</v>
      </c>
      <c r="N159" s="3">
        <v>21.783999999999999</v>
      </c>
      <c r="O159" s="3">
        <v>4.0000000000000001E-3</v>
      </c>
      <c r="P159" s="3">
        <v>-4.0000000000000001E-3</v>
      </c>
      <c r="Q159" s="3">
        <v>0</v>
      </c>
      <c r="R159" s="3">
        <v>0.121</v>
      </c>
      <c r="S159" s="3">
        <v>4.0000000000000001E-3</v>
      </c>
      <c r="T159" s="3">
        <v>-5.0000000000000001E-3</v>
      </c>
      <c r="U159" s="3">
        <v>0</v>
      </c>
      <c r="AD159" s="3">
        <v>6.5</v>
      </c>
      <c r="AE159" s="3">
        <v>1</v>
      </c>
      <c r="AF159" s="3">
        <v>-0.9</v>
      </c>
      <c r="AG159" s="3">
        <v>0</v>
      </c>
      <c r="AH159" s="3">
        <v>2.045129E-2</v>
      </c>
      <c r="AI159" s="3">
        <v>3.14635E-3</v>
      </c>
      <c r="AJ159" s="3">
        <v>-2.8317199999999998E-3</v>
      </c>
      <c r="AK159" s="3">
        <v>0</v>
      </c>
      <c r="AL159" t="s">
        <v>1426</v>
      </c>
      <c r="AM159" s="3">
        <v>0.17</v>
      </c>
      <c r="AN159" s="3">
        <v>0.06</v>
      </c>
      <c r="AO159" s="3">
        <v>-0.06</v>
      </c>
      <c r="AP159" s="3">
        <v>0</v>
      </c>
      <c r="AQ159" s="3">
        <v>2.5</v>
      </c>
      <c r="AR159" s="3">
        <v>0.4</v>
      </c>
      <c r="AS159" s="3">
        <v>-0.4</v>
      </c>
      <c r="AT159" s="3">
        <v>0</v>
      </c>
      <c r="AU159" s="3">
        <v>320</v>
      </c>
      <c r="AV159" s="3">
        <v>13</v>
      </c>
      <c r="AW159" s="3">
        <v>-12</v>
      </c>
      <c r="AX159" s="3">
        <v>0</v>
      </c>
      <c r="AY159" s="3">
        <v>0</v>
      </c>
      <c r="AZ159" t="s">
        <v>8209</v>
      </c>
      <c r="BA159" t="s">
        <v>8167</v>
      </c>
      <c r="BB159" s="3">
        <v>3688</v>
      </c>
      <c r="BC159" s="3">
        <v>86</v>
      </c>
      <c r="BD159" s="3">
        <v>-86</v>
      </c>
      <c r="BE159" s="3">
        <v>0</v>
      </c>
      <c r="BF159" s="3">
        <v>0.46800000000000003</v>
      </c>
      <c r="BG159" s="3">
        <v>2.1999999999999999E-2</v>
      </c>
      <c r="BH159" s="3">
        <v>-2.1999999999999999E-2</v>
      </c>
      <c r="BI159" s="3">
        <v>0</v>
      </c>
      <c r="BJ159" s="3">
        <v>0.495</v>
      </c>
      <c r="BK159" s="3">
        <v>4.9000000000000002E-2</v>
      </c>
      <c r="BL159" s="3">
        <v>-4.9000000000000002E-2</v>
      </c>
      <c r="BM159" s="3">
        <v>0</v>
      </c>
      <c r="BN159" s="3">
        <v>-0.06</v>
      </c>
      <c r="BO159" s="3">
        <v>0.08</v>
      </c>
      <c r="BP159" s="3">
        <v>-0.08</v>
      </c>
      <c r="BQ159" s="3">
        <v>0</v>
      </c>
      <c r="BR159" t="s">
        <v>7935</v>
      </c>
      <c r="BS159" s="3">
        <v>4.1559999999999997</v>
      </c>
      <c r="BT159" s="3">
        <v>0.04</v>
      </c>
      <c r="BU159" s="3">
        <v>-3.7999999999999999E-2</v>
      </c>
      <c r="BV159" s="3">
        <v>0</v>
      </c>
      <c r="BW159" t="s">
        <v>7936</v>
      </c>
      <c r="BX159" t="s">
        <v>8210</v>
      </c>
      <c r="BY159" s="3">
        <v>346.50275729999998</v>
      </c>
      <c r="BZ159" t="s">
        <v>8211</v>
      </c>
      <c r="CA159" s="3">
        <v>-35.8473489</v>
      </c>
      <c r="CB159" s="3">
        <v>3.2867899999999999</v>
      </c>
      <c r="CC159" s="3">
        <v>4.8999999999999998E-4</v>
      </c>
      <c r="CD159" s="3">
        <v>-4.8999999999999998E-4</v>
      </c>
      <c r="CE159" s="3">
        <v>7.56</v>
      </c>
      <c r="CF159" s="3">
        <v>0.2</v>
      </c>
      <c r="CG159" s="3">
        <v>-0.2</v>
      </c>
      <c r="CH159" s="3">
        <v>3.4649999999999999</v>
      </c>
      <c r="CI159" s="3">
        <v>0.2</v>
      </c>
      <c r="CJ159" s="3">
        <v>-0.2</v>
      </c>
      <c r="CK159" s="3">
        <v>6.5219899999999997</v>
      </c>
      <c r="CL159" s="3">
        <v>8.9599999999999999E-4</v>
      </c>
      <c r="CM159" s="3">
        <v>-8.9599999999999999E-4</v>
      </c>
      <c r="CN159" t="s">
        <v>1577</v>
      </c>
      <c r="CO159" t="s">
        <v>8212</v>
      </c>
      <c r="CP159" t="s">
        <v>1577</v>
      </c>
    </row>
    <row r="160" spans="1:94" x14ac:dyDescent="0.45">
      <c r="A160" t="s">
        <v>135</v>
      </c>
      <c r="B160">
        <v>0</v>
      </c>
      <c r="C160" t="s">
        <v>1578</v>
      </c>
      <c r="D160" t="s">
        <v>136</v>
      </c>
      <c r="E160" s="3">
        <v>0</v>
      </c>
      <c r="F160" s="3">
        <v>1</v>
      </c>
      <c r="G160" s="3">
        <v>4</v>
      </c>
      <c r="H160" t="s">
        <v>1427</v>
      </c>
      <c r="I160" s="3">
        <v>2020</v>
      </c>
      <c r="J160" t="s">
        <v>7966</v>
      </c>
      <c r="K160" t="s">
        <v>1429</v>
      </c>
      <c r="L160" s="3">
        <v>0</v>
      </c>
      <c r="M160" t="s">
        <v>8213</v>
      </c>
      <c r="N160" s="3">
        <v>21.789000000000001</v>
      </c>
      <c r="O160" s="3">
        <v>4.0000000000000001E-3</v>
      </c>
      <c r="P160" s="3">
        <v>-5.0000000000000001E-3</v>
      </c>
      <c r="Q160" s="3">
        <v>0</v>
      </c>
      <c r="R160" s="3">
        <v>0.12</v>
      </c>
      <c r="S160" s="3">
        <v>4.0000000000000001E-3</v>
      </c>
      <c r="T160" s="3">
        <v>-4.0000000000000001E-3</v>
      </c>
      <c r="U160" s="3">
        <v>0</v>
      </c>
      <c r="AD160" s="3">
        <v>7.6</v>
      </c>
      <c r="AE160" s="3">
        <v>1.2</v>
      </c>
      <c r="AF160" s="3">
        <v>-1.2</v>
      </c>
      <c r="AG160" s="3">
        <v>0</v>
      </c>
      <c r="AH160" s="3">
        <v>2.391215E-2</v>
      </c>
      <c r="AI160" s="3">
        <v>3.7756E-3</v>
      </c>
      <c r="AJ160" s="3">
        <v>-3.7756E-3</v>
      </c>
      <c r="AK160" s="3">
        <v>0</v>
      </c>
      <c r="AL160" t="s">
        <v>1426</v>
      </c>
      <c r="AQ160" s="3">
        <v>2.56</v>
      </c>
      <c r="AR160" s="3">
        <v>0.2</v>
      </c>
      <c r="AS160" s="3">
        <v>-0.2</v>
      </c>
      <c r="AT160" s="3">
        <v>0</v>
      </c>
      <c r="AU160" s="3">
        <v>352</v>
      </c>
      <c r="AX160" s="3">
        <v>0</v>
      </c>
      <c r="AY160" s="3">
        <v>0</v>
      </c>
      <c r="AZ160" t="s">
        <v>8213</v>
      </c>
      <c r="BA160" t="s">
        <v>8167</v>
      </c>
      <c r="BB160" s="3">
        <v>3688</v>
      </c>
      <c r="BC160" s="3">
        <v>86</v>
      </c>
      <c r="BD160" s="3">
        <v>-86</v>
      </c>
      <c r="BE160" s="3">
        <v>0</v>
      </c>
      <c r="BF160" s="3">
        <v>0.47120000000000001</v>
      </c>
      <c r="BG160" s="3">
        <v>8.5999999999999993E-2</v>
      </c>
      <c r="BH160" s="3">
        <v>-8.5999999999999993E-2</v>
      </c>
      <c r="BI160" s="3">
        <v>0</v>
      </c>
      <c r="BJ160" s="3">
        <v>0.48899999999999999</v>
      </c>
      <c r="BK160" s="3">
        <v>0.05</v>
      </c>
      <c r="BL160" s="3">
        <v>-0.05</v>
      </c>
      <c r="BM160" s="3">
        <v>0</v>
      </c>
      <c r="BN160" s="3">
        <v>-0.06</v>
      </c>
      <c r="BO160" s="3">
        <v>0.08</v>
      </c>
      <c r="BP160" s="3">
        <v>-0.08</v>
      </c>
      <c r="BQ160" s="3">
        <v>0</v>
      </c>
      <c r="BR160" t="s">
        <v>7935</v>
      </c>
      <c r="BS160" s="3">
        <v>4.78</v>
      </c>
      <c r="BV160" s="3">
        <v>0</v>
      </c>
      <c r="BW160" t="s">
        <v>8214</v>
      </c>
      <c r="BX160" t="s">
        <v>8215</v>
      </c>
      <c r="BY160" s="3">
        <v>346.4668274</v>
      </c>
      <c r="BZ160" t="s">
        <v>8216</v>
      </c>
      <c r="CA160" s="3">
        <v>-35.853069300000001</v>
      </c>
      <c r="CB160" s="3">
        <v>3.29</v>
      </c>
      <c r="CC160" s="3">
        <v>0.01</v>
      </c>
      <c r="CD160" s="3">
        <v>-0.01</v>
      </c>
      <c r="CN160" t="s">
        <v>8035</v>
      </c>
      <c r="CO160" t="s">
        <v>8217</v>
      </c>
      <c r="CP160" t="s">
        <v>8037</v>
      </c>
    </row>
    <row r="161" spans="1:94" x14ac:dyDescent="0.45">
      <c r="A161" t="s">
        <v>135</v>
      </c>
      <c r="B161">
        <v>1</v>
      </c>
      <c r="C161" t="s">
        <v>1579</v>
      </c>
      <c r="D161" t="s">
        <v>136</v>
      </c>
      <c r="E161" s="3">
        <v>1</v>
      </c>
      <c r="F161" s="3">
        <v>1</v>
      </c>
      <c r="G161" s="3">
        <v>4</v>
      </c>
      <c r="H161" t="s">
        <v>1427</v>
      </c>
      <c r="I161" s="3">
        <v>2026</v>
      </c>
      <c r="J161" t="s">
        <v>7932</v>
      </c>
      <c r="K161" t="s">
        <v>1429</v>
      </c>
      <c r="L161" s="3">
        <v>0</v>
      </c>
      <c r="M161" t="s">
        <v>8209</v>
      </c>
      <c r="N161" s="3">
        <v>50.77</v>
      </c>
      <c r="O161" s="3">
        <v>0.05</v>
      </c>
      <c r="P161" s="3">
        <v>-0.05</v>
      </c>
      <c r="Q161" s="3">
        <v>0</v>
      </c>
      <c r="R161" s="3">
        <v>0.21199999999999999</v>
      </c>
      <c r="S161" s="3">
        <v>7.0000000000000001E-3</v>
      </c>
      <c r="T161" s="3">
        <v>-8.0000000000000002E-3</v>
      </c>
      <c r="U161" s="3">
        <v>0</v>
      </c>
      <c r="AD161" s="3">
        <v>6.1</v>
      </c>
      <c r="AE161" s="3">
        <v>1.4</v>
      </c>
      <c r="AF161" s="3">
        <v>-1.4</v>
      </c>
      <c r="AG161" s="3">
        <v>0</v>
      </c>
      <c r="AH161" s="3">
        <v>1.9192750000000001E-2</v>
      </c>
      <c r="AI161" s="3">
        <v>4.4048899999999998E-3</v>
      </c>
      <c r="AJ161" s="3">
        <v>-4.4048899999999998E-3</v>
      </c>
      <c r="AK161" s="3">
        <v>0</v>
      </c>
      <c r="AL161" t="s">
        <v>1426</v>
      </c>
      <c r="AQ161" s="3">
        <v>0.81</v>
      </c>
      <c r="AR161" s="3">
        <v>0.13</v>
      </c>
      <c r="AS161" s="3">
        <v>-0.12</v>
      </c>
      <c r="AT161" s="3">
        <v>0</v>
      </c>
      <c r="AU161" s="3">
        <v>241</v>
      </c>
      <c r="AV161" s="3">
        <v>10</v>
      </c>
      <c r="AW161" s="3">
        <v>-9</v>
      </c>
      <c r="AX161" s="3">
        <v>0</v>
      </c>
      <c r="AY161" s="3">
        <v>0</v>
      </c>
      <c r="AZ161" t="s">
        <v>8209</v>
      </c>
      <c r="BA161" t="s">
        <v>8167</v>
      </c>
      <c r="BB161" s="3">
        <v>3688</v>
      </c>
      <c r="BC161" s="3">
        <v>86</v>
      </c>
      <c r="BD161" s="3">
        <v>-86</v>
      </c>
      <c r="BE161" s="3">
        <v>0</v>
      </c>
      <c r="BF161" s="3">
        <v>0.46800000000000003</v>
      </c>
      <c r="BG161" s="3">
        <v>2.1999999999999999E-2</v>
      </c>
      <c r="BH161" s="3">
        <v>-2.1999999999999999E-2</v>
      </c>
      <c r="BI161" s="3">
        <v>0</v>
      </c>
      <c r="BJ161" s="3">
        <v>0.495</v>
      </c>
      <c r="BK161" s="3">
        <v>4.9000000000000002E-2</v>
      </c>
      <c r="BL161" s="3">
        <v>-4.9000000000000002E-2</v>
      </c>
      <c r="BM161" s="3">
        <v>0</v>
      </c>
      <c r="BN161" s="3">
        <v>-0.06</v>
      </c>
      <c r="BO161" s="3">
        <v>0.08</v>
      </c>
      <c r="BP161" s="3">
        <v>-0.08</v>
      </c>
      <c r="BQ161" s="3">
        <v>0</v>
      </c>
      <c r="BR161" t="s">
        <v>7935</v>
      </c>
      <c r="BS161" s="3">
        <v>4.1559999999999997</v>
      </c>
      <c r="BT161" s="3">
        <v>0.04</v>
      </c>
      <c r="BU161" s="3">
        <v>-3.7999999999999999E-2</v>
      </c>
      <c r="BV161" s="3">
        <v>0</v>
      </c>
      <c r="BW161" t="s">
        <v>7936</v>
      </c>
      <c r="BX161" t="s">
        <v>8210</v>
      </c>
      <c r="BY161" s="3">
        <v>346.50275729999998</v>
      </c>
      <c r="BZ161" t="s">
        <v>8211</v>
      </c>
      <c r="CA161" s="3">
        <v>-35.8473489</v>
      </c>
      <c r="CB161" s="3">
        <v>3.2867899999999999</v>
      </c>
      <c r="CC161" s="3">
        <v>4.8999999999999998E-4</v>
      </c>
      <c r="CD161" s="3">
        <v>-4.8999999999999998E-4</v>
      </c>
      <c r="CE161" s="3">
        <v>7.56</v>
      </c>
      <c r="CF161" s="3">
        <v>0.2</v>
      </c>
      <c r="CG161" s="3">
        <v>-0.2</v>
      </c>
      <c r="CH161" s="3">
        <v>3.4649999999999999</v>
      </c>
      <c r="CI161" s="3">
        <v>0.2</v>
      </c>
      <c r="CJ161" s="3">
        <v>-0.2</v>
      </c>
      <c r="CK161" s="3">
        <v>6.5219899999999997</v>
      </c>
      <c r="CL161" s="3">
        <v>8.9599999999999999E-4</v>
      </c>
      <c r="CM161" s="3">
        <v>-8.9599999999999999E-4</v>
      </c>
      <c r="CN161" t="s">
        <v>1577</v>
      </c>
      <c r="CO161" t="s">
        <v>8212</v>
      </c>
      <c r="CP161" t="s">
        <v>1577</v>
      </c>
    </row>
    <row r="162" spans="1:94" x14ac:dyDescent="0.45">
      <c r="A162" t="s">
        <v>135</v>
      </c>
      <c r="B162">
        <v>1</v>
      </c>
      <c r="C162" t="s">
        <v>1580</v>
      </c>
      <c r="D162" t="s">
        <v>136</v>
      </c>
      <c r="E162" s="3">
        <v>1</v>
      </c>
      <c r="F162" s="3">
        <v>1</v>
      </c>
      <c r="G162" s="3">
        <v>4</v>
      </c>
      <c r="H162" t="s">
        <v>1427</v>
      </c>
      <c r="I162" s="3">
        <v>2026</v>
      </c>
      <c r="J162" t="s">
        <v>7932</v>
      </c>
      <c r="K162" t="s">
        <v>1429</v>
      </c>
      <c r="L162" s="3">
        <v>0</v>
      </c>
      <c r="M162" t="s">
        <v>8209</v>
      </c>
      <c r="N162" s="3">
        <v>4.4249000000000001</v>
      </c>
      <c r="O162" s="3">
        <v>1.3999999999999999E-4</v>
      </c>
      <c r="P162" s="3">
        <v>-1.2999999999999999E-4</v>
      </c>
      <c r="Q162" s="3">
        <v>0</v>
      </c>
      <c r="R162" s="3">
        <v>4.1700000000000001E-2</v>
      </c>
      <c r="S162" s="3">
        <v>1.4E-3</v>
      </c>
      <c r="T162" s="3">
        <v>-1.5E-3</v>
      </c>
      <c r="U162" s="3">
        <v>0</v>
      </c>
      <c r="AD162" s="3">
        <v>1.46</v>
      </c>
      <c r="AE162" s="3">
        <v>0.19</v>
      </c>
      <c r="AF162" s="3">
        <v>-0.18</v>
      </c>
      <c r="AG162" s="3">
        <v>0</v>
      </c>
      <c r="AH162" s="3">
        <v>4.5936700000000002E-3</v>
      </c>
      <c r="AI162" s="3">
        <v>5.9781000000000005E-4</v>
      </c>
      <c r="AJ162" s="3">
        <v>-5.6634000000000003E-4</v>
      </c>
      <c r="AK162" s="3">
        <v>0</v>
      </c>
      <c r="AL162" t="s">
        <v>1426</v>
      </c>
      <c r="AQ162" s="3">
        <v>20.9</v>
      </c>
      <c r="AR162" s="3">
        <v>4</v>
      </c>
      <c r="AS162" s="3">
        <v>-2.9</v>
      </c>
      <c r="AT162" s="3">
        <v>0</v>
      </c>
      <c r="AU162" s="3">
        <v>544</v>
      </c>
      <c r="AV162" s="3">
        <v>21</v>
      </c>
      <c r="AW162" s="3">
        <v>-20</v>
      </c>
      <c r="AX162" s="3">
        <v>0</v>
      </c>
      <c r="AY162" s="3">
        <v>0</v>
      </c>
      <c r="AZ162" t="s">
        <v>8209</v>
      </c>
      <c r="BA162" t="s">
        <v>8167</v>
      </c>
      <c r="BB162" s="3">
        <v>3688</v>
      </c>
      <c r="BC162" s="3">
        <v>86</v>
      </c>
      <c r="BD162" s="3">
        <v>-86</v>
      </c>
      <c r="BE162" s="3">
        <v>0</v>
      </c>
      <c r="BF162" s="3">
        <v>0.46800000000000003</v>
      </c>
      <c r="BG162" s="3">
        <v>2.1999999999999999E-2</v>
      </c>
      <c r="BH162" s="3">
        <v>-2.1999999999999999E-2</v>
      </c>
      <c r="BI162" s="3">
        <v>0</v>
      </c>
      <c r="BJ162" s="3">
        <v>0.495</v>
      </c>
      <c r="BK162" s="3">
        <v>4.9000000000000002E-2</v>
      </c>
      <c r="BL162" s="3">
        <v>-4.9000000000000002E-2</v>
      </c>
      <c r="BM162" s="3">
        <v>0</v>
      </c>
      <c r="BN162" s="3">
        <v>-0.06</v>
      </c>
      <c r="BO162" s="3">
        <v>0.08</v>
      </c>
      <c r="BP162" s="3">
        <v>-0.08</v>
      </c>
      <c r="BQ162" s="3">
        <v>0</v>
      </c>
      <c r="BR162" t="s">
        <v>7935</v>
      </c>
      <c r="BS162" s="3">
        <v>4.1559999999999997</v>
      </c>
      <c r="BT162" s="3">
        <v>0.04</v>
      </c>
      <c r="BU162" s="3">
        <v>-3.7999999999999999E-2</v>
      </c>
      <c r="BV162" s="3">
        <v>0</v>
      </c>
      <c r="BW162" t="s">
        <v>7936</v>
      </c>
      <c r="BX162" t="s">
        <v>8210</v>
      </c>
      <c r="BY162" s="3">
        <v>346.50275729999998</v>
      </c>
      <c r="BZ162" t="s">
        <v>8211</v>
      </c>
      <c r="CA162" s="3">
        <v>-35.8473489</v>
      </c>
      <c r="CB162" s="3">
        <v>3.2867899999999999</v>
      </c>
      <c r="CC162" s="3">
        <v>4.8999999999999998E-4</v>
      </c>
      <c r="CD162" s="3">
        <v>-4.8999999999999998E-4</v>
      </c>
      <c r="CE162" s="3">
        <v>7.56</v>
      </c>
      <c r="CF162" s="3">
        <v>0.2</v>
      </c>
      <c r="CG162" s="3">
        <v>-0.2</v>
      </c>
      <c r="CH162" s="3">
        <v>3.4649999999999999</v>
      </c>
      <c r="CI162" s="3">
        <v>0.2</v>
      </c>
      <c r="CJ162" s="3">
        <v>-0.2</v>
      </c>
      <c r="CK162" s="3">
        <v>6.5219899999999997</v>
      </c>
      <c r="CL162" s="3">
        <v>8.9599999999999999E-4</v>
      </c>
      <c r="CM162" s="3">
        <v>-8.9599999999999999E-4</v>
      </c>
      <c r="CN162" t="s">
        <v>1577</v>
      </c>
      <c r="CO162" t="s">
        <v>8212</v>
      </c>
      <c r="CP162" t="s">
        <v>1577</v>
      </c>
    </row>
    <row r="163" spans="1:94" x14ac:dyDescent="0.45">
      <c r="A163" t="s">
        <v>666</v>
      </c>
      <c r="B163">
        <v>1</v>
      </c>
      <c r="C163" t="s">
        <v>665</v>
      </c>
      <c r="D163" t="s">
        <v>667</v>
      </c>
      <c r="E163" s="3">
        <v>1</v>
      </c>
      <c r="F163" s="3">
        <v>2</v>
      </c>
      <c r="G163" s="3">
        <v>1</v>
      </c>
      <c r="H163" t="s">
        <v>1581</v>
      </c>
      <c r="I163" s="3">
        <v>2022</v>
      </c>
      <c r="J163" t="s">
        <v>8218</v>
      </c>
      <c r="K163" t="s">
        <v>1429</v>
      </c>
      <c r="L163" s="3">
        <v>0</v>
      </c>
      <c r="M163" t="s">
        <v>8219</v>
      </c>
      <c r="N163" s="3">
        <v>284.39</v>
      </c>
      <c r="O163" s="3">
        <v>1.47</v>
      </c>
      <c r="P163" s="3">
        <v>-1.47</v>
      </c>
      <c r="Q163" s="3">
        <v>0</v>
      </c>
      <c r="R163" s="3">
        <v>0.63965000000000005</v>
      </c>
      <c r="S163" s="3">
        <v>6.7000000000000002E-4</v>
      </c>
      <c r="T163" s="3">
        <v>-6.7000000000000002E-4</v>
      </c>
      <c r="U163" s="3">
        <v>0</v>
      </c>
      <c r="AD163" s="3">
        <v>718.29219981999995</v>
      </c>
      <c r="AE163" s="3">
        <v>181.16219199</v>
      </c>
      <c r="AF163" s="3">
        <v>-181.16219199</v>
      </c>
      <c r="AG163" s="3">
        <v>0</v>
      </c>
      <c r="AH163" s="3">
        <v>2.2599999999999998</v>
      </c>
      <c r="AI163" s="3">
        <v>0.56999999999999995</v>
      </c>
      <c r="AJ163" s="3">
        <v>-0.56999999999999995</v>
      </c>
      <c r="AK163" s="3">
        <v>0</v>
      </c>
      <c r="AL163" t="s">
        <v>1453</v>
      </c>
      <c r="AM163" s="3">
        <v>0.35</v>
      </c>
      <c r="AN163" s="3">
        <v>0.19</v>
      </c>
      <c r="AO163" s="3">
        <v>-0.19</v>
      </c>
      <c r="AP163" s="3">
        <v>0</v>
      </c>
      <c r="AY163" s="3">
        <v>0</v>
      </c>
      <c r="AZ163" t="s">
        <v>8219</v>
      </c>
      <c r="BA163" t="s">
        <v>8093</v>
      </c>
      <c r="BJ163" s="3">
        <v>0.43598999999999999</v>
      </c>
      <c r="BK163" s="3">
        <v>9.2000000000000003E-4</v>
      </c>
      <c r="BL163" s="3">
        <v>-9.2000000000000003E-4</v>
      </c>
      <c r="BM163" s="3">
        <v>0</v>
      </c>
      <c r="BW163" t="s">
        <v>7936</v>
      </c>
      <c r="BX163" t="s">
        <v>8220</v>
      </c>
      <c r="BY163" s="3">
        <v>352.97003840000002</v>
      </c>
      <c r="BZ163" t="s">
        <v>8221</v>
      </c>
      <c r="CA163" s="3">
        <v>19.9370011</v>
      </c>
      <c r="CB163" s="3">
        <v>6.2602200000000003</v>
      </c>
      <c r="CC163" s="3">
        <v>3.2650000000000001E-3</v>
      </c>
      <c r="CD163" s="3">
        <v>-3.2650000000000001E-3</v>
      </c>
      <c r="CE163" s="3">
        <v>10.050000000000001</v>
      </c>
      <c r="CF163" s="3">
        <v>0.1</v>
      </c>
      <c r="CG163" s="3">
        <v>-0.1</v>
      </c>
      <c r="CH163" s="3">
        <v>5.3259999999999996</v>
      </c>
      <c r="CI163" s="3">
        <v>1.7999999999999999E-2</v>
      </c>
      <c r="CJ163" s="3">
        <v>-1.7999999999999999E-2</v>
      </c>
      <c r="CK163" s="3">
        <v>9.0375800000000002</v>
      </c>
      <c r="CL163" s="3">
        <v>6.7299999999999999E-4</v>
      </c>
      <c r="CM163" s="3">
        <v>-6.7299999999999999E-4</v>
      </c>
      <c r="CN163" t="s">
        <v>1584</v>
      </c>
      <c r="CO163" t="s">
        <v>8003</v>
      </c>
      <c r="CP163" t="s">
        <v>1584</v>
      </c>
    </row>
    <row r="164" spans="1:94" x14ac:dyDescent="0.45">
      <c r="A164" t="s">
        <v>326</v>
      </c>
      <c r="B164">
        <v>0</v>
      </c>
      <c r="C164" t="s">
        <v>325</v>
      </c>
      <c r="D164" t="s">
        <v>327</v>
      </c>
      <c r="E164" s="3">
        <v>0</v>
      </c>
      <c r="F164" s="3">
        <v>1</v>
      </c>
      <c r="G164" s="3">
        <v>1</v>
      </c>
      <c r="H164" t="s">
        <v>1427</v>
      </c>
      <c r="I164" s="3">
        <v>2020</v>
      </c>
      <c r="J164" t="s">
        <v>7932</v>
      </c>
      <c r="K164" t="s">
        <v>1429</v>
      </c>
      <c r="L164" s="3">
        <v>0</v>
      </c>
      <c r="M164" t="s">
        <v>8150</v>
      </c>
      <c r="N164" s="3">
        <v>767.88699999999994</v>
      </c>
      <c r="O164" s="3">
        <v>7.5</v>
      </c>
      <c r="P164" s="3">
        <v>-7.5</v>
      </c>
      <c r="Q164" s="3">
        <v>0</v>
      </c>
      <c r="R164" s="3">
        <v>0.87</v>
      </c>
      <c r="S164" s="3">
        <v>0.04</v>
      </c>
      <c r="T164" s="3">
        <v>-0.04</v>
      </c>
      <c r="U164" s="3">
        <v>0</v>
      </c>
      <c r="AD164" s="3">
        <v>71.599999999999994</v>
      </c>
      <c r="AE164" s="3">
        <v>10.3</v>
      </c>
      <c r="AF164" s="3">
        <v>-10.3</v>
      </c>
      <c r="AG164" s="3">
        <v>0</v>
      </c>
      <c r="AH164" s="3">
        <v>0.22527765999999999</v>
      </c>
      <c r="AI164" s="3">
        <v>3.240726E-2</v>
      </c>
      <c r="AJ164" s="3">
        <v>-3.240726E-2</v>
      </c>
      <c r="AK164" s="3">
        <v>0</v>
      </c>
      <c r="AL164" t="s">
        <v>1426</v>
      </c>
      <c r="AM164" s="3">
        <v>0.33</v>
      </c>
      <c r="AN164" s="3">
        <v>0.1</v>
      </c>
      <c r="AO164" s="3">
        <v>-0.1</v>
      </c>
      <c r="AP164" s="3">
        <v>0</v>
      </c>
      <c r="AY164" s="3">
        <v>0</v>
      </c>
      <c r="AZ164" t="s">
        <v>8150</v>
      </c>
      <c r="BA164" t="s">
        <v>8076</v>
      </c>
      <c r="BJ164" s="3">
        <v>0.15</v>
      </c>
      <c r="BK164" s="3">
        <v>0.02</v>
      </c>
      <c r="BL164" s="3">
        <v>-0.02</v>
      </c>
      <c r="BM164" s="3">
        <v>0</v>
      </c>
      <c r="BW164" t="s">
        <v>7936</v>
      </c>
      <c r="BX164" t="s">
        <v>8222</v>
      </c>
      <c r="BY164" s="3">
        <v>30.058830700000001</v>
      </c>
      <c r="BZ164" t="s">
        <v>8223</v>
      </c>
      <c r="CA164" s="3">
        <v>13.0443172</v>
      </c>
      <c r="CB164" s="3">
        <v>4.4710000000000001</v>
      </c>
      <c r="CC164" s="3">
        <v>2.15E-3</v>
      </c>
      <c r="CD164" s="3">
        <v>-2.15E-3</v>
      </c>
      <c r="CE164" s="3">
        <v>12.71</v>
      </c>
      <c r="CF164" s="3">
        <v>0.2</v>
      </c>
      <c r="CG164" s="3">
        <v>-0.2</v>
      </c>
      <c r="CH164" s="3">
        <v>6.6479999999999997</v>
      </c>
      <c r="CI164" s="3">
        <v>1.7000000000000001E-2</v>
      </c>
      <c r="CJ164" s="3">
        <v>-1.7000000000000001E-2</v>
      </c>
      <c r="CK164" s="3">
        <v>10.671099999999999</v>
      </c>
      <c r="CL164" s="3">
        <v>9.3999999999999997E-4</v>
      </c>
      <c r="CM164" s="3">
        <v>-9.3999999999999997E-4</v>
      </c>
      <c r="CN164" t="s">
        <v>1556</v>
      </c>
      <c r="CO164" t="s">
        <v>8153</v>
      </c>
      <c r="CP164" t="s">
        <v>8154</v>
      </c>
    </row>
    <row r="165" spans="1:94" x14ac:dyDescent="0.45">
      <c r="A165" t="s">
        <v>326</v>
      </c>
      <c r="B165">
        <v>1</v>
      </c>
      <c r="C165" t="s">
        <v>325</v>
      </c>
      <c r="D165" t="s">
        <v>327</v>
      </c>
      <c r="E165" s="3">
        <v>1</v>
      </c>
      <c r="F165" s="3">
        <v>1</v>
      </c>
      <c r="G165" s="3">
        <v>1</v>
      </c>
      <c r="H165" t="s">
        <v>1427</v>
      </c>
      <c r="I165" s="3">
        <v>2020</v>
      </c>
      <c r="J165" t="s">
        <v>7932</v>
      </c>
      <c r="K165" t="s">
        <v>1429</v>
      </c>
      <c r="L165" s="3">
        <v>0</v>
      </c>
      <c r="M165" t="s">
        <v>8224</v>
      </c>
      <c r="N165" s="3">
        <v>771.36</v>
      </c>
      <c r="O165" s="3">
        <v>1.34</v>
      </c>
      <c r="P165" s="3">
        <v>-1.23</v>
      </c>
      <c r="Q165" s="3">
        <v>0</v>
      </c>
      <c r="R165" s="3">
        <v>0.88</v>
      </c>
      <c r="S165" s="3">
        <v>0.02</v>
      </c>
      <c r="T165" s="3">
        <v>-0.02</v>
      </c>
      <c r="U165" s="3">
        <v>0</v>
      </c>
      <c r="AD165" s="3">
        <v>66.743965470000006</v>
      </c>
      <c r="AE165" s="3">
        <v>6.3565681400000003</v>
      </c>
      <c r="AF165" s="3">
        <v>-6.3565681400000003</v>
      </c>
      <c r="AG165" s="3">
        <v>0</v>
      </c>
      <c r="AH165" s="3">
        <v>0.21</v>
      </c>
      <c r="AI165" s="3">
        <v>0.02</v>
      </c>
      <c r="AJ165" s="3">
        <v>-0.02</v>
      </c>
      <c r="AK165" s="3">
        <v>0</v>
      </c>
      <c r="AL165" t="s">
        <v>1426</v>
      </c>
      <c r="AM165" s="3">
        <v>0.46</v>
      </c>
      <c r="AN165" s="3">
        <v>0.04</v>
      </c>
      <c r="AO165" s="3">
        <v>-0.04</v>
      </c>
      <c r="AP165" s="3">
        <v>0</v>
      </c>
      <c r="AY165" s="3">
        <v>0</v>
      </c>
      <c r="AZ165" t="s">
        <v>8224</v>
      </c>
      <c r="BA165" t="s">
        <v>7957</v>
      </c>
      <c r="BB165" s="3">
        <v>3154</v>
      </c>
      <c r="BC165" s="3">
        <v>54</v>
      </c>
      <c r="BD165" s="3">
        <v>-54</v>
      </c>
      <c r="BE165" s="3">
        <v>0</v>
      </c>
      <c r="BF165" s="3">
        <v>0.16400000000000001</v>
      </c>
      <c r="BG165" s="3">
        <v>5.0000000000000001E-3</v>
      </c>
      <c r="BH165" s="3">
        <v>-5.0000000000000001E-3</v>
      </c>
      <c r="BI165" s="3">
        <v>0</v>
      </c>
      <c r="BJ165" s="3">
        <v>0.15</v>
      </c>
      <c r="BK165" s="3">
        <v>0.01</v>
      </c>
      <c r="BL165" s="3">
        <v>-0.01</v>
      </c>
      <c r="BM165" s="3">
        <v>0</v>
      </c>
      <c r="BN165" s="3">
        <v>-0.13</v>
      </c>
      <c r="BO165" s="3">
        <v>0.19</v>
      </c>
      <c r="BP165" s="3">
        <v>-0.19</v>
      </c>
      <c r="BQ165" s="3">
        <v>0</v>
      </c>
      <c r="BR165" t="s">
        <v>7935</v>
      </c>
      <c r="BS165" s="3">
        <v>5.01</v>
      </c>
      <c r="BT165" s="3">
        <v>0.06</v>
      </c>
      <c r="BU165" s="3">
        <v>-0.06</v>
      </c>
      <c r="BV165" s="3">
        <v>0</v>
      </c>
      <c r="BW165" t="s">
        <v>7936</v>
      </c>
      <c r="BX165" t="s">
        <v>8222</v>
      </c>
      <c r="BY165" s="3">
        <v>30.058830700000001</v>
      </c>
      <c r="BZ165" t="s">
        <v>8223</v>
      </c>
      <c r="CA165" s="3">
        <v>13.0443172</v>
      </c>
      <c r="CB165" s="3">
        <v>4.4710000000000001</v>
      </c>
      <c r="CC165" s="3">
        <v>2.15E-3</v>
      </c>
      <c r="CD165" s="3">
        <v>-2.15E-3</v>
      </c>
      <c r="CE165" s="3">
        <v>12.71</v>
      </c>
      <c r="CF165" s="3">
        <v>0.2</v>
      </c>
      <c r="CG165" s="3">
        <v>-0.2</v>
      </c>
      <c r="CH165" s="3">
        <v>6.6479999999999997</v>
      </c>
      <c r="CI165" s="3">
        <v>1.7000000000000001E-2</v>
      </c>
      <c r="CJ165" s="3">
        <v>-1.7000000000000001E-2</v>
      </c>
      <c r="CK165" s="3">
        <v>10.671099999999999</v>
      </c>
      <c r="CL165" s="3">
        <v>9.3999999999999997E-4</v>
      </c>
      <c r="CM165" s="3">
        <v>-9.3999999999999997E-4</v>
      </c>
      <c r="CN165" t="s">
        <v>1587</v>
      </c>
      <c r="CO165" t="s">
        <v>8225</v>
      </c>
      <c r="CP165" t="s">
        <v>1587</v>
      </c>
    </row>
    <row r="166" spans="1:94" x14ac:dyDescent="0.45">
      <c r="A166" t="s">
        <v>1023</v>
      </c>
      <c r="B166">
        <v>0</v>
      </c>
      <c r="C166" t="s">
        <v>1022</v>
      </c>
      <c r="D166" t="s">
        <v>1021</v>
      </c>
      <c r="E166" s="3">
        <v>0</v>
      </c>
      <c r="F166" s="3">
        <v>1</v>
      </c>
      <c r="G166" s="3">
        <v>1</v>
      </c>
      <c r="H166" t="s">
        <v>1427</v>
      </c>
      <c r="I166" s="3">
        <v>2018</v>
      </c>
      <c r="J166" t="s">
        <v>7996</v>
      </c>
      <c r="K166" t="s">
        <v>1429</v>
      </c>
      <c r="L166" s="3">
        <v>0</v>
      </c>
      <c r="M166" t="s">
        <v>8226</v>
      </c>
      <c r="N166" s="3">
        <v>15.5314</v>
      </c>
      <c r="O166" s="3">
        <v>1.5E-3</v>
      </c>
      <c r="P166" s="3">
        <v>-1.4E-3</v>
      </c>
      <c r="Q166" s="3">
        <v>0</v>
      </c>
      <c r="R166" s="3">
        <v>9.1700000000000004E-2</v>
      </c>
      <c r="S166" s="3">
        <v>2.3999999999999998E-3</v>
      </c>
      <c r="T166" s="3">
        <v>-2.3E-3</v>
      </c>
      <c r="U166" s="3">
        <v>0</v>
      </c>
      <c r="AD166" s="3">
        <v>6.64</v>
      </c>
      <c r="AE166" s="3">
        <v>0.53</v>
      </c>
      <c r="AF166" s="3">
        <v>-0.54</v>
      </c>
      <c r="AG166" s="3">
        <v>0</v>
      </c>
      <c r="AH166" s="3">
        <v>2.0891670000000001E-2</v>
      </c>
      <c r="AI166" s="3">
        <v>1.66756E-3</v>
      </c>
      <c r="AJ166" s="3">
        <v>-1.6990200000000001E-3</v>
      </c>
      <c r="AK166" s="3">
        <v>0</v>
      </c>
      <c r="AL166" t="s">
        <v>1426</v>
      </c>
      <c r="AM166" s="3">
        <v>7.6999999999999999E-2</v>
      </c>
      <c r="AN166" s="3">
        <v>5.6000000000000001E-2</v>
      </c>
      <c r="AO166" s="3">
        <v>-5.8000000000000003E-2</v>
      </c>
      <c r="AP166" s="3">
        <v>0</v>
      </c>
      <c r="AY166" s="3">
        <v>0</v>
      </c>
      <c r="AZ166" t="s">
        <v>8226</v>
      </c>
      <c r="BA166" t="s">
        <v>8227</v>
      </c>
      <c r="BB166" s="3">
        <v>3654</v>
      </c>
      <c r="BC166" s="3">
        <v>51</v>
      </c>
      <c r="BD166" s="3">
        <v>-51</v>
      </c>
      <c r="BE166" s="3">
        <v>0</v>
      </c>
      <c r="BF166" s="3">
        <v>0.42699999999999999</v>
      </c>
      <c r="BG166" s="3">
        <v>1.7000000000000001E-2</v>
      </c>
      <c r="BH166" s="3">
        <v>-1.7000000000000001E-2</v>
      </c>
      <c r="BI166" s="3">
        <v>0</v>
      </c>
      <c r="BJ166" s="3">
        <v>0.42599999999999999</v>
      </c>
      <c r="BK166" s="3">
        <v>3.3000000000000002E-2</v>
      </c>
      <c r="BL166" s="3">
        <v>-3.3000000000000002E-2</v>
      </c>
      <c r="BM166" s="3">
        <v>0</v>
      </c>
      <c r="BN166" s="3">
        <v>-0.22</v>
      </c>
      <c r="BO166" s="3">
        <v>0.16</v>
      </c>
      <c r="BP166" s="3">
        <v>-0.16</v>
      </c>
      <c r="BQ166" s="3">
        <v>0</v>
      </c>
      <c r="BR166" t="s">
        <v>7935</v>
      </c>
      <c r="BS166" s="3">
        <v>4.88</v>
      </c>
      <c r="BT166" s="3">
        <v>7.0000000000000007E-2</v>
      </c>
      <c r="BU166" s="3">
        <v>-7.0000000000000007E-2</v>
      </c>
      <c r="BV166" s="3">
        <v>0</v>
      </c>
      <c r="BW166" t="s">
        <v>7936</v>
      </c>
      <c r="BX166" t="s">
        <v>8228</v>
      </c>
      <c r="BY166" s="3">
        <v>264.47648779999997</v>
      </c>
      <c r="BZ166" t="s">
        <v>8229</v>
      </c>
      <c r="CA166" s="3">
        <v>18.595950899999998</v>
      </c>
      <c r="CB166" s="3">
        <v>8.1572800000000001</v>
      </c>
      <c r="CC166" s="3">
        <v>2.32E-3</v>
      </c>
      <c r="CD166" s="3">
        <v>-2.32E-3</v>
      </c>
      <c r="CE166" s="3">
        <v>9.6199999999999992</v>
      </c>
      <c r="CF166" s="3">
        <v>0.1</v>
      </c>
      <c r="CG166" s="3">
        <v>-0.1</v>
      </c>
      <c r="CH166" s="3">
        <v>5.5720000000000001</v>
      </c>
      <c r="CI166" s="3">
        <v>0.02</v>
      </c>
      <c r="CJ166" s="3">
        <v>-0.02</v>
      </c>
      <c r="CK166" s="3">
        <v>8.7389899999999994</v>
      </c>
      <c r="CL166" s="3">
        <v>6.3400000000000001E-4</v>
      </c>
      <c r="CM166" s="3">
        <v>-6.3400000000000001E-4</v>
      </c>
      <c r="CN166" t="s">
        <v>1590</v>
      </c>
      <c r="CO166" t="s">
        <v>8230</v>
      </c>
      <c r="CP166" t="s">
        <v>8231</v>
      </c>
    </row>
    <row r="167" spans="1:94" x14ac:dyDescent="0.45">
      <c r="A167" t="s">
        <v>1023</v>
      </c>
      <c r="B167">
        <v>1</v>
      </c>
      <c r="C167" t="s">
        <v>1022</v>
      </c>
      <c r="D167" t="s">
        <v>1021</v>
      </c>
      <c r="E167" s="3">
        <v>1</v>
      </c>
      <c r="F167" s="3">
        <v>1</v>
      </c>
      <c r="G167" s="3">
        <v>1</v>
      </c>
      <c r="H167" t="s">
        <v>1427</v>
      </c>
      <c r="I167" s="3">
        <v>2018</v>
      </c>
      <c r="J167" t="s">
        <v>7996</v>
      </c>
      <c r="K167" t="s">
        <v>1429</v>
      </c>
      <c r="L167" s="3">
        <v>0</v>
      </c>
      <c r="M167" t="s">
        <v>8232</v>
      </c>
      <c r="N167" s="3">
        <v>15.53</v>
      </c>
      <c r="O167" s="3">
        <v>1.1000000000000001E-3</v>
      </c>
      <c r="P167" s="3">
        <v>-1.1000000000000001E-3</v>
      </c>
      <c r="Q167" s="3">
        <v>0</v>
      </c>
      <c r="R167" s="3">
        <v>9.0999999999999998E-2</v>
      </c>
      <c r="S167" s="3">
        <v>1E-3</v>
      </c>
      <c r="T167" s="3">
        <v>-1E-3</v>
      </c>
      <c r="U167" s="3">
        <v>0</v>
      </c>
      <c r="AD167" s="3">
        <v>6.6239999999999997</v>
      </c>
      <c r="AE167" s="3">
        <v>0.432</v>
      </c>
      <c r="AF167" s="3">
        <v>-0.432</v>
      </c>
      <c r="AG167" s="3">
        <v>0</v>
      </c>
      <c r="AH167" s="3">
        <v>2.0841330000000002E-2</v>
      </c>
      <c r="AI167" s="3">
        <v>1.35922E-3</v>
      </c>
      <c r="AJ167" s="3">
        <v>-1.35922E-3</v>
      </c>
      <c r="AK167" s="3">
        <v>0</v>
      </c>
      <c r="AL167" t="s">
        <v>1426</v>
      </c>
      <c r="AM167" s="3">
        <v>0.05</v>
      </c>
      <c r="AN167" s="3">
        <v>0.03</v>
      </c>
      <c r="AO167" s="3">
        <v>-0.03</v>
      </c>
      <c r="AP167" s="3">
        <v>0</v>
      </c>
      <c r="AY167" s="3">
        <v>0</v>
      </c>
      <c r="AZ167" t="s">
        <v>8232</v>
      </c>
      <c r="BB167" s="3">
        <v>3656</v>
      </c>
      <c r="BC167" s="3">
        <v>51</v>
      </c>
      <c r="BD167" s="3">
        <v>-51</v>
      </c>
      <c r="BE167" s="3">
        <v>0</v>
      </c>
      <c r="BF167" s="3">
        <v>0.42699999999999999</v>
      </c>
      <c r="BG167" s="3">
        <v>1.2999999999999999E-2</v>
      </c>
      <c r="BH167" s="3">
        <v>-1.2999999999999999E-2</v>
      </c>
      <c r="BI167" s="3">
        <v>0</v>
      </c>
      <c r="BJ167" s="3">
        <v>0.42599999999999999</v>
      </c>
      <c r="BK167" s="3">
        <v>1.7000000000000001E-2</v>
      </c>
      <c r="BL167" s="3">
        <v>-1.7000000000000001E-2</v>
      </c>
      <c r="BM167" s="3">
        <v>0</v>
      </c>
      <c r="BN167" s="3">
        <v>-0.23</v>
      </c>
      <c r="BO167" s="3">
        <v>0.16</v>
      </c>
      <c r="BP167" s="3">
        <v>-0.16</v>
      </c>
      <c r="BQ167" s="3">
        <v>0</v>
      </c>
      <c r="BR167" t="s">
        <v>7935</v>
      </c>
      <c r="BS167" s="3">
        <v>4.87</v>
      </c>
      <c r="BT167" s="3">
        <v>7.0000000000000007E-2</v>
      </c>
      <c r="BU167" s="3">
        <v>-7.0000000000000007E-2</v>
      </c>
      <c r="BV167" s="3">
        <v>0</v>
      </c>
      <c r="BW167" t="s">
        <v>7936</v>
      </c>
      <c r="BX167" t="s">
        <v>8228</v>
      </c>
      <c r="BY167" s="3">
        <v>264.47648779999997</v>
      </c>
      <c r="BZ167" t="s">
        <v>8229</v>
      </c>
      <c r="CA167" s="3">
        <v>18.595950899999998</v>
      </c>
      <c r="CB167" s="3">
        <v>8.1572800000000001</v>
      </c>
      <c r="CC167" s="3">
        <v>2.32E-3</v>
      </c>
      <c r="CD167" s="3">
        <v>-2.32E-3</v>
      </c>
      <c r="CE167" s="3">
        <v>9.6199999999999992</v>
      </c>
      <c r="CF167" s="3">
        <v>0.1</v>
      </c>
      <c r="CG167" s="3">
        <v>-0.1</v>
      </c>
      <c r="CH167" s="3">
        <v>5.5720000000000001</v>
      </c>
      <c r="CI167" s="3">
        <v>0.02</v>
      </c>
      <c r="CJ167" s="3">
        <v>-0.02</v>
      </c>
      <c r="CK167" s="3">
        <v>8.7389899999999994</v>
      </c>
      <c r="CL167" s="3">
        <v>6.3400000000000001E-4</v>
      </c>
      <c r="CM167" s="3">
        <v>-6.3400000000000001E-4</v>
      </c>
      <c r="CN167" t="s">
        <v>1590</v>
      </c>
      <c r="CO167" t="s">
        <v>8233</v>
      </c>
      <c r="CP167" t="s">
        <v>8234</v>
      </c>
    </row>
    <row r="168" spans="1:94" x14ac:dyDescent="0.45">
      <c r="A168" t="s">
        <v>1023</v>
      </c>
      <c r="B168">
        <v>0</v>
      </c>
      <c r="C168" t="s">
        <v>1022</v>
      </c>
      <c r="D168" t="s">
        <v>1021</v>
      </c>
      <c r="E168" s="3">
        <v>0</v>
      </c>
      <c r="F168" s="3">
        <v>1</v>
      </c>
      <c r="G168" s="3">
        <v>1</v>
      </c>
      <c r="H168" t="s">
        <v>1427</v>
      </c>
      <c r="I168" s="3">
        <v>2018</v>
      </c>
      <c r="J168" t="s">
        <v>7996</v>
      </c>
      <c r="K168" t="s">
        <v>1429</v>
      </c>
      <c r="L168" s="3">
        <v>0</v>
      </c>
      <c r="M168" t="s">
        <v>8235</v>
      </c>
      <c r="N168" s="3">
        <v>15.53209</v>
      </c>
      <c r="O168" s="3">
        <v>1.66E-3</v>
      </c>
      <c r="P168" s="3">
        <v>-1.67E-3</v>
      </c>
      <c r="Q168" s="3">
        <v>0</v>
      </c>
      <c r="R168" s="3">
        <v>9.0999999999999998E-2</v>
      </c>
      <c r="S168" s="3">
        <v>4.0000000000000001E-3</v>
      </c>
      <c r="T168" s="3">
        <v>-4.0000000000000001E-3</v>
      </c>
      <c r="U168" s="3">
        <v>0</v>
      </c>
      <c r="AD168" s="3">
        <v>7.1</v>
      </c>
      <c r="AE168" s="3">
        <v>0.9</v>
      </c>
      <c r="AF168" s="3">
        <v>-0.9</v>
      </c>
      <c r="AG168" s="3">
        <v>0</v>
      </c>
      <c r="AH168" s="3">
        <v>2.233899E-2</v>
      </c>
      <c r="AI168" s="3">
        <v>2.8316999999999999E-3</v>
      </c>
      <c r="AJ168" s="3">
        <v>-2.8316999999999999E-3</v>
      </c>
      <c r="AK168" s="3">
        <v>0</v>
      </c>
      <c r="AL168" t="s">
        <v>1426</v>
      </c>
      <c r="AM168" s="3">
        <v>0</v>
      </c>
      <c r="AP168" s="3">
        <v>0</v>
      </c>
      <c r="AU168" s="3">
        <v>379</v>
      </c>
      <c r="AV168" s="3">
        <v>24</v>
      </c>
      <c r="AW168" s="3">
        <v>-25</v>
      </c>
      <c r="AX168" s="3">
        <v>0</v>
      </c>
      <c r="AY168" s="3">
        <v>0</v>
      </c>
      <c r="AZ168" t="s">
        <v>8235</v>
      </c>
      <c r="BA168" t="s">
        <v>1024</v>
      </c>
      <c r="BB168" s="3">
        <v>3663</v>
      </c>
      <c r="BC168" s="3">
        <v>68</v>
      </c>
      <c r="BD168" s="3">
        <v>-68</v>
      </c>
      <c r="BE168" s="3">
        <v>0</v>
      </c>
      <c r="BF168" s="3">
        <v>0.42</v>
      </c>
      <c r="BG168" s="3">
        <v>0.05</v>
      </c>
      <c r="BH168" s="3">
        <v>-0.05</v>
      </c>
      <c r="BI168" s="3">
        <v>0</v>
      </c>
      <c r="BJ168" s="3">
        <v>0.42</v>
      </c>
      <c r="BK168" s="3">
        <v>0.05</v>
      </c>
      <c r="BL168" s="3">
        <v>-0.05</v>
      </c>
      <c r="BM168" s="3">
        <v>0</v>
      </c>
      <c r="BN168" s="3">
        <v>-0.3</v>
      </c>
      <c r="BO168" s="3">
        <v>0.09</v>
      </c>
      <c r="BP168" s="3">
        <v>-0.09</v>
      </c>
      <c r="BQ168" s="3">
        <v>0</v>
      </c>
      <c r="BR168" t="s">
        <v>7935</v>
      </c>
      <c r="BS168" s="3">
        <v>4.83</v>
      </c>
      <c r="BT168" s="3">
        <v>0.04</v>
      </c>
      <c r="BU168" s="3">
        <v>-0.04</v>
      </c>
      <c r="BV168" s="3">
        <v>0</v>
      </c>
      <c r="BW168" t="s">
        <v>7936</v>
      </c>
      <c r="BX168" t="s">
        <v>8228</v>
      </c>
      <c r="BY168" s="3">
        <v>264.47648779999997</v>
      </c>
      <c r="BZ168" t="s">
        <v>8229</v>
      </c>
      <c r="CA168" s="3">
        <v>18.595950899999998</v>
      </c>
      <c r="CB168" s="3">
        <v>8.1572800000000001</v>
      </c>
      <c r="CC168" s="3">
        <v>2.32E-3</v>
      </c>
      <c r="CD168" s="3">
        <v>-2.32E-3</v>
      </c>
      <c r="CE168" s="3">
        <v>9.6199999999999992</v>
      </c>
      <c r="CF168" s="3">
        <v>0.1</v>
      </c>
      <c r="CG168" s="3">
        <v>-0.1</v>
      </c>
      <c r="CH168" s="3">
        <v>5.5720000000000001</v>
      </c>
      <c r="CI168" s="3">
        <v>0.02</v>
      </c>
      <c r="CJ168" s="3">
        <v>-0.02</v>
      </c>
      <c r="CK168" s="3">
        <v>8.7389899999999994</v>
      </c>
      <c r="CL168" s="3">
        <v>6.3400000000000001E-4</v>
      </c>
      <c r="CM168" s="3">
        <v>-6.3400000000000001E-4</v>
      </c>
      <c r="CN168" t="s">
        <v>8236</v>
      </c>
      <c r="CO168" t="s">
        <v>8237</v>
      </c>
      <c r="CP168" t="s">
        <v>8236</v>
      </c>
    </row>
    <row r="169" spans="1:94" x14ac:dyDescent="0.45">
      <c r="A169" t="s">
        <v>163</v>
      </c>
      <c r="B169">
        <v>1</v>
      </c>
      <c r="C169" t="s">
        <v>197</v>
      </c>
      <c r="D169" t="s">
        <v>198</v>
      </c>
      <c r="E169" s="3">
        <v>1</v>
      </c>
      <c r="F169" s="3">
        <v>2</v>
      </c>
      <c r="G169" s="3">
        <v>2</v>
      </c>
      <c r="H169" t="s">
        <v>1427</v>
      </c>
      <c r="I169" s="3">
        <v>2025</v>
      </c>
      <c r="J169" t="s">
        <v>7932</v>
      </c>
      <c r="K169" t="s">
        <v>1429</v>
      </c>
      <c r="L169" s="3">
        <v>0</v>
      </c>
      <c r="M169" t="s">
        <v>8238</v>
      </c>
      <c r="N169" s="3">
        <v>11.2201</v>
      </c>
      <c r="O169" s="3">
        <v>5.1000000000000004E-3</v>
      </c>
      <c r="P169" s="3">
        <v>-5.1000000000000004E-3</v>
      </c>
      <c r="Q169" s="3">
        <v>0</v>
      </c>
      <c r="R169" s="3">
        <v>6.8000000000000005E-2</v>
      </c>
      <c r="S169" s="3">
        <v>1E-3</v>
      </c>
      <c r="T169" s="3">
        <v>-1E-3</v>
      </c>
      <c r="U169" s="3">
        <v>0</v>
      </c>
      <c r="AD169" s="3">
        <v>2.78</v>
      </c>
      <c r="AE169" s="3">
        <v>0.35</v>
      </c>
      <c r="AF169" s="3">
        <v>-0.35</v>
      </c>
      <c r="AG169" s="3">
        <v>0</v>
      </c>
      <c r="AH169" s="3">
        <v>8.7468600000000004E-3</v>
      </c>
      <c r="AI169" s="3">
        <v>1.10122E-3</v>
      </c>
      <c r="AJ169" s="3">
        <v>-1.10122E-3</v>
      </c>
      <c r="AK169" s="3">
        <v>0</v>
      </c>
      <c r="AL169" t="s">
        <v>1426</v>
      </c>
      <c r="AM169" s="3">
        <v>0</v>
      </c>
      <c r="AP169" s="3">
        <v>0</v>
      </c>
      <c r="AY169" s="3">
        <v>0</v>
      </c>
      <c r="AZ169" t="s">
        <v>8238</v>
      </c>
      <c r="BA169" t="s">
        <v>737</v>
      </c>
      <c r="BB169" s="3">
        <v>3433</v>
      </c>
      <c r="BC169" s="3">
        <v>68</v>
      </c>
      <c r="BD169" s="3">
        <v>-68</v>
      </c>
      <c r="BE169" s="3">
        <v>0</v>
      </c>
      <c r="BF169" s="3">
        <v>0.35099999999999998</v>
      </c>
      <c r="BG169" s="3">
        <v>3.0000000000000001E-3</v>
      </c>
      <c r="BH169" s="3">
        <v>-3.0000000000000001E-3</v>
      </c>
      <c r="BI169" s="3">
        <v>0</v>
      </c>
      <c r="BJ169" s="3">
        <v>0.33</v>
      </c>
      <c r="BK169" s="3">
        <v>8.0000000000000002E-3</v>
      </c>
      <c r="BL169" s="3">
        <v>-8.0000000000000002E-3</v>
      </c>
      <c r="BM169" s="3">
        <v>0</v>
      </c>
      <c r="BN169" s="3">
        <v>-0.19</v>
      </c>
      <c r="BO169" s="3">
        <v>0.13</v>
      </c>
      <c r="BP169" s="3">
        <v>-0.13</v>
      </c>
      <c r="BQ169" s="3">
        <v>0</v>
      </c>
      <c r="BR169" t="s">
        <v>7935</v>
      </c>
      <c r="BS169" s="3">
        <v>4.87</v>
      </c>
      <c r="BT169" s="3">
        <v>0.01</v>
      </c>
      <c r="BU169" s="3">
        <v>-0.01</v>
      </c>
      <c r="BV169" s="3">
        <v>0</v>
      </c>
      <c r="BW169" t="s">
        <v>7936</v>
      </c>
      <c r="BX169" t="s">
        <v>8239</v>
      </c>
      <c r="BY169" s="3">
        <v>280.68343119999997</v>
      </c>
      <c r="BZ169" t="s">
        <v>8240</v>
      </c>
      <c r="CA169" s="3">
        <v>59.638109</v>
      </c>
      <c r="CB169" s="3">
        <v>3.5213999999999999</v>
      </c>
      <c r="CC169" s="3">
        <v>7.7999999999999999E-4</v>
      </c>
      <c r="CD169" s="3">
        <v>-7.7999999999999999E-4</v>
      </c>
      <c r="CE169" s="3">
        <v>8.94</v>
      </c>
      <c r="CF169" s="3">
        <v>0.1</v>
      </c>
      <c r="CG169" s="3">
        <v>-0.1</v>
      </c>
      <c r="CH169" s="3">
        <v>4.4320000000000004</v>
      </c>
      <c r="CI169" s="3">
        <v>0.02</v>
      </c>
      <c r="CJ169" s="3">
        <v>-0.02</v>
      </c>
      <c r="CK169" s="3">
        <v>7.8494400000000004</v>
      </c>
      <c r="CL169" s="3">
        <v>1.2620000000000001E-3</v>
      </c>
      <c r="CM169" s="3">
        <v>-1.2620000000000001E-3</v>
      </c>
      <c r="CN169" t="s">
        <v>1593</v>
      </c>
      <c r="CO169" t="s">
        <v>8241</v>
      </c>
      <c r="CP169" t="s">
        <v>1593</v>
      </c>
    </row>
    <row r="170" spans="1:94" x14ac:dyDescent="0.45">
      <c r="A170" t="s">
        <v>157</v>
      </c>
      <c r="B170">
        <v>1</v>
      </c>
      <c r="C170" t="s">
        <v>155</v>
      </c>
      <c r="D170" t="s">
        <v>158</v>
      </c>
      <c r="E170" s="3">
        <v>1</v>
      </c>
      <c r="F170" s="3">
        <v>2</v>
      </c>
      <c r="G170" s="3">
        <v>2</v>
      </c>
      <c r="H170" t="s">
        <v>1427</v>
      </c>
      <c r="I170" s="3">
        <v>2026</v>
      </c>
      <c r="J170" t="s">
        <v>8023</v>
      </c>
      <c r="K170" t="s">
        <v>1429</v>
      </c>
      <c r="L170" s="3">
        <v>0</v>
      </c>
      <c r="M170" t="s">
        <v>8242</v>
      </c>
      <c r="N170" s="3">
        <v>37.9</v>
      </c>
      <c r="O170" s="3">
        <v>0.17</v>
      </c>
      <c r="P170" s="3">
        <v>-0.17</v>
      </c>
      <c r="Q170" s="3">
        <v>0</v>
      </c>
      <c r="R170" s="3">
        <v>0.13900000000000001</v>
      </c>
      <c r="S170" s="3">
        <v>4.0000000000000001E-3</v>
      </c>
      <c r="T170" s="3">
        <v>-4.0000000000000001E-3</v>
      </c>
      <c r="U170" s="3">
        <v>0</v>
      </c>
      <c r="AD170" s="3">
        <v>3.4</v>
      </c>
      <c r="AE170" s="3">
        <v>0.7</v>
      </c>
      <c r="AF170" s="3">
        <v>-0.7</v>
      </c>
      <c r="AG170" s="3">
        <v>0</v>
      </c>
      <c r="AH170" s="3">
        <v>1.06976E-2</v>
      </c>
      <c r="AI170" s="3">
        <v>2.2024499999999999E-3</v>
      </c>
      <c r="AJ170" s="3">
        <v>-2.2024499999999999E-3</v>
      </c>
      <c r="AK170" s="3">
        <v>0</v>
      </c>
      <c r="AL170" t="s">
        <v>1426</v>
      </c>
      <c r="AU170" s="3">
        <v>215</v>
      </c>
      <c r="AV170" s="3">
        <v>4</v>
      </c>
      <c r="AW170" s="3">
        <v>-4</v>
      </c>
      <c r="AX170" s="3">
        <v>0</v>
      </c>
      <c r="AY170" s="3">
        <v>0</v>
      </c>
      <c r="AZ170" t="s">
        <v>8242</v>
      </c>
      <c r="BB170" s="3">
        <v>3379</v>
      </c>
      <c r="BC170" s="3">
        <v>31</v>
      </c>
      <c r="BD170" s="3">
        <v>-31</v>
      </c>
      <c r="BE170" s="3">
        <v>0</v>
      </c>
      <c r="BF170" s="3">
        <v>0.28000000000000003</v>
      </c>
      <c r="BG170" s="3">
        <v>5.0000000000000001E-3</v>
      </c>
      <c r="BH170" s="3">
        <v>-5.0000000000000001E-3</v>
      </c>
      <c r="BI170" s="3">
        <v>0</v>
      </c>
      <c r="BJ170" s="3">
        <v>0.25</v>
      </c>
      <c r="BK170" s="3">
        <v>0.02</v>
      </c>
      <c r="BL170" s="3">
        <v>-0.02</v>
      </c>
      <c r="BM170" s="3">
        <v>0</v>
      </c>
      <c r="BN170" s="3">
        <v>-0.28000000000000003</v>
      </c>
      <c r="BO170" s="3">
        <v>0.1</v>
      </c>
      <c r="BP170" s="3">
        <v>-0.1</v>
      </c>
      <c r="BQ170" s="3">
        <v>0</v>
      </c>
      <c r="BR170" t="s">
        <v>7983</v>
      </c>
      <c r="BS170" s="3">
        <v>4.82</v>
      </c>
      <c r="BT170" s="3">
        <v>0.06</v>
      </c>
      <c r="BU170" s="3">
        <v>-0.06</v>
      </c>
      <c r="BV170" s="3">
        <v>0</v>
      </c>
      <c r="BW170" t="s">
        <v>7936</v>
      </c>
      <c r="BX170" t="s">
        <v>8243</v>
      </c>
      <c r="BY170" s="3">
        <v>280.69535300000001</v>
      </c>
      <c r="BZ170" t="s">
        <v>8244</v>
      </c>
      <c r="CA170" s="3">
        <v>59.62706</v>
      </c>
      <c r="CB170" s="3">
        <v>6.8423569999999998</v>
      </c>
      <c r="CE170" s="3">
        <v>9.6999999999999993</v>
      </c>
      <c r="CF170" s="3">
        <v>0.1</v>
      </c>
      <c r="CG170" s="3">
        <v>-0.1</v>
      </c>
      <c r="CH170" s="3">
        <v>5</v>
      </c>
      <c r="CI170" s="3">
        <v>2.3E-2</v>
      </c>
      <c r="CJ170" s="3">
        <v>-2.3E-2</v>
      </c>
      <c r="CN170" t="s">
        <v>1596</v>
      </c>
      <c r="CO170" t="s">
        <v>8079</v>
      </c>
      <c r="CP170" t="s">
        <v>1596</v>
      </c>
    </row>
    <row r="171" spans="1:94" x14ac:dyDescent="0.45">
      <c r="A171" t="s">
        <v>1075</v>
      </c>
      <c r="B171">
        <v>1</v>
      </c>
      <c r="C171" t="s">
        <v>1074</v>
      </c>
      <c r="D171" t="s">
        <v>1076</v>
      </c>
      <c r="E171" s="3">
        <v>1</v>
      </c>
      <c r="F171" s="3">
        <v>1</v>
      </c>
      <c r="G171" s="3">
        <v>1</v>
      </c>
      <c r="H171" t="s">
        <v>1427</v>
      </c>
      <c r="I171" s="3">
        <v>2026</v>
      </c>
      <c r="J171" t="s">
        <v>7932</v>
      </c>
      <c r="K171" t="s">
        <v>1429</v>
      </c>
      <c r="L171" s="3">
        <v>0</v>
      </c>
      <c r="M171" t="s">
        <v>8245</v>
      </c>
      <c r="N171" s="3">
        <v>39.629899999999999</v>
      </c>
      <c r="O171" s="3">
        <v>0.28999999999999998</v>
      </c>
      <c r="P171" s="3">
        <v>-0.28999999999999998</v>
      </c>
      <c r="Q171" s="3">
        <v>0</v>
      </c>
      <c r="R171" s="3">
        <v>0.17519999999999999</v>
      </c>
      <c r="S171" s="3">
        <v>1.1000000000000001E-3</v>
      </c>
      <c r="T171" s="3">
        <v>-1.1000000000000001E-3</v>
      </c>
      <c r="U171" s="3">
        <v>0</v>
      </c>
      <c r="AD171" s="3">
        <v>8.11</v>
      </c>
      <c r="AE171" s="3">
        <v>1.63</v>
      </c>
      <c r="AF171" s="3">
        <v>-1.63</v>
      </c>
      <c r="AG171" s="3">
        <v>0</v>
      </c>
      <c r="AH171" s="3">
        <v>2.551691E-2</v>
      </c>
      <c r="AI171" s="3">
        <v>5.1285499999999999E-3</v>
      </c>
      <c r="AJ171" s="3">
        <v>-5.1285499999999999E-3</v>
      </c>
      <c r="AK171" s="3">
        <v>0</v>
      </c>
      <c r="AL171" t="s">
        <v>1426</v>
      </c>
      <c r="AM171" s="3">
        <v>0</v>
      </c>
      <c r="AP171" s="3">
        <v>0</v>
      </c>
      <c r="AQ171" s="3">
        <v>0.89</v>
      </c>
      <c r="AT171" s="3">
        <v>0</v>
      </c>
      <c r="AU171" s="3">
        <v>271</v>
      </c>
      <c r="AX171" s="3">
        <v>0</v>
      </c>
      <c r="AY171" s="3">
        <v>0</v>
      </c>
      <c r="AZ171" t="s">
        <v>8245</v>
      </c>
      <c r="BA171" t="s">
        <v>8093</v>
      </c>
      <c r="BB171" s="3">
        <v>3450</v>
      </c>
      <c r="BC171" s="3">
        <v>50</v>
      </c>
      <c r="BD171" s="3">
        <v>-50</v>
      </c>
      <c r="BE171" s="3">
        <v>0</v>
      </c>
      <c r="BF171" s="3">
        <v>0.46300000000000002</v>
      </c>
      <c r="BG171" s="3">
        <v>0.01</v>
      </c>
      <c r="BH171" s="3">
        <v>-0.01</v>
      </c>
      <c r="BI171" s="3">
        <v>0</v>
      </c>
      <c r="BJ171" s="3">
        <v>0.47</v>
      </c>
      <c r="BK171" s="3">
        <v>0.01</v>
      </c>
      <c r="BL171" s="3">
        <v>-0.01</v>
      </c>
      <c r="BM171" s="3">
        <v>0</v>
      </c>
      <c r="BW171" t="s">
        <v>7936</v>
      </c>
      <c r="BX171" t="s">
        <v>8246</v>
      </c>
      <c r="BY171" s="3">
        <v>15.6582402</v>
      </c>
      <c r="BZ171" t="s">
        <v>8247</v>
      </c>
      <c r="CA171" s="3">
        <v>71.6781735</v>
      </c>
      <c r="CB171" s="3">
        <v>8.2336600000000004</v>
      </c>
      <c r="CC171" s="3">
        <v>2.32E-3</v>
      </c>
      <c r="CD171" s="3">
        <v>-2.32E-3</v>
      </c>
      <c r="CE171" s="3">
        <v>9.98</v>
      </c>
      <c r="CF171" s="3">
        <v>0.1</v>
      </c>
      <c r="CG171" s="3">
        <v>-0.1</v>
      </c>
      <c r="CH171" s="3">
        <v>5.4489999999999998</v>
      </c>
      <c r="CI171" s="3">
        <v>1.7000000000000001E-2</v>
      </c>
      <c r="CJ171" s="3">
        <v>-1.7000000000000001E-2</v>
      </c>
      <c r="CK171" s="3">
        <v>8.9334299999999995</v>
      </c>
      <c r="CL171" s="3">
        <v>5.6499999999999996E-4</v>
      </c>
      <c r="CM171" s="3">
        <v>-5.6499999999999996E-4</v>
      </c>
      <c r="CN171" t="s">
        <v>1599</v>
      </c>
      <c r="CO171" t="s">
        <v>8248</v>
      </c>
      <c r="CP171" t="s">
        <v>1599</v>
      </c>
    </row>
    <row r="172" spans="1:94" x14ac:dyDescent="0.45">
      <c r="A172" t="s">
        <v>555</v>
      </c>
      <c r="B172">
        <v>0</v>
      </c>
      <c r="C172" t="s">
        <v>554</v>
      </c>
      <c r="D172" t="s">
        <v>556</v>
      </c>
      <c r="E172" s="3">
        <v>0</v>
      </c>
      <c r="F172" s="3">
        <v>2</v>
      </c>
      <c r="G172" s="3">
        <v>1</v>
      </c>
      <c r="H172" t="s">
        <v>1427</v>
      </c>
      <c r="I172" s="3">
        <v>2018</v>
      </c>
      <c r="J172" t="s">
        <v>7955</v>
      </c>
      <c r="K172" t="s">
        <v>1429</v>
      </c>
      <c r="L172" s="3">
        <v>0</v>
      </c>
      <c r="M172" t="s">
        <v>8249</v>
      </c>
      <c r="N172" s="3">
        <v>105.9</v>
      </c>
      <c r="O172" s="3">
        <v>0.09</v>
      </c>
      <c r="P172" s="3">
        <v>-0.1</v>
      </c>
      <c r="Q172" s="3">
        <v>0</v>
      </c>
      <c r="R172" s="3">
        <v>0.3357</v>
      </c>
      <c r="S172" s="3">
        <v>9.9000000000000008E-3</v>
      </c>
      <c r="T172" s="3">
        <v>-0.01</v>
      </c>
      <c r="U172" s="3">
        <v>0</v>
      </c>
      <c r="AD172" s="3">
        <v>12.2</v>
      </c>
      <c r="AE172" s="3">
        <v>1</v>
      </c>
      <c r="AF172" s="3">
        <v>-1.4</v>
      </c>
      <c r="AG172" s="3">
        <v>0</v>
      </c>
      <c r="AH172" s="3">
        <v>3.8385299999999997E-2</v>
      </c>
      <c r="AI172" s="3">
        <v>3.1463400000000001E-3</v>
      </c>
      <c r="AJ172" s="3">
        <v>-4.40487E-3</v>
      </c>
      <c r="AK172" s="3">
        <v>0</v>
      </c>
      <c r="AL172" t="s">
        <v>1426</v>
      </c>
      <c r="AM172" s="3">
        <v>0.16</v>
      </c>
      <c r="AN172" s="3">
        <v>0.05</v>
      </c>
      <c r="AO172" s="3">
        <v>-0.1</v>
      </c>
      <c r="AP172" s="3">
        <v>0</v>
      </c>
      <c r="AY172" s="3">
        <v>0</v>
      </c>
      <c r="AZ172" t="s">
        <v>8249</v>
      </c>
      <c r="BA172" t="s">
        <v>8041</v>
      </c>
      <c r="BB172" s="3">
        <v>3557</v>
      </c>
      <c r="BC172" s="3">
        <v>51</v>
      </c>
      <c r="BD172" s="3">
        <v>-51</v>
      </c>
      <c r="BE172" s="3">
        <v>0</v>
      </c>
      <c r="BF172" s="3">
        <v>0.45300000000000001</v>
      </c>
      <c r="BG172" s="3">
        <v>1.9E-2</v>
      </c>
      <c r="BH172" s="3">
        <v>-1.9E-2</v>
      </c>
      <c r="BI172" s="3">
        <v>0</v>
      </c>
      <c r="BJ172" s="3">
        <v>0.45</v>
      </c>
      <c r="BK172" s="3">
        <v>0.04</v>
      </c>
      <c r="BL172" s="3">
        <v>-0.04</v>
      </c>
      <c r="BM172" s="3">
        <v>0</v>
      </c>
      <c r="BN172" s="3">
        <v>0</v>
      </c>
      <c r="BO172" s="3">
        <v>0.16</v>
      </c>
      <c r="BP172" s="3">
        <v>-0.16</v>
      </c>
      <c r="BQ172" s="3">
        <v>0</v>
      </c>
      <c r="BR172" t="s">
        <v>7935</v>
      </c>
      <c r="BS172" s="3">
        <v>4.8600000000000003</v>
      </c>
      <c r="BT172" s="3">
        <v>7.0000000000000007E-2</v>
      </c>
      <c r="BU172" s="3">
        <v>-7.0000000000000007E-2</v>
      </c>
      <c r="BV172" s="3">
        <v>0</v>
      </c>
      <c r="BW172" t="s">
        <v>7936</v>
      </c>
      <c r="BX172" t="s">
        <v>8250</v>
      </c>
      <c r="BY172" s="3">
        <v>289.22773219999999</v>
      </c>
      <c r="BZ172" t="s">
        <v>8251</v>
      </c>
      <c r="CA172" s="3">
        <v>5.1631615000000002</v>
      </c>
      <c r="CB172" s="3">
        <v>5.91059</v>
      </c>
      <c r="CC172" s="3">
        <v>1.83E-3</v>
      </c>
      <c r="CD172" s="3">
        <v>-1.83E-3</v>
      </c>
      <c r="CE172" s="3">
        <v>9.1199999999999992</v>
      </c>
      <c r="CF172" s="3">
        <v>0.1</v>
      </c>
      <c r="CG172" s="3">
        <v>-0.1</v>
      </c>
      <c r="CH172" s="3">
        <v>4.673</v>
      </c>
      <c r="CI172" s="3">
        <v>0.02</v>
      </c>
      <c r="CJ172" s="3">
        <v>-0.02</v>
      </c>
      <c r="CK172" s="3">
        <v>8.0975999999999999</v>
      </c>
      <c r="CL172" s="3">
        <v>1.09E-3</v>
      </c>
      <c r="CM172" s="3">
        <v>-1.09E-3</v>
      </c>
      <c r="CN172" t="s">
        <v>1590</v>
      </c>
      <c r="CO172" t="s">
        <v>8252</v>
      </c>
      <c r="CP172" t="s">
        <v>8231</v>
      </c>
    </row>
    <row r="173" spans="1:94" x14ac:dyDescent="0.45">
      <c r="A173" t="s">
        <v>555</v>
      </c>
      <c r="B173">
        <v>1</v>
      </c>
      <c r="C173" t="s">
        <v>554</v>
      </c>
      <c r="D173" t="s">
        <v>556</v>
      </c>
      <c r="E173" s="3">
        <v>1</v>
      </c>
      <c r="F173" s="3">
        <v>2</v>
      </c>
      <c r="G173" s="3">
        <v>1</v>
      </c>
      <c r="H173" t="s">
        <v>1427</v>
      </c>
      <c r="I173" s="3">
        <v>2018</v>
      </c>
      <c r="J173" t="s">
        <v>7955</v>
      </c>
      <c r="K173" t="s">
        <v>1429</v>
      </c>
      <c r="L173" s="3">
        <v>0</v>
      </c>
      <c r="M173" t="s">
        <v>8232</v>
      </c>
      <c r="N173" s="3">
        <v>105.911</v>
      </c>
      <c r="O173" s="3">
        <v>0.109</v>
      </c>
      <c r="P173" s="3">
        <v>-0.109</v>
      </c>
      <c r="Q173" s="3">
        <v>0</v>
      </c>
      <c r="R173" s="3">
        <v>0.34300000000000003</v>
      </c>
      <c r="S173" s="3">
        <v>4.0000000000000001E-3</v>
      </c>
      <c r="T173" s="3">
        <v>-4.0000000000000001E-3</v>
      </c>
      <c r="U173" s="3">
        <v>0</v>
      </c>
      <c r="AD173" s="3">
        <v>12.214</v>
      </c>
      <c r="AE173" s="3">
        <v>1.05</v>
      </c>
      <c r="AF173" s="3">
        <v>-1.05</v>
      </c>
      <c r="AG173" s="3">
        <v>0</v>
      </c>
      <c r="AH173" s="3">
        <v>3.8429350000000001E-2</v>
      </c>
      <c r="AI173" s="3">
        <v>3.30365E-3</v>
      </c>
      <c r="AJ173" s="3">
        <v>-3.30365E-3</v>
      </c>
      <c r="AK173" s="3">
        <v>0</v>
      </c>
      <c r="AL173" t="s">
        <v>1426</v>
      </c>
      <c r="AM173" s="3">
        <v>0.10100000000000001</v>
      </c>
      <c r="AN173" s="3">
        <v>5.2999999999999999E-2</v>
      </c>
      <c r="AO173" s="3">
        <v>-5.2999999999999999E-2</v>
      </c>
      <c r="AP173" s="3">
        <v>0</v>
      </c>
      <c r="AY173" s="3">
        <v>0</v>
      </c>
      <c r="AZ173" t="s">
        <v>8232</v>
      </c>
      <c r="BB173" s="3">
        <v>3534</v>
      </c>
      <c r="BC173" s="3">
        <v>51</v>
      </c>
      <c r="BD173" s="3">
        <v>-51</v>
      </c>
      <c r="BE173" s="3">
        <v>0</v>
      </c>
      <c r="BF173" s="3">
        <v>0.48099999999999998</v>
      </c>
      <c r="BG173" s="3">
        <v>1.4E-2</v>
      </c>
      <c r="BH173" s="3">
        <v>-1.4E-2</v>
      </c>
      <c r="BI173" s="3">
        <v>0</v>
      </c>
      <c r="BJ173" s="3">
        <v>0.48399999999999999</v>
      </c>
      <c r="BK173" s="3">
        <v>1.9E-2</v>
      </c>
      <c r="BL173" s="3">
        <v>-1.9E-2</v>
      </c>
      <c r="BM173" s="3">
        <v>0</v>
      </c>
      <c r="BN173" s="3">
        <v>-0.04</v>
      </c>
      <c r="BO173" s="3">
        <v>0.16</v>
      </c>
      <c r="BP173" s="3">
        <v>-0.16</v>
      </c>
      <c r="BQ173" s="3">
        <v>0</v>
      </c>
      <c r="BR173" t="s">
        <v>7935</v>
      </c>
      <c r="BS173" s="3">
        <v>4.9000000000000004</v>
      </c>
      <c r="BT173" s="3">
        <v>7.0000000000000007E-2</v>
      </c>
      <c r="BU173" s="3">
        <v>-7.0000000000000007E-2</v>
      </c>
      <c r="BV173" s="3">
        <v>0</v>
      </c>
      <c r="BW173" t="s">
        <v>7936</v>
      </c>
      <c r="BX173" t="s">
        <v>8250</v>
      </c>
      <c r="BY173" s="3">
        <v>289.22773219999999</v>
      </c>
      <c r="BZ173" t="s">
        <v>8251</v>
      </c>
      <c r="CA173" s="3">
        <v>5.1631615000000002</v>
      </c>
      <c r="CB173" s="3">
        <v>5.91059</v>
      </c>
      <c r="CC173" s="3">
        <v>1.83E-3</v>
      </c>
      <c r="CD173" s="3">
        <v>-1.83E-3</v>
      </c>
      <c r="CE173" s="3">
        <v>9.1199999999999992</v>
      </c>
      <c r="CF173" s="3">
        <v>0.1</v>
      </c>
      <c r="CG173" s="3">
        <v>-0.1</v>
      </c>
      <c r="CH173" s="3">
        <v>4.673</v>
      </c>
      <c r="CI173" s="3">
        <v>0.02</v>
      </c>
      <c r="CJ173" s="3">
        <v>-0.02</v>
      </c>
      <c r="CK173" s="3">
        <v>8.0975999999999999</v>
      </c>
      <c r="CL173" s="3">
        <v>1.09E-3</v>
      </c>
      <c r="CM173" s="3">
        <v>-1.09E-3</v>
      </c>
      <c r="CN173" t="s">
        <v>1590</v>
      </c>
      <c r="CO173" t="s">
        <v>8233</v>
      </c>
      <c r="CP173" t="s">
        <v>8234</v>
      </c>
    </row>
    <row r="174" spans="1:94" x14ac:dyDescent="0.45">
      <c r="A174" t="s">
        <v>1282</v>
      </c>
      <c r="B174">
        <v>0</v>
      </c>
      <c r="C174" t="s">
        <v>1600</v>
      </c>
      <c r="D174" t="s">
        <v>1283</v>
      </c>
      <c r="E174" s="3">
        <v>0</v>
      </c>
      <c r="F174" s="3">
        <v>1</v>
      </c>
      <c r="G174" s="3">
        <v>2</v>
      </c>
      <c r="H174" t="s">
        <v>1427</v>
      </c>
      <c r="I174" s="3">
        <v>2011</v>
      </c>
      <c r="J174" t="s">
        <v>7966</v>
      </c>
      <c r="K174" t="s">
        <v>1429</v>
      </c>
      <c r="L174" s="3">
        <v>0</v>
      </c>
      <c r="M174" t="s">
        <v>7942</v>
      </c>
      <c r="N174" s="3">
        <v>74.061999999999998</v>
      </c>
      <c r="O174" s="3">
        <v>8.5000000000000006E-2</v>
      </c>
      <c r="P174" s="3">
        <v>-8.5000000000000006E-2</v>
      </c>
      <c r="Q174" s="3">
        <v>0</v>
      </c>
      <c r="R174" s="3">
        <v>0.32619999999999999</v>
      </c>
      <c r="S174" s="3">
        <v>3.5999999999999999E-3</v>
      </c>
      <c r="T174" s="3">
        <v>-3.7000000000000002E-3</v>
      </c>
      <c r="U174" s="3">
        <v>0</v>
      </c>
      <c r="AD174" s="3">
        <v>14.334061159999999</v>
      </c>
      <c r="AE174" s="3">
        <v>2.0341018000000002</v>
      </c>
      <c r="AF174" s="3">
        <v>-1.8751876000000001</v>
      </c>
      <c r="AG174" s="3">
        <v>0</v>
      </c>
      <c r="AH174" s="3">
        <v>4.5100000000000001E-2</v>
      </c>
      <c r="AI174" s="3">
        <v>6.4000000000000003E-3</v>
      </c>
      <c r="AJ174" s="3">
        <v>-5.8999999999999999E-3</v>
      </c>
      <c r="AK174" s="3">
        <v>0</v>
      </c>
      <c r="AL174" t="s">
        <v>1426</v>
      </c>
      <c r="AM174" s="3">
        <v>0.14000000000000001</v>
      </c>
      <c r="AN174" s="3">
        <v>0.12</v>
      </c>
      <c r="AO174" s="3">
        <v>-9.2999999999999999E-2</v>
      </c>
      <c r="AP174" s="3">
        <v>0</v>
      </c>
      <c r="AY174" s="3">
        <v>0</v>
      </c>
      <c r="AZ174" t="s">
        <v>7942</v>
      </c>
      <c r="BB174" s="3">
        <v>5181.1099999999997</v>
      </c>
      <c r="BC174" s="3">
        <v>63.09</v>
      </c>
      <c r="BD174" s="3">
        <v>-63.09</v>
      </c>
      <c r="BE174" s="3">
        <v>0</v>
      </c>
      <c r="BF174" s="3">
        <v>0.85792199999999996</v>
      </c>
      <c r="BG174" s="3">
        <v>1.5566E-2</v>
      </c>
      <c r="BH174" s="3">
        <v>-1.5566E-2</v>
      </c>
      <c r="BI174" s="3">
        <v>0</v>
      </c>
      <c r="BJ174" s="3">
        <v>0.84432399999999996</v>
      </c>
      <c r="BK174" s="3">
        <v>2.8209000000000001E-2</v>
      </c>
      <c r="BL174" s="3">
        <v>-2.8209000000000001E-2</v>
      </c>
      <c r="BM174" s="3">
        <v>0</v>
      </c>
      <c r="BN174" s="3">
        <v>8.0699999999999994E-2</v>
      </c>
      <c r="BO174" s="3">
        <v>5.9700000000000003E-2</v>
      </c>
      <c r="BP174" s="3">
        <v>-5.9700000000000003E-2</v>
      </c>
      <c r="BQ174" s="3">
        <v>0</v>
      </c>
      <c r="BR174" t="s">
        <v>7935</v>
      </c>
      <c r="BS174" s="3">
        <v>4.4937690000000003</v>
      </c>
      <c r="BT174" s="3">
        <v>2.2491000000000001E-2</v>
      </c>
      <c r="BU174" s="3">
        <v>-2.2491000000000001E-2</v>
      </c>
      <c r="BV174" s="3">
        <v>0</v>
      </c>
      <c r="BW174" t="s">
        <v>7936</v>
      </c>
      <c r="BX174" t="s">
        <v>8253</v>
      </c>
      <c r="BY174" s="3">
        <v>303.82847120000002</v>
      </c>
      <c r="BZ174" t="s">
        <v>8254</v>
      </c>
      <c r="CA174" s="3">
        <v>-27.033755599999999</v>
      </c>
      <c r="CB174" s="3">
        <v>8.7968700000000002</v>
      </c>
      <c r="CC174" s="3">
        <v>9.2499999999999995E-3</v>
      </c>
      <c r="CD174" s="3">
        <v>-9.2399999999999999E-3</v>
      </c>
      <c r="CE174" s="3">
        <v>5.73</v>
      </c>
      <c r="CF174" s="3">
        <v>0.03</v>
      </c>
      <c r="CG174" s="3">
        <v>-0.03</v>
      </c>
      <c r="CH174" s="3">
        <v>3.5009999999999999</v>
      </c>
      <c r="CI174" s="3">
        <v>0.23200000000000001</v>
      </c>
      <c r="CJ174" s="3">
        <v>-0.23200000000000001</v>
      </c>
      <c r="CK174" s="3">
        <v>5.47661</v>
      </c>
      <c r="CL174" s="3">
        <v>1.9526000000000001E-3</v>
      </c>
      <c r="CM174" s="3">
        <v>-1.9526000000000001E-3</v>
      </c>
      <c r="CN174" t="s">
        <v>7943</v>
      </c>
      <c r="CO174" t="s">
        <v>7944</v>
      </c>
      <c r="CP174" t="s">
        <v>7943</v>
      </c>
    </row>
    <row r="175" spans="1:94" x14ac:dyDescent="0.45">
      <c r="A175" t="s">
        <v>1282</v>
      </c>
      <c r="B175">
        <v>0</v>
      </c>
      <c r="C175" t="s">
        <v>1600</v>
      </c>
      <c r="D175" t="s">
        <v>1283</v>
      </c>
      <c r="E175" s="3">
        <v>0</v>
      </c>
      <c r="F175" s="3">
        <v>1</v>
      </c>
      <c r="G175" s="3">
        <v>2</v>
      </c>
      <c r="H175" t="s">
        <v>1427</v>
      </c>
      <c r="I175" s="3">
        <v>2011</v>
      </c>
      <c r="J175" t="s">
        <v>7966</v>
      </c>
      <c r="K175" t="s">
        <v>1429</v>
      </c>
      <c r="L175" s="3">
        <v>0</v>
      </c>
      <c r="M175" t="s">
        <v>7940</v>
      </c>
      <c r="N175" s="3">
        <v>74.262</v>
      </c>
      <c r="O175" s="3">
        <v>3.2000000000000001E-2</v>
      </c>
      <c r="P175" s="3">
        <v>-3.2000000000000001E-2</v>
      </c>
      <c r="Q175" s="3">
        <v>0</v>
      </c>
      <c r="R175" s="3">
        <v>0.31269999999999998</v>
      </c>
      <c r="S175" s="3">
        <v>5.4999999999999997E-3</v>
      </c>
      <c r="T175" s="3">
        <v>-5.7000000000000002E-3</v>
      </c>
      <c r="U175" s="3">
        <v>0</v>
      </c>
      <c r="AD175" s="3">
        <v>13.64</v>
      </c>
      <c r="AE175" s="3">
        <v>0.73</v>
      </c>
      <c r="AF175" s="3">
        <v>-0.71</v>
      </c>
      <c r="AG175" s="3">
        <v>0</v>
      </c>
      <c r="AH175" s="3">
        <v>4.2916240000000001E-2</v>
      </c>
      <c r="AI175" s="3">
        <v>2.2968400000000001E-3</v>
      </c>
      <c r="AJ175" s="3">
        <v>-2.23391E-3</v>
      </c>
      <c r="AK175" s="3">
        <v>0</v>
      </c>
      <c r="AL175" t="s">
        <v>1426</v>
      </c>
      <c r="AM175" s="3">
        <v>0.03</v>
      </c>
      <c r="AN175" s="3">
        <v>0.03</v>
      </c>
      <c r="AO175" s="3">
        <v>-0.02</v>
      </c>
      <c r="AP175" s="3">
        <v>0</v>
      </c>
      <c r="AY175" s="3">
        <v>0</v>
      </c>
      <c r="AZ175" t="s">
        <v>7940</v>
      </c>
      <c r="BB175" s="3">
        <v>5087</v>
      </c>
      <c r="BE175" s="3">
        <v>0</v>
      </c>
      <c r="BW175" t="s">
        <v>7936</v>
      </c>
      <c r="BX175" t="s">
        <v>8253</v>
      </c>
      <c r="BY175" s="3">
        <v>303.82847120000002</v>
      </c>
      <c r="BZ175" t="s">
        <v>8254</v>
      </c>
      <c r="CA175" s="3">
        <v>-27.033755599999999</v>
      </c>
      <c r="CB175" s="3">
        <v>8.7968700000000002</v>
      </c>
      <c r="CC175" s="3">
        <v>9.2499999999999995E-3</v>
      </c>
      <c r="CD175" s="3">
        <v>-9.2399999999999999E-3</v>
      </c>
      <c r="CE175" s="3">
        <v>5.73</v>
      </c>
      <c r="CF175" s="3">
        <v>0.03</v>
      </c>
      <c r="CG175" s="3">
        <v>-0.03</v>
      </c>
      <c r="CH175" s="3">
        <v>3.5009999999999999</v>
      </c>
      <c r="CI175" s="3">
        <v>0.23200000000000001</v>
      </c>
      <c r="CJ175" s="3">
        <v>-0.23200000000000001</v>
      </c>
      <c r="CK175" s="3">
        <v>5.47661</v>
      </c>
      <c r="CL175" s="3">
        <v>1.9526000000000001E-3</v>
      </c>
      <c r="CM175" s="3">
        <v>-1.9526000000000001E-3</v>
      </c>
      <c r="CN175" t="s">
        <v>1513</v>
      </c>
      <c r="CO175" t="s">
        <v>7941</v>
      </c>
      <c r="CP175" t="s">
        <v>1513</v>
      </c>
    </row>
    <row r="176" spans="1:94" x14ac:dyDescent="0.45">
      <c r="A176" t="s">
        <v>1282</v>
      </c>
      <c r="B176">
        <v>1</v>
      </c>
      <c r="C176" t="s">
        <v>1600</v>
      </c>
      <c r="D176" t="s">
        <v>1283</v>
      </c>
      <c r="E176" s="3">
        <v>1</v>
      </c>
      <c r="F176" s="3">
        <v>1</v>
      </c>
      <c r="G176" s="3">
        <v>2</v>
      </c>
      <c r="H176" t="s">
        <v>1427</v>
      </c>
      <c r="I176" s="3">
        <v>2011</v>
      </c>
      <c r="J176" t="s">
        <v>7966</v>
      </c>
      <c r="K176" t="s">
        <v>1429</v>
      </c>
      <c r="L176" s="3">
        <v>0</v>
      </c>
      <c r="M176" t="s">
        <v>8255</v>
      </c>
      <c r="N176" s="3">
        <v>74.72</v>
      </c>
      <c r="O176" s="3">
        <v>0.1</v>
      </c>
      <c r="P176" s="3">
        <v>-0.1</v>
      </c>
      <c r="Q176" s="3">
        <v>0</v>
      </c>
      <c r="R176" s="3">
        <v>0.32</v>
      </c>
      <c r="S176" s="3">
        <v>5.0000000000000001E-3</v>
      </c>
      <c r="T176" s="3">
        <v>-5.0000000000000001E-3</v>
      </c>
      <c r="U176" s="3">
        <v>0</v>
      </c>
      <c r="AD176" s="3">
        <v>16.899999999999999</v>
      </c>
      <c r="AE176" s="3">
        <v>0.9</v>
      </c>
      <c r="AF176" s="3">
        <v>-0.9</v>
      </c>
      <c r="AG176" s="3">
        <v>0</v>
      </c>
      <c r="AH176" s="3">
        <v>5.3199999999999997E-2</v>
      </c>
      <c r="AI176" s="3">
        <v>2.8E-3</v>
      </c>
      <c r="AJ176" s="3">
        <v>-2.8E-3</v>
      </c>
      <c r="AK176" s="3">
        <v>0</v>
      </c>
      <c r="AL176" t="s">
        <v>1601</v>
      </c>
      <c r="AM176" s="3">
        <v>0.13</v>
      </c>
      <c r="AN176" s="3">
        <v>0.04</v>
      </c>
      <c r="AO176" s="3">
        <v>-0.04</v>
      </c>
      <c r="AP176" s="3">
        <v>0</v>
      </c>
      <c r="AU176" s="3">
        <v>355</v>
      </c>
      <c r="AX176" s="3">
        <v>0</v>
      </c>
      <c r="AY176" s="3">
        <v>0</v>
      </c>
      <c r="AZ176" t="s">
        <v>8255</v>
      </c>
      <c r="BB176" s="3">
        <v>5166</v>
      </c>
      <c r="BC176" s="3">
        <v>49</v>
      </c>
      <c r="BD176" s="3">
        <v>-49</v>
      </c>
      <c r="BE176" s="3">
        <v>0</v>
      </c>
      <c r="BJ176" s="3">
        <v>0.8</v>
      </c>
      <c r="BM176" s="3">
        <v>0</v>
      </c>
      <c r="BN176" s="3">
        <v>-0.04</v>
      </c>
      <c r="BO176" s="3">
        <v>0.03</v>
      </c>
      <c r="BP176" s="3">
        <v>-0.03</v>
      </c>
      <c r="BQ176" s="3">
        <v>0</v>
      </c>
      <c r="BR176" t="s">
        <v>7935</v>
      </c>
      <c r="BS176" s="3">
        <v>4.51</v>
      </c>
      <c r="BT176" s="3">
        <v>0.09</v>
      </c>
      <c r="BU176" s="3">
        <v>-0.09</v>
      </c>
      <c r="BV176" s="3">
        <v>0</v>
      </c>
      <c r="BW176" t="s">
        <v>7936</v>
      </c>
      <c r="BX176" t="s">
        <v>8253</v>
      </c>
      <c r="BY176" s="3">
        <v>303.82847120000002</v>
      </c>
      <c r="BZ176" t="s">
        <v>8254</v>
      </c>
      <c r="CA176" s="3">
        <v>-27.033755599999999</v>
      </c>
      <c r="CB176" s="3">
        <v>8.7968700000000002</v>
      </c>
      <c r="CC176" s="3">
        <v>9.2499999999999995E-3</v>
      </c>
      <c r="CD176" s="3">
        <v>-9.2399999999999999E-3</v>
      </c>
      <c r="CE176" s="3">
        <v>5.73</v>
      </c>
      <c r="CF176" s="3">
        <v>0.03</v>
      </c>
      <c r="CG176" s="3">
        <v>-0.03</v>
      </c>
      <c r="CH176" s="3">
        <v>3.5009999999999999</v>
      </c>
      <c r="CI176" s="3">
        <v>0.23200000000000001</v>
      </c>
      <c r="CJ176" s="3">
        <v>-0.23200000000000001</v>
      </c>
      <c r="CK176" s="3">
        <v>5.47661</v>
      </c>
      <c r="CL176" s="3">
        <v>1.9526000000000001E-3</v>
      </c>
      <c r="CM176" s="3">
        <v>-1.9526000000000001E-3</v>
      </c>
      <c r="CN176" t="s">
        <v>1604</v>
      </c>
      <c r="CO176" t="s">
        <v>8256</v>
      </c>
      <c r="CP176" t="s">
        <v>8257</v>
      </c>
    </row>
    <row r="177" spans="1:94" x14ac:dyDescent="0.45">
      <c r="A177" t="s">
        <v>1282</v>
      </c>
      <c r="B177">
        <v>0</v>
      </c>
      <c r="C177" t="s">
        <v>1600</v>
      </c>
      <c r="D177" t="s">
        <v>1283</v>
      </c>
      <c r="E177" s="3">
        <v>0</v>
      </c>
      <c r="F177" s="3">
        <v>1</v>
      </c>
      <c r="G177" s="3">
        <v>2</v>
      </c>
      <c r="H177" t="s">
        <v>1427</v>
      </c>
      <c r="I177" s="3">
        <v>2011</v>
      </c>
      <c r="J177" t="s">
        <v>7966</v>
      </c>
      <c r="K177" t="s">
        <v>1429</v>
      </c>
      <c r="L177" s="3">
        <v>0</v>
      </c>
      <c r="M177" t="s">
        <v>8258</v>
      </c>
      <c r="N177" s="3">
        <v>74.39</v>
      </c>
      <c r="O177" s="3">
        <v>0.12</v>
      </c>
      <c r="P177" s="3">
        <v>-0.12</v>
      </c>
      <c r="Q177" s="3">
        <v>0</v>
      </c>
      <c r="R177" s="3">
        <v>0.31900000000000001</v>
      </c>
      <c r="S177" s="3">
        <v>5.0000000000000001E-3</v>
      </c>
      <c r="T177" s="3">
        <v>-5.0000000000000001E-3</v>
      </c>
      <c r="U177" s="3">
        <v>0</v>
      </c>
      <c r="AD177" s="3">
        <v>21.6</v>
      </c>
      <c r="AE177" s="3">
        <v>2</v>
      </c>
      <c r="AF177" s="3">
        <v>-2</v>
      </c>
      <c r="AG177" s="3">
        <v>0</v>
      </c>
      <c r="AH177" s="3">
        <v>6.7960859999999998E-2</v>
      </c>
      <c r="AI177" s="3">
        <v>6.2926700000000002E-3</v>
      </c>
      <c r="AJ177" s="3">
        <v>-6.2926700000000002E-3</v>
      </c>
      <c r="AK177" s="3">
        <v>0</v>
      </c>
      <c r="AL177" t="s">
        <v>1426</v>
      </c>
      <c r="AM177" s="3">
        <v>0.3</v>
      </c>
      <c r="AN177" s="3">
        <v>0.09</v>
      </c>
      <c r="AO177" s="3">
        <v>-0.09</v>
      </c>
      <c r="AP177" s="3">
        <v>0</v>
      </c>
      <c r="AY177" s="3">
        <v>0</v>
      </c>
      <c r="AZ177" t="s">
        <v>8258</v>
      </c>
      <c r="BB177" s="3">
        <v>5144</v>
      </c>
      <c r="BC177" s="3">
        <v>50</v>
      </c>
      <c r="BD177" s="3">
        <v>-50</v>
      </c>
      <c r="BE177" s="3">
        <v>0</v>
      </c>
      <c r="BF177" s="3">
        <v>0.73</v>
      </c>
      <c r="BG177" s="3">
        <v>0.02</v>
      </c>
      <c r="BH177" s="3">
        <v>-0.02</v>
      </c>
      <c r="BI177" s="3">
        <v>0</v>
      </c>
      <c r="BJ177" s="3">
        <v>0.85</v>
      </c>
      <c r="BK177" s="3">
        <v>0.02</v>
      </c>
      <c r="BL177" s="3">
        <v>-0.02</v>
      </c>
      <c r="BM177" s="3">
        <v>0</v>
      </c>
      <c r="BN177" s="3">
        <v>0.08</v>
      </c>
      <c r="BO177" s="3">
        <v>0.03</v>
      </c>
      <c r="BP177" s="3">
        <v>-0.03</v>
      </c>
      <c r="BQ177" s="3">
        <v>0</v>
      </c>
      <c r="BR177" t="s">
        <v>7935</v>
      </c>
      <c r="BS177" s="3">
        <v>4.5999999999999996</v>
      </c>
      <c r="BT177" s="3">
        <v>0.06</v>
      </c>
      <c r="BU177" s="3">
        <v>-0.06</v>
      </c>
      <c r="BV177" s="3">
        <v>0</v>
      </c>
      <c r="BW177" t="s">
        <v>7936</v>
      </c>
      <c r="BX177" t="s">
        <v>8253</v>
      </c>
      <c r="BY177" s="3">
        <v>303.82847120000002</v>
      </c>
      <c r="BZ177" t="s">
        <v>8254</v>
      </c>
      <c r="CA177" s="3">
        <v>-27.033755599999999</v>
      </c>
      <c r="CB177" s="3">
        <v>8.7968700000000002</v>
      </c>
      <c r="CC177" s="3">
        <v>9.2499999999999995E-3</v>
      </c>
      <c r="CD177" s="3">
        <v>-9.2399999999999999E-3</v>
      </c>
      <c r="CE177" s="3">
        <v>5.73</v>
      </c>
      <c r="CF177" s="3">
        <v>0.03</v>
      </c>
      <c r="CG177" s="3">
        <v>-0.03</v>
      </c>
      <c r="CH177" s="3">
        <v>3.5009999999999999</v>
      </c>
      <c r="CI177" s="3">
        <v>0.23200000000000001</v>
      </c>
      <c r="CJ177" s="3">
        <v>-0.23200000000000001</v>
      </c>
      <c r="CK177" s="3">
        <v>5.47661</v>
      </c>
      <c r="CL177" s="3">
        <v>1.9526000000000001E-3</v>
      </c>
      <c r="CM177" s="3">
        <v>-1.9526000000000001E-3</v>
      </c>
      <c r="CN177" t="s">
        <v>8259</v>
      </c>
      <c r="CO177" t="s">
        <v>8260</v>
      </c>
      <c r="CP177" t="s">
        <v>8259</v>
      </c>
    </row>
    <row r="178" spans="1:94" x14ac:dyDescent="0.45">
      <c r="A178" t="s">
        <v>1282</v>
      </c>
      <c r="B178">
        <v>1</v>
      </c>
      <c r="C178" t="s">
        <v>1605</v>
      </c>
      <c r="D178" t="s">
        <v>1283</v>
      </c>
      <c r="E178" s="3">
        <v>1</v>
      </c>
      <c r="F178" s="3">
        <v>1</v>
      </c>
      <c r="G178" s="3">
        <v>2</v>
      </c>
      <c r="H178" t="s">
        <v>1427</v>
      </c>
      <c r="I178" s="3">
        <v>2011</v>
      </c>
      <c r="J178" t="s">
        <v>7966</v>
      </c>
      <c r="K178" t="s">
        <v>1429</v>
      </c>
      <c r="L178" s="3">
        <v>0</v>
      </c>
      <c r="M178" t="s">
        <v>8255</v>
      </c>
      <c r="N178" s="3">
        <v>525.79999999999995</v>
      </c>
      <c r="O178" s="3">
        <v>9.1999999999999993</v>
      </c>
      <c r="P178" s="3">
        <v>-9.1999999999999993</v>
      </c>
      <c r="Q178" s="3">
        <v>0</v>
      </c>
      <c r="R178" s="3">
        <v>1.18</v>
      </c>
      <c r="S178" s="3">
        <v>2.5000000000000001E-2</v>
      </c>
      <c r="T178" s="3">
        <v>-2.5000000000000001E-2</v>
      </c>
      <c r="U178" s="3">
        <v>0</v>
      </c>
      <c r="AD178" s="3">
        <v>24</v>
      </c>
      <c r="AE178" s="3">
        <v>5</v>
      </c>
      <c r="AF178" s="3">
        <v>-5</v>
      </c>
      <c r="AG178" s="3">
        <v>0</v>
      </c>
      <c r="AH178" s="3">
        <v>7.5999999999999998E-2</v>
      </c>
      <c r="AI178" s="3">
        <v>1.6E-2</v>
      </c>
      <c r="AJ178" s="3">
        <v>-1.6E-2</v>
      </c>
      <c r="AK178" s="3">
        <v>0</v>
      </c>
      <c r="AL178" t="s">
        <v>1601</v>
      </c>
      <c r="AM178" s="3">
        <v>0.32</v>
      </c>
      <c r="AN178" s="3">
        <v>0.11</v>
      </c>
      <c r="AO178" s="3">
        <v>-0.11</v>
      </c>
      <c r="AP178" s="3">
        <v>0</v>
      </c>
      <c r="AU178" s="3">
        <v>185</v>
      </c>
      <c r="AX178" s="3">
        <v>0</v>
      </c>
      <c r="AY178" s="3">
        <v>0</v>
      </c>
      <c r="AZ178" t="s">
        <v>8255</v>
      </c>
      <c r="BB178" s="3">
        <v>5166</v>
      </c>
      <c r="BC178" s="3">
        <v>49</v>
      </c>
      <c r="BD178" s="3">
        <v>-49</v>
      </c>
      <c r="BE178" s="3">
        <v>0</v>
      </c>
      <c r="BJ178" s="3">
        <v>0.8</v>
      </c>
      <c r="BM178" s="3">
        <v>0</v>
      </c>
      <c r="BN178" s="3">
        <v>-0.04</v>
      </c>
      <c r="BO178" s="3">
        <v>0.03</v>
      </c>
      <c r="BP178" s="3">
        <v>-0.03</v>
      </c>
      <c r="BQ178" s="3">
        <v>0</v>
      </c>
      <c r="BR178" t="s">
        <v>7935</v>
      </c>
      <c r="BS178" s="3">
        <v>4.51</v>
      </c>
      <c r="BT178" s="3">
        <v>0.09</v>
      </c>
      <c r="BU178" s="3">
        <v>-0.09</v>
      </c>
      <c r="BV178" s="3">
        <v>0</v>
      </c>
      <c r="BW178" t="s">
        <v>7936</v>
      </c>
      <c r="BX178" t="s">
        <v>8253</v>
      </c>
      <c r="BY178" s="3">
        <v>303.82847120000002</v>
      </c>
      <c r="BZ178" t="s">
        <v>8254</v>
      </c>
      <c r="CA178" s="3">
        <v>-27.033755599999999</v>
      </c>
      <c r="CB178" s="3">
        <v>8.7968700000000002</v>
      </c>
      <c r="CC178" s="3">
        <v>9.2499999999999995E-3</v>
      </c>
      <c r="CD178" s="3">
        <v>-9.2399999999999999E-3</v>
      </c>
      <c r="CE178" s="3">
        <v>5.73</v>
      </c>
      <c r="CF178" s="3">
        <v>0.03</v>
      </c>
      <c r="CG178" s="3">
        <v>-0.03</v>
      </c>
      <c r="CH178" s="3">
        <v>3.5009999999999999</v>
      </c>
      <c r="CI178" s="3">
        <v>0.23200000000000001</v>
      </c>
      <c r="CJ178" s="3">
        <v>-0.23200000000000001</v>
      </c>
      <c r="CK178" s="3">
        <v>5.47661</v>
      </c>
      <c r="CL178" s="3">
        <v>1.9526000000000001E-3</v>
      </c>
      <c r="CM178" s="3">
        <v>-1.9526000000000001E-3</v>
      </c>
      <c r="CN178" t="s">
        <v>1604</v>
      </c>
      <c r="CO178" t="s">
        <v>8256</v>
      </c>
      <c r="CP178" t="s">
        <v>8257</v>
      </c>
    </row>
    <row r="179" spans="1:94" x14ac:dyDescent="0.45">
      <c r="A179" t="s">
        <v>1282</v>
      </c>
      <c r="B179">
        <v>0</v>
      </c>
      <c r="C179" t="s">
        <v>1605</v>
      </c>
      <c r="D179" t="s">
        <v>1283</v>
      </c>
      <c r="E179" s="3">
        <v>0</v>
      </c>
      <c r="F179" s="3">
        <v>1</v>
      </c>
      <c r="G179" s="3">
        <v>2</v>
      </c>
      <c r="H179" t="s">
        <v>1427</v>
      </c>
      <c r="I179" s="3">
        <v>2011</v>
      </c>
      <c r="J179" t="s">
        <v>7966</v>
      </c>
      <c r="K179" t="s">
        <v>1429</v>
      </c>
      <c r="L179" s="3">
        <v>0</v>
      </c>
      <c r="M179" t="s">
        <v>7940</v>
      </c>
      <c r="N179" s="3">
        <v>546.5</v>
      </c>
      <c r="O179" s="3">
        <v>3.4</v>
      </c>
      <c r="P179" s="3">
        <v>-3.4</v>
      </c>
      <c r="Q179" s="3">
        <v>0</v>
      </c>
      <c r="R179" s="3">
        <v>1.1830000000000001</v>
      </c>
      <c r="S179" s="3">
        <v>2.1999999999999999E-2</v>
      </c>
      <c r="T179" s="3">
        <v>-2.1999999999999999E-2</v>
      </c>
      <c r="U179" s="3">
        <v>0</v>
      </c>
      <c r="AD179" s="3">
        <v>14.3</v>
      </c>
      <c r="AE179" s="3">
        <v>1.2</v>
      </c>
      <c r="AF179" s="3">
        <v>-1.2</v>
      </c>
      <c r="AG179" s="3">
        <v>0</v>
      </c>
      <c r="AH179" s="3">
        <v>4.4992829999999998E-2</v>
      </c>
      <c r="AI179" s="3">
        <v>3.7756199999999999E-3</v>
      </c>
      <c r="AJ179" s="3">
        <v>-3.7756199999999999E-3</v>
      </c>
      <c r="AK179" s="3">
        <v>0</v>
      </c>
      <c r="AL179" t="s">
        <v>1426</v>
      </c>
      <c r="AM179" s="3">
        <v>5.2999999999999999E-2</v>
      </c>
      <c r="AN179" s="3">
        <v>6.0999999999999999E-2</v>
      </c>
      <c r="AO179" s="3">
        <v>-3.7999999999999999E-2</v>
      </c>
      <c r="AP179" s="3">
        <v>0</v>
      </c>
      <c r="AY179" s="3">
        <v>0</v>
      </c>
      <c r="AZ179" t="s">
        <v>7940</v>
      </c>
      <c r="BB179" s="3">
        <v>5087</v>
      </c>
      <c r="BE179" s="3">
        <v>0</v>
      </c>
      <c r="BW179" t="s">
        <v>7936</v>
      </c>
      <c r="BX179" t="s">
        <v>8253</v>
      </c>
      <c r="BY179" s="3">
        <v>303.82847120000002</v>
      </c>
      <c r="BZ179" t="s">
        <v>8254</v>
      </c>
      <c r="CA179" s="3">
        <v>-27.033755599999999</v>
      </c>
      <c r="CB179" s="3">
        <v>8.7968700000000002</v>
      </c>
      <c r="CC179" s="3">
        <v>9.2499999999999995E-3</v>
      </c>
      <c r="CD179" s="3">
        <v>-9.2399999999999999E-3</v>
      </c>
      <c r="CE179" s="3">
        <v>5.73</v>
      </c>
      <c r="CF179" s="3">
        <v>0.03</v>
      </c>
      <c r="CG179" s="3">
        <v>-0.03</v>
      </c>
      <c r="CH179" s="3">
        <v>3.5009999999999999</v>
      </c>
      <c r="CI179" s="3">
        <v>0.23200000000000001</v>
      </c>
      <c r="CJ179" s="3">
        <v>-0.23200000000000001</v>
      </c>
      <c r="CK179" s="3">
        <v>5.47661</v>
      </c>
      <c r="CL179" s="3">
        <v>1.9526000000000001E-3</v>
      </c>
      <c r="CM179" s="3">
        <v>-1.9526000000000001E-3</v>
      </c>
      <c r="CN179" t="s">
        <v>1513</v>
      </c>
      <c r="CO179" t="s">
        <v>7941</v>
      </c>
      <c r="CP179" t="s">
        <v>1513</v>
      </c>
    </row>
    <row r="180" spans="1:94" x14ac:dyDescent="0.45">
      <c r="A180" t="s">
        <v>629</v>
      </c>
      <c r="B180">
        <v>0</v>
      </c>
      <c r="C180" t="s">
        <v>1606</v>
      </c>
      <c r="D180" t="s">
        <v>630</v>
      </c>
      <c r="E180" s="3">
        <v>0</v>
      </c>
      <c r="F180" s="3">
        <v>1</v>
      </c>
      <c r="G180" s="3">
        <v>4</v>
      </c>
      <c r="H180" t="s">
        <v>1427</v>
      </c>
      <c r="I180" s="3">
        <v>2011</v>
      </c>
      <c r="J180" t="s">
        <v>7966</v>
      </c>
      <c r="K180" t="s">
        <v>1429</v>
      </c>
      <c r="L180" s="3">
        <v>0</v>
      </c>
      <c r="M180" t="s">
        <v>7940</v>
      </c>
      <c r="N180" s="3">
        <v>18.315899999999999</v>
      </c>
      <c r="O180" s="3">
        <v>4.7999999999999996E-3</v>
      </c>
      <c r="P180" s="3">
        <v>-5.0000000000000001E-3</v>
      </c>
      <c r="Q180" s="3">
        <v>0</v>
      </c>
      <c r="R180" s="3">
        <v>0.1303</v>
      </c>
      <c r="S180" s="3">
        <v>2.8999999999999998E-3</v>
      </c>
      <c r="T180" s="3">
        <v>-3.0000000000000001E-3</v>
      </c>
      <c r="U180" s="3">
        <v>0</v>
      </c>
      <c r="AD180" s="3">
        <v>2.29</v>
      </c>
      <c r="AE180" s="3">
        <v>0.28000000000000003</v>
      </c>
      <c r="AF180" s="3">
        <v>-0.27</v>
      </c>
      <c r="AG180" s="3">
        <v>0</v>
      </c>
      <c r="AH180" s="3">
        <v>7.2051499999999996E-3</v>
      </c>
      <c r="AI180" s="3">
        <v>8.8097999999999996E-4</v>
      </c>
      <c r="AJ180" s="3">
        <v>-8.4951999999999998E-4</v>
      </c>
      <c r="AK180" s="3">
        <v>0</v>
      </c>
      <c r="AL180" t="s">
        <v>1426</v>
      </c>
      <c r="AM180" s="3">
        <v>0.25</v>
      </c>
      <c r="AN180" s="3">
        <v>0.12</v>
      </c>
      <c r="AO180" s="3">
        <v>-0.14000000000000001</v>
      </c>
      <c r="AP180" s="3">
        <v>0</v>
      </c>
      <c r="AY180" s="3">
        <v>0</v>
      </c>
      <c r="AZ180" t="s">
        <v>7940</v>
      </c>
      <c r="BB180" s="3">
        <v>5432</v>
      </c>
      <c r="BE180" s="3">
        <v>0</v>
      </c>
      <c r="BW180" t="s">
        <v>7936</v>
      </c>
      <c r="BX180" t="s">
        <v>8261</v>
      </c>
      <c r="BY180" s="3">
        <v>49.999766600000001</v>
      </c>
      <c r="BZ180" t="s">
        <v>8262</v>
      </c>
      <c r="CA180" s="3">
        <v>-43.066653299999999</v>
      </c>
      <c r="CB180" s="3">
        <v>6.0027799999999996</v>
      </c>
      <c r="CC180" s="3">
        <v>8.5400000000000007E-3</v>
      </c>
      <c r="CD180" s="3">
        <v>-8.5100000000000002E-3</v>
      </c>
      <c r="CE180" s="3">
        <v>4.26</v>
      </c>
      <c r="CF180" s="3">
        <v>0.03</v>
      </c>
      <c r="CG180" s="3">
        <v>-0.03</v>
      </c>
      <c r="CH180" s="3">
        <v>2.6360000000000001</v>
      </c>
      <c r="CI180" s="3">
        <v>0.27800000000000002</v>
      </c>
      <c r="CJ180" s="3">
        <v>-0.27800000000000002</v>
      </c>
      <c r="CK180" s="3">
        <v>4.0663499999999999</v>
      </c>
      <c r="CL180" s="3">
        <v>5.1022999999999997E-3</v>
      </c>
      <c r="CM180" s="3">
        <v>-5.1022999999999997E-3</v>
      </c>
      <c r="CN180" t="s">
        <v>1513</v>
      </c>
      <c r="CO180" t="s">
        <v>7941</v>
      </c>
      <c r="CP180" t="s">
        <v>1513</v>
      </c>
    </row>
    <row r="181" spans="1:94" x14ac:dyDescent="0.45">
      <c r="A181" t="s">
        <v>629</v>
      </c>
      <c r="B181">
        <v>0</v>
      </c>
      <c r="C181" t="s">
        <v>1606</v>
      </c>
      <c r="D181" t="s">
        <v>630</v>
      </c>
      <c r="E181" s="3">
        <v>0</v>
      </c>
      <c r="F181" s="3">
        <v>1</v>
      </c>
      <c r="G181" s="3">
        <v>4</v>
      </c>
      <c r="H181" t="s">
        <v>1427</v>
      </c>
      <c r="I181" s="3">
        <v>2011</v>
      </c>
      <c r="J181" t="s">
        <v>7966</v>
      </c>
      <c r="K181" t="s">
        <v>1429</v>
      </c>
      <c r="L181" s="3">
        <v>0</v>
      </c>
      <c r="M181" t="s">
        <v>8255</v>
      </c>
      <c r="N181" s="3">
        <v>18.315000000000001</v>
      </c>
      <c r="O181" s="3">
        <v>8.0000000000000002E-3</v>
      </c>
      <c r="P181" s="3">
        <v>-8.0000000000000002E-3</v>
      </c>
      <c r="Q181" s="3">
        <v>0</v>
      </c>
      <c r="R181" s="3">
        <v>0.1207</v>
      </c>
      <c r="S181" s="3">
        <v>2E-3</v>
      </c>
      <c r="T181" s="3">
        <v>-2E-3</v>
      </c>
      <c r="U181" s="3">
        <v>0</v>
      </c>
      <c r="AD181" s="3">
        <v>2.7</v>
      </c>
      <c r="AE181" s="3">
        <v>0.3</v>
      </c>
      <c r="AF181" s="3">
        <v>-0.3</v>
      </c>
      <c r="AG181" s="3">
        <v>0</v>
      </c>
      <c r="AH181" s="3">
        <v>8.5000000000000006E-3</v>
      </c>
      <c r="AI181" s="3">
        <v>8.9999999999999998E-4</v>
      </c>
      <c r="AJ181" s="3">
        <v>-8.9999999999999998E-4</v>
      </c>
      <c r="AK181" s="3">
        <v>0</v>
      </c>
      <c r="AL181" t="s">
        <v>1601</v>
      </c>
      <c r="AM181" s="3">
        <v>0</v>
      </c>
      <c r="AP181" s="3">
        <v>0</v>
      </c>
      <c r="AU181" s="3">
        <v>660</v>
      </c>
      <c r="AX181" s="3">
        <v>0</v>
      </c>
      <c r="AY181" s="3">
        <v>0</v>
      </c>
      <c r="AZ181" t="s">
        <v>8255</v>
      </c>
      <c r="BA181" t="s">
        <v>8263</v>
      </c>
      <c r="BB181" s="3">
        <v>5401</v>
      </c>
      <c r="BC181" s="3">
        <v>17</v>
      </c>
      <c r="BD181" s="3">
        <v>-17</v>
      </c>
      <c r="BE181" s="3">
        <v>0</v>
      </c>
      <c r="BJ181" s="3">
        <v>0.7</v>
      </c>
      <c r="BM181" s="3">
        <v>0</v>
      </c>
      <c r="BN181" s="3">
        <v>-0.4</v>
      </c>
      <c r="BO181" s="3">
        <v>0.01</v>
      </c>
      <c r="BP181" s="3">
        <v>-0.01</v>
      </c>
      <c r="BQ181" s="3">
        <v>0</v>
      </c>
      <c r="BR181" t="s">
        <v>7935</v>
      </c>
      <c r="BS181" s="3">
        <v>4.22</v>
      </c>
      <c r="BT181" s="3">
        <v>0.11</v>
      </c>
      <c r="BU181" s="3">
        <v>-0.11</v>
      </c>
      <c r="BV181" s="3">
        <v>0</v>
      </c>
      <c r="BW181" t="s">
        <v>7936</v>
      </c>
      <c r="BX181" t="s">
        <v>8261</v>
      </c>
      <c r="BY181" s="3">
        <v>49.999766600000001</v>
      </c>
      <c r="BZ181" t="s">
        <v>8262</v>
      </c>
      <c r="CA181" s="3">
        <v>-43.066653299999999</v>
      </c>
      <c r="CB181" s="3">
        <v>6.0027799999999996</v>
      </c>
      <c r="CC181" s="3">
        <v>8.5400000000000007E-3</v>
      </c>
      <c r="CD181" s="3">
        <v>-8.5100000000000002E-3</v>
      </c>
      <c r="CE181" s="3">
        <v>4.26</v>
      </c>
      <c r="CF181" s="3">
        <v>0.03</v>
      </c>
      <c r="CG181" s="3">
        <v>-0.03</v>
      </c>
      <c r="CH181" s="3">
        <v>2.6360000000000001</v>
      </c>
      <c r="CI181" s="3">
        <v>0.27800000000000002</v>
      </c>
      <c r="CJ181" s="3">
        <v>-0.27800000000000002</v>
      </c>
      <c r="CK181" s="3">
        <v>4.0663499999999999</v>
      </c>
      <c r="CL181" s="3">
        <v>5.1022999999999997E-3</v>
      </c>
      <c r="CM181" s="3">
        <v>-5.1022999999999997E-3</v>
      </c>
      <c r="CN181" t="s">
        <v>1644</v>
      </c>
      <c r="CO181" t="s">
        <v>8256</v>
      </c>
      <c r="CP181" t="s">
        <v>8264</v>
      </c>
    </row>
    <row r="182" spans="1:94" x14ac:dyDescent="0.45">
      <c r="A182" t="s">
        <v>629</v>
      </c>
      <c r="B182">
        <v>1</v>
      </c>
      <c r="C182" t="s">
        <v>1606</v>
      </c>
      <c r="D182" t="s">
        <v>630</v>
      </c>
      <c r="E182" s="3">
        <v>1</v>
      </c>
      <c r="F182" s="3">
        <v>1</v>
      </c>
      <c r="G182" s="3">
        <v>4</v>
      </c>
      <c r="H182" t="s">
        <v>1427</v>
      </c>
      <c r="I182" s="3">
        <v>2011</v>
      </c>
      <c r="J182" t="s">
        <v>7966</v>
      </c>
      <c r="K182" t="s">
        <v>1429</v>
      </c>
      <c r="L182" s="3">
        <v>0</v>
      </c>
      <c r="M182" t="s">
        <v>8265</v>
      </c>
      <c r="N182" s="3">
        <v>18.314</v>
      </c>
      <c r="O182" s="3">
        <v>2.2000000000000001E-3</v>
      </c>
      <c r="P182" s="3">
        <v>-2.2000000000000001E-3</v>
      </c>
      <c r="Q182" s="3">
        <v>0</v>
      </c>
      <c r="R182" s="3">
        <v>0.12570000000000001</v>
      </c>
      <c r="S182" s="3">
        <v>5.1999999999999995E-4</v>
      </c>
      <c r="T182" s="3">
        <v>-5.2999999999999998E-4</v>
      </c>
      <c r="U182" s="3">
        <v>0</v>
      </c>
      <c r="AD182" s="3">
        <v>2.15</v>
      </c>
      <c r="AE182" s="3">
        <v>0.17</v>
      </c>
      <c r="AF182" s="3">
        <v>-0.17</v>
      </c>
      <c r="AG182" s="3">
        <v>0</v>
      </c>
      <c r="AH182" s="3">
        <v>6.7646599999999996E-3</v>
      </c>
      <c r="AI182" s="3">
        <v>5.3487999999999995E-4</v>
      </c>
      <c r="AJ182" s="3">
        <v>-5.3487999999999995E-4</v>
      </c>
      <c r="AK182" s="3">
        <v>0</v>
      </c>
      <c r="AL182" t="s">
        <v>1426</v>
      </c>
      <c r="AM182" s="3">
        <v>6.4000000000000001E-2</v>
      </c>
      <c r="AN182" s="3">
        <v>6.5000000000000002E-2</v>
      </c>
      <c r="AO182" s="3">
        <v>-4.5999999999999999E-2</v>
      </c>
      <c r="AP182" s="3">
        <v>0</v>
      </c>
      <c r="AY182" s="3">
        <v>0</v>
      </c>
      <c r="AZ182" t="s">
        <v>8265</v>
      </c>
      <c r="BA182" t="s">
        <v>8266</v>
      </c>
      <c r="BB182" s="3">
        <v>5368</v>
      </c>
      <c r="BC182" s="3">
        <v>64</v>
      </c>
      <c r="BD182" s="3">
        <v>-64</v>
      </c>
      <c r="BE182" s="3">
        <v>0</v>
      </c>
      <c r="BF182" s="3">
        <v>0.93</v>
      </c>
      <c r="BG182" s="3">
        <v>0.03</v>
      </c>
      <c r="BH182" s="3">
        <v>-0.03</v>
      </c>
      <c r="BI182" s="3">
        <v>0</v>
      </c>
      <c r="BJ182" s="3">
        <v>0.79</v>
      </c>
      <c r="BK182" s="3">
        <v>0.01</v>
      </c>
      <c r="BL182" s="3">
        <v>-0.01</v>
      </c>
      <c r="BM182" s="3">
        <v>0</v>
      </c>
      <c r="BN182" s="3">
        <v>-0.42</v>
      </c>
      <c r="BO182" s="3">
        <v>0.02</v>
      </c>
      <c r="BP182" s="3">
        <v>-0.02</v>
      </c>
      <c r="BQ182" s="3">
        <v>0</v>
      </c>
      <c r="BR182" t="s">
        <v>7935</v>
      </c>
      <c r="BS182" s="3">
        <v>4.3899999999999997</v>
      </c>
      <c r="BT182" s="3">
        <v>0.03</v>
      </c>
      <c r="BU182" s="3">
        <v>-0.03</v>
      </c>
      <c r="BV182" s="3">
        <v>0</v>
      </c>
      <c r="BW182" t="s">
        <v>7936</v>
      </c>
      <c r="BX182" t="s">
        <v>8261</v>
      </c>
      <c r="BY182" s="3">
        <v>49.999766600000001</v>
      </c>
      <c r="BZ182" t="s">
        <v>8262</v>
      </c>
      <c r="CA182" s="3">
        <v>-43.066653299999999</v>
      </c>
      <c r="CB182" s="3">
        <v>6.0027799999999996</v>
      </c>
      <c r="CC182" s="3">
        <v>8.5400000000000007E-3</v>
      </c>
      <c r="CD182" s="3">
        <v>-8.5100000000000002E-3</v>
      </c>
      <c r="CE182" s="3">
        <v>4.26</v>
      </c>
      <c r="CF182" s="3">
        <v>0.03</v>
      </c>
      <c r="CG182" s="3">
        <v>-0.03</v>
      </c>
      <c r="CH182" s="3">
        <v>2.6360000000000001</v>
      </c>
      <c r="CI182" s="3">
        <v>0.27800000000000002</v>
      </c>
      <c r="CJ182" s="3">
        <v>-0.27800000000000002</v>
      </c>
      <c r="CK182" s="3">
        <v>4.0663499999999999</v>
      </c>
      <c r="CL182" s="3">
        <v>5.1022999999999997E-3</v>
      </c>
      <c r="CM182" s="3">
        <v>-5.1022999999999997E-3</v>
      </c>
      <c r="CN182" t="s">
        <v>1609</v>
      </c>
      <c r="CO182" t="s">
        <v>8241</v>
      </c>
      <c r="CP182" t="s">
        <v>1609</v>
      </c>
    </row>
    <row r="183" spans="1:94" x14ac:dyDescent="0.45">
      <c r="A183" t="s">
        <v>629</v>
      </c>
      <c r="B183">
        <v>0</v>
      </c>
      <c r="C183" t="s">
        <v>1606</v>
      </c>
      <c r="D183" t="s">
        <v>630</v>
      </c>
      <c r="E183" s="3">
        <v>0</v>
      </c>
      <c r="F183" s="3">
        <v>1</v>
      </c>
      <c r="G183" s="3">
        <v>4</v>
      </c>
      <c r="H183" t="s">
        <v>1427</v>
      </c>
      <c r="I183" s="3">
        <v>2011</v>
      </c>
      <c r="J183" t="s">
        <v>7966</v>
      </c>
      <c r="K183" t="s">
        <v>1429</v>
      </c>
      <c r="L183" s="3">
        <v>0</v>
      </c>
      <c r="M183" t="s">
        <v>8267</v>
      </c>
      <c r="N183" s="3">
        <v>18.329999999999998</v>
      </c>
      <c r="O183" s="3">
        <v>0.01</v>
      </c>
      <c r="P183" s="3">
        <v>-0.02</v>
      </c>
      <c r="Q183" s="3">
        <v>0</v>
      </c>
      <c r="R183" s="3">
        <v>0.127</v>
      </c>
      <c r="S183" s="3">
        <v>1E-3</v>
      </c>
      <c r="T183" s="3">
        <v>-1E-3</v>
      </c>
      <c r="U183" s="3">
        <v>0</v>
      </c>
      <c r="AD183" s="3">
        <v>2.82</v>
      </c>
      <c r="AE183" s="3">
        <v>0.1</v>
      </c>
      <c r="AF183" s="3">
        <v>-0.8</v>
      </c>
      <c r="AG183" s="3">
        <v>0</v>
      </c>
      <c r="AH183" s="3">
        <v>8.8726699999999992E-3</v>
      </c>
      <c r="AI183" s="3">
        <v>3.1462999999999999E-4</v>
      </c>
      <c r="AJ183" s="3">
        <v>-2.5170700000000002E-3</v>
      </c>
      <c r="AK183" s="3">
        <v>0</v>
      </c>
      <c r="AL183" t="s">
        <v>1426</v>
      </c>
      <c r="AM183" s="3">
        <v>0.27</v>
      </c>
      <c r="AN183" s="3">
        <v>0.04</v>
      </c>
      <c r="AO183" s="3">
        <v>-0.22</v>
      </c>
      <c r="AP183" s="3">
        <v>0</v>
      </c>
      <c r="AY183" s="3">
        <v>0</v>
      </c>
      <c r="AZ183" t="s">
        <v>8267</v>
      </c>
      <c r="BA183" t="s">
        <v>8268</v>
      </c>
      <c r="BJ183" s="3">
        <v>0.81299999999999994</v>
      </c>
      <c r="BK183" s="3">
        <v>1.7999999999999999E-2</v>
      </c>
      <c r="BL183" s="3">
        <v>-1.2E-2</v>
      </c>
      <c r="BM183" s="3">
        <v>0</v>
      </c>
      <c r="BW183" t="s">
        <v>7936</v>
      </c>
      <c r="BX183" t="s">
        <v>8261</v>
      </c>
      <c r="BY183" s="3">
        <v>49.999766600000001</v>
      </c>
      <c r="BZ183" t="s">
        <v>8262</v>
      </c>
      <c r="CA183" s="3">
        <v>-43.066653299999999</v>
      </c>
      <c r="CB183" s="3">
        <v>6.0027799999999996</v>
      </c>
      <c r="CC183" s="3">
        <v>8.5400000000000007E-3</v>
      </c>
      <c r="CD183" s="3">
        <v>-8.5100000000000002E-3</v>
      </c>
      <c r="CE183" s="3">
        <v>4.26</v>
      </c>
      <c r="CF183" s="3">
        <v>0.03</v>
      </c>
      <c r="CG183" s="3">
        <v>-0.03</v>
      </c>
      <c r="CH183" s="3">
        <v>2.6360000000000001</v>
      </c>
      <c r="CI183" s="3">
        <v>0.27800000000000002</v>
      </c>
      <c r="CJ183" s="3">
        <v>-0.27800000000000002</v>
      </c>
      <c r="CK183" s="3">
        <v>4.0663499999999999</v>
      </c>
      <c r="CL183" s="3">
        <v>5.1022999999999997E-3</v>
      </c>
      <c r="CM183" s="3">
        <v>-5.1022999999999997E-3</v>
      </c>
      <c r="CN183" t="s">
        <v>1614</v>
      </c>
      <c r="CO183" t="s">
        <v>8128</v>
      </c>
      <c r="CP183" t="s">
        <v>8269</v>
      </c>
    </row>
    <row r="184" spans="1:94" x14ac:dyDescent="0.45">
      <c r="A184" t="s">
        <v>629</v>
      </c>
      <c r="B184">
        <v>0</v>
      </c>
      <c r="C184" t="s">
        <v>1610</v>
      </c>
      <c r="D184" t="s">
        <v>630</v>
      </c>
      <c r="E184" s="3">
        <v>0</v>
      </c>
      <c r="F184" s="3">
        <v>1</v>
      </c>
      <c r="G184" s="3">
        <v>4</v>
      </c>
      <c r="H184" t="s">
        <v>1427</v>
      </c>
      <c r="I184" s="3">
        <v>2011</v>
      </c>
      <c r="J184" t="s">
        <v>7966</v>
      </c>
      <c r="K184" t="s">
        <v>1429</v>
      </c>
      <c r="L184" s="3">
        <v>0</v>
      </c>
      <c r="M184" t="s">
        <v>8267</v>
      </c>
      <c r="N184" s="3">
        <v>88.9</v>
      </c>
      <c r="O184" s="3">
        <v>0.37</v>
      </c>
      <c r="P184" s="3">
        <v>-0.41</v>
      </c>
      <c r="Q184" s="3">
        <v>0</v>
      </c>
      <c r="R184" s="3">
        <v>0.36399999999999999</v>
      </c>
      <c r="S184" s="3">
        <v>4.0000000000000001E-3</v>
      </c>
      <c r="T184" s="3">
        <v>-4.0000000000000001E-3</v>
      </c>
      <c r="U184" s="3">
        <v>0</v>
      </c>
      <c r="AD184" s="3">
        <v>3.52</v>
      </c>
      <c r="AE184" s="3">
        <v>0.57999999999999996</v>
      </c>
      <c r="AF184" s="3">
        <v>-1.01</v>
      </c>
      <c r="AG184" s="3">
        <v>0</v>
      </c>
      <c r="AH184" s="3">
        <v>1.1075099999999999E-2</v>
      </c>
      <c r="AI184" s="3">
        <v>1.8248699999999999E-3</v>
      </c>
      <c r="AJ184" s="3">
        <v>-3.1778000000000002E-3</v>
      </c>
      <c r="AK184" s="3">
        <v>0</v>
      </c>
      <c r="AL184" t="s">
        <v>1426</v>
      </c>
      <c r="AM184" s="3">
        <v>0.25</v>
      </c>
      <c r="AN184" s="3">
        <v>0.16</v>
      </c>
      <c r="AO184" s="3">
        <v>-0.21</v>
      </c>
      <c r="AP184" s="3">
        <v>0</v>
      </c>
      <c r="AY184" s="3">
        <v>0</v>
      </c>
      <c r="AZ184" t="s">
        <v>8267</v>
      </c>
      <c r="BA184" t="s">
        <v>8268</v>
      </c>
      <c r="BJ184" s="3">
        <v>0.81299999999999994</v>
      </c>
      <c r="BK184" s="3">
        <v>1.7999999999999999E-2</v>
      </c>
      <c r="BL184" s="3">
        <v>-1.2E-2</v>
      </c>
      <c r="BM184" s="3">
        <v>0</v>
      </c>
      <c r="BW184" t="s">
        <v>7936</v>
      </c>
      <c r="BX184" t="s">
        <v>8261</v>
      </c>
      <c r="BY184" s="3">
        <v>49.999766600000001</v>
      </c>
      <c r="BZ184" t="s">
        <v>8262</v>
      </c>
      <c r="CA184" s="3">
        <v>-43.066653299999999</v>
      </c>
      <c r="CB184" s="3">
        <v>6.0027799999999996</v>
      </c>
      <c r="CC184" s="3">
        <v>8.5400000000000007E-3</v>
      </c>
      <c r="CD184" s="3">
        <v>-8.5100000000000002E-3</v>
      </c>
      <c r="CE184" s="3">
        <v>4.26</v>
      </c>
      <c r="CF184" s="3">
        <v>0.03</v>
      </c>
      <c r="CG184" s="3">
        <v>-0.03</v>
      </c>
      <c r="CH184" s="3">
        <v>2.6360000000000001</v>
      </c>
      <c r="CI184" s="3">
        <v>0.27800000000000002</v>
      </c>
      <c r="CJ184" s="3">
        <v>-0.27800000000000002</v>
      </c>
      <c r="CK184" s="3">
        <v>4.0663499999999999</v>
      </c>
      <c r="CL184" s="3">
        <v>5.1022999999999997E-3</v>
      </c>
      <c r="CM184" s="3">
        <v>-5.1022999999999997E-3</v>
      </c>
      <c r="CN184" t="s">
        <v>1614</v>
      </c>
      <c r="CO184" t="s">
        <v>8128</v>
      </c>
      <c r="CP184" t="s">
        <v>8269</v>
      </c>
    </row>
    <row r="185" spans="1:94" x14ac:dyDescent="0.45">
      <c r="A185" t="s">
        <v>629</v>
      </c>
      <c r="B185">
        <v>0</v>
      </c>
      <c r="C185" t="s">
        <v>1610</v>
      </c>
      <c r="D185" t="s">
        <v>630</v>
      </c>
      <c r="E185" s="3">
        <v>0</v>
      </c>
      <c r="F185" s="3">
        <v>1</v>
      </c>
      <c r="G185" s="3">
        <v>4</v>
      </c>
      <c r="H185" t="s">
        <v>1427</v>
      </c>
      <c r="I185" s="3">
        <v>2011</v>
      </c>
      <c r="J185" t="s">
        <v>7966</v>
      </c>
      <c r="K185" t="s">
        <v>1429</v>
      </c>
      <c r="L185" s="3">
        <v>0</v>
      </c>
      <c r="M185" t="s">
        <v>7940</v>
      </c>
      <c r="N185" s="3">
        <v>89.77</v>
      </c>
      <c r="O185" s="3">
        <v>0.17</v>
      </c>
      <c r="P185" s="3">
        <v>-0.11</v>
      </c>
      <c r="Q185" s="3">
        <v>0</v>
      </c>
      <c r="R185" s="3">
        <v>0.37609999999999999</v>
      </c>
      <c r="S185" s="3">
        <v>8.3000000000000001E-3</v>
      </c>
      <c r="T185" s="3">
        <v>-8.8000000000000005E-3</v>
      </c>
      <c r="U185" s="3">
        <v>0</v>
      </c>
      <c r="AD185" s="3">
        <v>3.65</v>
      </c>
      <c r="AE185" s="3">
        <v>0.51</v>
      </c>
      <c r="AF185" s="3">
        <v>-0.5</v>
      </c>
      <c r="AG185" s="3">
        <v>0</v>
      </c>
      <c r="AH185" s="3">
        <v>1.148418E-2</v>
      </c>
      <c r="AI185" s="3">
        <v>1.6046400000000001E-3</v>
      </c>
      <c r="AJ185" s="3">
        <v>-1.57318E-3</v>
      </c>
      <c r="AK185" s="3">
        <v>0</v>
      </c>
      <c r="AL185" t="s">
        <v>1426</v>
      </c>
      <c r="AM185" s="3">
        <v>0.35</v>
      </c>
      <c r="AN185" s="3">
        <v>0.12</v>
      </c>
      <c r="AO185" s="3">
        <v>-0.12</v>
      </c>
      <c r="AP185" s="3">
        <v>0</v>
      </c>
      <c r="AY185" s="3">
        <v>0</v>
      </c>
      <c r="AZ185" t="s">
        <v>7940</v>
      </c>
      <c r="BB185" s="3">
        <v>5432</v>
      </c>
      <c r="BE185" s="3">
        <v>0</v>
      </c>
      <c r="BW185" t="s">
        <v>7936</v>
      </c>
      <c r="BX185" t="s">
        <v>8261</v>
      </c>
      <c r="BY185" s="3">
        <v>49.999766600000001</v>
      </c>
      <c r="BZ185" t="s">
        <v>8262</v>
      </c>
      <c r="CA185" s="3">
        <v>-43.066653299999999</v>
      </c>
      <c r="CB185" s="3">
        <v>6.0027799999999996</v>
      </c>
      <c r="CC185" s="3">
        <v>8.5400000000000007E-3</v>
      </c>
      <c r="CD185" s="3">
        <v>-8.5100000000000002E-3</v>
      </c>
      <c r="CE185" s="3">
        <v>4.26</v>
      </c>
      <c r="CF185" s="3">
        <v>0.03</v>
      </c>
      <c r="CG185" s="3">
        <v>-0.03</v>
      </c>
      <c r="CH185" s="3">
        <v>2.6360000000000001</v>
      </c>
      <c r="CI185" s="3">
        <v>0.27800000000000002</v>
      </c>
      <c r="CJ185" s="3">
        <v>-0.27800000000000002</v>
      </c>
      <c r="CK185" s="3">
        <v>4.0663499999999999</v>
      </c>
      <c r="CL185" s="3">
        <v>5.1022999999999997E-3</v>
      </c>
      <c r="CM185" s="3">
        <v>-5.1022999999999997E-3</v>
      </c>
      <c r="CN185" t="s">
        <v>1513</v>
      </c>
      <c r="CO185" t="s">
        <v>7941</v>
      </c>
      <c r="CP185" t="s">
        <v>1513</v>
      </c>
    </row>
    <row r="186" spans="1:94" x14ac:dyDescent="0.45">
      <c r="A186" t="s">
        <v>629</v>
      </c>
      <c r="B186">
        <v>1</v>
      </c>
      <c r="C186" t="s">
        <v>1610</v>
      </c>
      <c r="D186" t="s">
        <v>630</v>
      </c>
      <c r="E186" s="3">
        <v>1</v>
      </c>
      <c r="F186" s="3">
        <v>1</v>
      </c>
      <c r="G186" s="3">
        <v>4</v>
      </c>
      <c r="H186" t="s">
        <v>1427</v>
      </c>
      <c r="I186" s="3">
        <v>2011</v>
      </c>
      <c r="J186" t="s">
        <v>7966</v>
      </c>
      <c r="K186" t="s">
        <v>1429</v>
      </c>
      <c r="L186" s="3">
        <v>0</v>
      </c>
      <c r="M186" t="s">
        <v>8265</v>
      </c>
      <c r="N186" s="3">
        <v>89.68</v>
      </c>
      <c r="O186" s="3">
        <v>0.1</v>
      </c>
      <c r="P186" s="3">
        <v>-0.1</v>
      </c>
      <c r="Q186" s="3">
        <v>0</v>
      </c>
      <c r="R186" s="3">
        <v>0.36249999999999999</v>
      </c>
      <c r="S186" s="3">
        <v>1.5E-3</v>
      </c>
      <c r="T186" s="3">
        <v>-1.6000000000000001E-3</v>
      </c>
      <c r="U186" s="3">
        <v>0</v>
      </c>
      <c r="AD186" s="3">
        <v>2.98</v>
      </c>
      <c r="AE186" s="3">
        <v>0.28999999999999998</v>
      </c>
      <c r="AF186" s="3">
        <v>-0.28999999999999998</v>
      </c>
      <c r="AG186" s="3">
        <v>0</v>
      </c>
      <c r="AH186" s="3">
        <v>9.3761299999999999E-3</v>
      </c>
      <c r="AI186" s="3">
        <v>9.1244000000000004E-4</v>
      </c>
      <c r="AJ186" s="3">
        <v>-9.1244000000000004E-4</v>
      </c>
      <c r="AK186" s="3">
        <v>0</v>
      </c>
      <c r="AL186" t="s">
        <v>1426</v>
      </c>
      <c r="AM186" s="3">
        <v>7.6999999999999999E-2</v>
      </c>
      <c r="AN186" s="3">
        <v>8.4000000000000005E-2</v>
      </c>
      <c r="AO186" s="3">
        <v>-5.5E-2</v>
      </c>
      <c r="AP186" s="3">
        <v>0</v>
      </c>
      <c r="AY186" s="3">
        <v>0</v>
      </c>
      <c r="AZ186" t="s">
        <v>8265</v>
      </c>
      <c r="BA186" t="s">
        <v>8266</v>
      </c>
      <c r="BB186" s="3">
        <v>5368</v>
      </c>
      <c r="BC186" s="3">
        <v>64</v>
      </c>
      <c r="BD186" s="3">
        <v>-64</v>
      </c>
      <c r="BE186" s="3">
        <v>0</v>
      </c>
      <c r="BF186" s="3">
        <v>0.93</v>
      </c>
      <c r="BG186" s="3">
        <v>0.03</v>
      </c>
      <c r="BH186" s="3">
        <v>-0.03</v>
      </c>
      <c r="BI186" s="3">
        <v>0</v>
      </c>
      <c r="BJ186" s="3">
        <v>0.79</v>
      </c>
      <c r="BK186" s="3">
        <v>0.01</v>
      </c>
      <c r="BL186" s="3">
        <v>-0.01</v>
      </c>
      <c r="BM186" s="3">
        <v>0</v>
      </c>
      <c r="BN186" s="3">
        <v>-0.42</v>
      </c>
      <c r="BO186" s="3">
        <v>0.02</v>
      </c>
      <c r="BP186" s="3">
        <v>-0.02</v>
      </c>
      <c r="BQ186" s="3">
        <v>0</v>
      </c>
      <c r="BR186" t="s">
        <v>7935</v>
      </c>
      <c r="BS186" s="3">
        <v>4.3899999999999997</v>
      </c>
      <c r="BT186" s="3">
        <v>0.03</v>
      </c>
      <c r="BU186" s="3">
        <v>-0.03</v>
      </c>
      <c r="BV186" s="3">
        <v>0</v>
      </c>
      <c r="BW186" t="s">
        <v>7936</v>
      </c>
      <c r="BX186" t="s">
        <v>8261</v>
      </c>
      <c r="BY186" s="3">
        <v>49.999766600000001</v>
      </c>
      <c r="BZ186" t="s">
        <v>8262</v>
      </c>
      <c r="CA186" s="3">
        <v>-43.066653299999999</v>
      </c>
      <c r="CB186" s="3">
        <v>6.0027799999999996</v>
      </c>
      <c r="CC186" s="3">
        <v>8.5400000000000007E-3</v>
      </c>
      <c r="CD186" s="3">
        <v>-8.5100000000000002E-3</v>
      </c>
      <c r="CE186" s="3">
        <v>4.26</v>
      </c>
      <c r="CF186" s="3">
        <v>0.03</v>
      </c>
      <c r="CG186" s="3">
        <v>-0.03</v>
      </c>
      <c r="CH186" s="3">
        <v>2.6360000000000001</v>
      </c>
      <c r="CI186" s="3">
        <v>0.27800000000000002</v>
      </c>
      <c r="CJ186" s="3">
        <v>-0.27800000000000002</v>
      </c>
      <c r="CK186" s="3">
        <v>4.0663499999999999</v>
      </c>
      <c r="CL186" s="3">
        <v>5.1022999999999997E-3</v>
      </c>
      <c r="CM186" s="3">
        <v>-5.1022999999999997E-3</v>
      </c>
      <c r="CN186" t="s">
        <v>1609</v>
      </c>
      <c r="CO186" t="s">
        <v>8241</v>
      </c>
      <c r="CP186" t="s">
        <v>1609</v>
      </c>
    </row>
    <row r="187" spans="1:94" x14ac:dyDescent="0.45">
      <c r="A187" t="s">
        <v>629</v>
      </c>
      <c r="B187">
        <v>0</v>
      </c>
      <c r="C187" t="s">
        <v>1610</v>
      </c>
      <c r="D187" t="s">
        <v>630</v>
      </c>
      <c r="E187" s="3">
        <v>0</v>
      </c>
      <c r="F187" s="3">
        <v>1</v>
      </c>
      <c r="G187" s="3">
        <v>4</v>
      </c>
      <c r="H187" t="s">
        <v>1427</v>
      </c>
      <c r="I187" s="3">
        <v>2011</v>
      </c>
      <c r="J187" t="s">
        <v>7966</v>
      </c>
      <c r="K187" t="s">
        <v>1429</v>
      </c>
      <c r="L187" s="3">
        <v>0</v>
      </c>
      <c r="M187" t="s">
        <v>8255</v>
      </c>
      <c r="N187" s="3">
        <v>90.308999999999997</v>
      </c>
      <c r="O187" s="3">
        <v>0.184</v>
      </c>
      <c r="P187" s="3">
        <v>-0.184</v>
      </c>
      <c r="Q187" s="3">
        <v>0</v>
      </c>
      <c r="R187" s="3">
        <v>0.34989999999999999</v>
      </c>
      <c r="S187" s="3">
        <v>5.8999999999999999E-3</v>
      </c>
      <c r="T187" s="3">
        <v>-5.8999999999999999E-3</v>
      </c>
      <c r="U187" s="3">
        <v>0</v>
      </c>
      <c r="AD187" s="3">
        <v>4.8</v>
      </c>
      <c r="AE187" s="3">
        <v>0.6</v>
      </c>
      <c r="AF187" s="3">
        <v>-0.6</v>
      </c>
      <c r="AG187" s="3">
        <v>0</v>
      </c>
      <c r="AH187" s="3">
        <v>1.4999999999999999E-2</v>
      </c>
      <c r="AI187" s="3">
        <v>2E-3</v>
      </c>
      <c r="AJ187" s="3">
        <v>-2E-3</v>
      </c>
      <c r="AK187" s="3">
        <v>0</v>
      </c>
      <c r="AL187" t="s">
        <v>1601</v>
      </c>
      <c r="AM187" s="3">
        <v>0</v>
      </c>
      <c r="AP187" s="3">
        <v>0</v>
      </c>
      <c r="AU187" s="3">
        <v>388</v>
      </c>
      <c r="AX187" s="3">
        <v>0</v>
      </c>
      <c r="AY187" s="3">
        <v>0</v>
      </c>
      <c r="AZ187" t="s">
        <v>8255</v>
      </c>
      <c r="BA187" t="s">
        <v>8263</v>
      </c>
      <c r="BB187" s="3">
        <v>5401</v>
      </c>
      <c r="BC187" s="3">
        <v>17</v>
      </c>
      <c r="BD187" s="3">
        <v>-17</v>
      </c>
      <c r="BE187" s="3">
        <v>0</v>
      </c>
      <c r="BJ187" s="3">
        <v>0.7</v>
      </c>
      <c r="BM187" s="3">
        <v>0</v>
      </c>
      <c r="BN187" s="3">
        <v>-0.4</v>
      </c>
      <c r="BO187" s="3">
        <v>0.01</v>
      </c>
      <c r="BP187" s="3">
        <v>-0.01</v>
      </c>
      <c r="BQ187" s="3">
        <v>0</v>
      </c>
      <c r="BR187" t="s">
        <v>7935</v>
      </c>
      <c r="BS187" s="3">
        <v>4.22</v>
      </c>
      <c r="BT187" s="3">
        <v>0.11</v>
      </c>
      <c r="BU187" s="3">
        <v>-0.11</v>
      </c>
      <c r="BV187" s="3">
        <v>0</v>
      </c>
      <c r="BW187" t="s">
        <v>7936</v>
      </c>
      <c r="BX187" t="s">
        <v>8261</v>
      </c>
      <c r="BY187" s="3">
        <v>49.999766600000001</v>
      </c>
      <c r="BZ187" t="s">
        <v>8262</v>
      </c>
      <c r="CA187" s="3">
        <v>-43.066653299999999</v>
      </c>
      <c r="CB187" s="3">
        <v>6.0027799999999996</v>
      </c>
      <c r="CC187" s="3">
        <v>8.5400000000000007E-3</v>
      </c>
      <c r="CD187" s="3">
        <v>-8.5100000000000002E-3</v>
      </c>
      <c r="CE187" s="3">
        <v>4.26</v>
      </c>
      <c r="CF187" s="3">
        <v>0.03</v>
      </c>
      <c r="CG187" s="3">
        <v>-0.03</v>
      </c>
      <c r="CH187" s="3">
        <v>2.6360000000000001</v>
      </c>
      <c r="CI187" s="3">
        <v>0.27800000000000002</v>
      </c>
      <c r="CJ187" s="3">
        <v>-0.27800000000000002</v>
      </c>
      <c r="CK187" s="3">
        <v>4.0663499999999999</v>
      </c>
      <c r="CL187" s="3">
        <v>5.1022999999999997E-3</v>
      </c>
      <c r="CM187" s="3">
        <v>-5.1022999999999997E-3</v>
      </c>
      <c r="CN187" t="s">
        <v>1644</v>
      </c>
      <c r="CO187" t="s">
        <v>8256</v>
      </c>
      <c r="CP187" t="s">
        <v>8264</v>
      </c>
    </row>
    <row r="188" spans="1:94" x14ac:dyDescent="0.45">
      <c r="A188" t="s">
        <v>629</v>
      </c>
      <c r="B188">
        <v>1</v>
      </c>
      <c r="C188" t="s">
        <v>1611</v>
      </c>
      <c r="D188" t="s">
        <v>630</v>
      </c>
      <c r="E188" s="3">
        <v>1</v>
      </c>
      <c r="F188" s="3">
        <v>1</v>
      </c>
      <c r="G188" s="3">
        <v>4</v>
      </c>
      <c r="H188" t="s">
        <v>1427</v>
      </c>
      <c r="I188" s="3">
        <v>2017</v>
      </c>
      <c r="J188" t="s">
        <v>7966</v>
      </c>
      <c r="K188" t="s">
        <v>1429</v>
      </c>
      <c r="L188" s="3">
        <v>1</v>
      </c>
      <c r="M188" t="s">
        <v>8267</v>
      </c>
      <c r="N188" s="3">
        <v>147.02000000000001</v>
      </c>
      <c r="O188" s="3">
        <v>1.43</v>
      </c>
      <c r="P188" s="3">
        <v>-0.91</v>
      </c>
      <c r="Q188" s="3">
        <v>0</v>
      </c>
      <c r="R188" s="3">
        <v>0.50900000000000001</v>
      </c>
      <c r="S188" s="3">
        <v>6.0000000000000001E-3</v>
      </c>
      <c r="T188" s="3">
        <v>-6.0000000000000001E-3</v>
      </c>
      <c r="U188" s="3">
        <v>0</v>
      </c>
      <c r="AD188" s="3">
        <v>4.7699999999999996</v>
      </c>
      <c r="AE188" s="3">
        <v>0.96</v>
      </c>
      <c r="AF188" s="3">
        <v>-0.86</v>
      </c>
      <c r="AG188" s="3">
        <v>0</v>
      </c>
      <c r="AH188" s="3">
        <v>1.500802E-2</v>
      </c>
      <c r="AI188" s="3">
        <v>3.0204799999999999E-3</v>
      </c>
      <c r="AJ188" s="3">
        <v>-2.7058500000000001E-3</v>
      </c>
      <c r="AK188" s="3">
        <v>0</v>
      </c>
      <c r="AL188" t="s">
        <v>1426</v>
      </c>
      <c r="AM188" s="3">
        <v>0.28999999999999998</v>
      </c>
      <c r="AN188" s="3">
        <v>0.14000000000000001</v>
      </c>
      <c r="AO188" s="3">
        <v>-0.18</v>
      </c>
      <c r="AP188" s="3">
        <v>0</v>
      </c>
      <c r="AY188" s="3">
        <v>0</v>
      </c>
      <c r="AZ188" t="s">
        <v>8267</v>
      </c>
      <c r="BA188" t="s">
        <v>8268</v>
      </c>
      <c r="BJ188" s="3">
        <v>0.81299999999999994</v>
      </c>
      <c r="BK188" s="3">
        <v>1.7999999999999999E-2</v>
      </c>
      <c r="BL188" s="3">
        <v>-1.2E-2</v>
      </c>
      <c r="BM188" s="3">
        <v>0</v>
      </c>
      <c r="BW188" t="s">
        <v>7936</v>
      </c>
      <c r="BX188" t="s">
        <v>8261</v>
      </c>
      <c r="BY188" s="3">
        <v>49.999766600000001</v>
      </c>
      <c r="BZ188" t="s">
        <v>8262</v>
      </c>
      <c r="CA188" s="3">
        <v>-43.066653299999999</v>
      </c>
      <c r="CB188" s="3">
        <v>6.0027799999999996</v>
      </c>
      <c r="CC188" s="3">
        <v>8.5400000000000007E-3</v>
      </c>
      <c r="CD188" s="3">
        <v>-8.5100000000000002E-3</v>
      </c>
      <c r="CE188" s="3">
        <v>4.26</v>
      </c>
      <c r="CF188" s="3">
        <v>0.03</v>
      </c>
      <c r="CG188" s="3">
        <v>-0.03</v>
      </c>
      <c r="CH188" s="3">
        <v>2.6360000000000001</v>
      </c>
      <c r="CI188" s="3">
        <v>0.27800000000000002</v>
      </c>
      <c r="CJ188" s="3">
        <v>-0.27800000000000002</v>
      </c>
      <c r="CK188" s="3">
        <v>4.0663499999999999</v>
      </c>
      <c r="CL188" s="3">
        <v>5.1022999999999997E-3</v>
      </c>
      <c r="CM188" s="3">
        <v>-5.1022999999999997E-3</v>
      </c>
      <c r="CN188" t="s">
        <v>1614</v>
      </c>
      <c r="CO188" t="s">
        <v>8128</v>
      </c>
      <c r="CP188" t="s">
        <v>8269</v>
      </c>
    </row>
    <row r="189" spans="1:94" x14ac:dyDescent="0.45">
      <c r="A189" t="s">
        <v>629</v>
      </c>
      <c r="B189">
        <v>1</v>
      </c>
      <c r="C189" t="s">
        <v>1615</v>
      </c>
      <c r="D189" t="s">
        <v>630</v>
      </c>
      <c r="E189" s="3">
        <v>1</v>
      </c>
      <c r="F189" s="3">
        <v>1</v>
      </c>
      <c r="G189" s="3">
        <v>4</v>
      </c>
      <c r="H189" t="s">
        <v>1427</v>
      </c>
      <c r="I189" s="3">
        <v>2025</v>
      </c>
      <c r="J189" t="s">
        <v>7932</v>
      </c>
      <c r="K189" t="s">
        <v>1429</v>
      </c>
      <c r="L189" s="3">
        <v>0</v>
      </c>
      <c r="M189" t="s">
        <v>8265</v>
      </c>
      <c r="N189" s="3">
        <v>647.6</v>
      </c>
      <c r="O189" s="3">
        <v>2.5</v>
      </c>
      <c r="P189" s="3">
        <v>-2.7</v>
      </c>
      <c r="Q189" s="3">
        <v>0</v>
      </c>
      <c r="R189" s="3">
        <v>1.3541000000000001</v>
      </c>
      <c r="S189" s="3">
        <v>6.7999999999999996E-3</v>
      </c>
      <c r="T189" s="3">
        <v>-6.7999999999999996E-3</v>
      </c>
      <c r="U189" s="3">
        <v>0</v>
      </c>
      <c r="AD189" s="3">
        <v>5.82</v>
      </c>
      <c r="AE189" s="3">
        <v>0.56999999999999995</v>
      </c>
      <c r="AF189" s="3">
        <v>-0.56999999999999995</v>
      </c>
      <c r="AG189" s="3">
        <v>0</v>
      </c>
      <c r="AH189" s="3">
        <v>1.8311770000000002E-2</v>
      </c>
      <c r="AI189" s="3">
        <v>1.79342E-3</v>
      </c>
      <c r="AJ189" s="3">
        <v>-1.79342E-3</v>
      </c>
      <c r="AK189" s="3">
        <v>0</v>
      </c>
      <c r="AL189" t="s">
        <v>1426</v>
      </c>
      <c r="AM189" s="3">
        <v>0.45</v>
      </c>
      <c r="AN189" s="3">
        <v>0.1</v>
      </c>
      <c r="AO189" s="3">
        <v>-0.11</v>
      </c>
      <c r="AP189" s="3">
        <v>0</v>
      </c>
      <c r="AY189" s="3">
        <v>0</v>
      </c>
      <c r="AZ189" t="s">
        <v>8265</v>
      </c>
      <c r="BA189" t="s">
        <v>8266</v>
      </c>
      <c r="BB189" s="3">
        <v>5368</v>
      </c>
      <c r="BC189" s="3">
        <v>64</v>
      </c>
      <c r="BD189" s="3">
        <v>-64</v>
      </c>
      <c r="BE189" s="3">
        <v>0</v>
      </c>
      <c r="BF189" s="3">
        <v>0.93</v>
      </c>
      <c r="BG189" s="3">
        <v>0.03</v>
      </c>
      <c r="BH189" s="3">
        <v>-0.03</v>
      </c>
      <c r="BI189" s="3">
        <v>0</v>
      </c>
      <c r="BJ189" s="3">
        <v>0.79</v>
      </c>
      <c r="BK189" s="3">
        <v>0.01</v>
      </c>
      <c r="BL189" s="3">
        <v>-0.01</v>
      </c>
      <c r="BM189" s="3">
        <v>0</v>
      </c>
      <c r="BN189" s="3">
        <v>-0.42</v>
      </c>
      <c r="BO189" s="3">
        <v>0.02</v>
      </c>
      <c r="BP189" s="3">
        <v>-0.02</v>
      </c>
      <c r="BQ189" s="3">
        <v>0</v>
      </c>
      <c r="BR189" t="s">
        <v>7935</v>
      </c>
      <c r="BS189" s="3">
        <v>4.3899999999999997</v>
      </c>
      <c r="BT189" s="3">
        <v>0.03</v>
      </c>
      <c r="BU189" s="3">
        <v>-0.03</v>
      </c>
      <c r="BV189" s="3">
        <v>0</v>
      </c>
      <c r="BW189" t="s">
        <v>7936</v>
      </c>
      <c r="BX189" t="s">
        <v>8261</v>
      </c>
      <c r="BY189" s="3">
        <v>49.999766600000001</v>
      </c>
      <c r="BZ189" t="s">
        <v>8262</v>
      </c>
      <c r="CA189" s="3">
        <v>-43.066653299999999</v>
      </c>
      <c r="CB189" s="3">
        <v>6.0027799999999996</v>
      </c>
      <c r="CC189" s="3">
        <v>8.5400000000000007E-3</v>
      </c>
      <c r="CD189" s="3">
        <v>-8.5100000000000002E-3</v>
      </c>
      <c r="CE189" s="3">
        <v>4.26</v>
      </c>
      <c r="CF189" s="3">
        <v>0.03</v>
      </c>
      <c r="CG189" s="3">
        <v>-0.03</v>
      </c>
      <c r="CH189" s="3">
        <v>2.6360000000000001</v>
      </c>
      <c r="CI189" s="3">
        <v>0.27800000000000002</v>
      </c>
      <c r="CJ189" s="3">
        <v>-0.27800000000000002</v>
      </c>
      <c r="CK189" s="3">
        <v>4.0663499999999999</v>
      </c>
      <c r="CL189" s="3">
        <v>5.1022999999999997E-3</v>
      </c>
      <c r="CM189" s="3">
        <v>-5.1022999999999997E-3</v>
      </c>
      <c r="CN189" t="s">
        <v>1609</v>
      </c>
      <c r="CO189" t="s">
        <v>8241</v>
      </c>
      <c r="CP189" t="s">
        <v>1609</v>
      </c>
    </row>
    <row r="190" spans="1:94" x14ac:dyDescent="0.45">
      <c r="A190" t="s">
        <v>728</v>
      </c>
      <c r="B190">
        <v>0</v>
      </c>
      <c r="C190" t="s">
        <v>1616</v>
      </c>
      <c r="D190" t="s">
        <v>729</v>
      </c>
      <c r="E190" s="3">
        <v>0</v>
      </c>
      <c r="F190" s="3">
        <v>1</v>
      </c>
      <c r="G190" s="3">
        <v>6</v>
      </c>
      <c r="H190" t="s">
        <v>1427</v>
      </c>
      <c r="I190" s="3">
        <v>2015</v>
      </c>
      <c r="J190" t="s">
        <v>7996</v>
      </c>
      <c r="K190" t="s">
        <v>1429</v>
      </c>
      <c r="L190" s="3">
        <v>0</v>
      </c>
      <c r="M190" t="s">
        <v>7942</v>
      </c>
      <c r="N190" s="3">
        <v>3.0929470000000001</v>
      </c>
      <c r="O190" s="3">
        <v>7.6000000000000004E-5</v>
      </c>
      <c r="P190" s="3">
        <v>-7.8999999999999996E-5</v>
      </c>
      <c r="Q190" s="3">
        <v>0</v>
      </c>
      <c r="R190" s="3">
        <v>3.8379999999999997E-2</v>
      </c>
      <c r="S190" s="3">
        <v>4.4000000000000002E-4</v>
      </c>
      <c r="T190" s="3">
        <v>-4.4000000000000002E-4</v>
      </c>
      <c r="U190" s="3">
        <v>0</v>
      </c>
      <c r="AD190" s="3">
        <v>4.1317692900000003</v>
      </c>
      <c r="AE190" s="3">
        <v>0.31782841000000001</v>
      </c>
      <c r="AF190" s="3">
        <v>-0.34961124999999998</v>
      </c>
      <c r="AG190" s="3">
        <v>0</v>
      </c>
      <c r="AH190" s="3">
        <v>1.2999999999999999E-2</v>
      </c>
      <c r="AI190" s="3">
        <v>1E-3</v>
      </c>
      <c r="AJ190" s="3">
        <v>-1.1000000000000001E-3</v>
      </c>
      <c r="AK190" s="3">
        <v>0</v>
      </c>
      <c r="AL190" t="s">
        <v>1426</v>
      </c>
      <c r="AM190" s="3">
        <v>6.3E-2</v>
      </c>
      <c r="AN190" s="3">
        <v>7.0000000000000007E-2</v>
      </c>
      <c r="AO190" s="3">
        <v>-4.4999999999999998E-2</v>
      </c>
      <c r="AP190" s="3">
        <v>0</v>
      </c>
      <c r="AY190" s="3">
        <v>0</v>
      </c>
      <c r="AZ190" t="s">
        <v>7942</v>
      </c>
      <c r="BB190" s="3">
        <v>4817.1400000000003</v>
      </c>
      <c r="BC190" s="3">
        <v>62.04</v>
      </c>
      <c r="BD190" s="3">
        <v>-62.04</v>
      </c>
      <c r="BE190" s="3">
        <v>0</v>
      </c>
      <c r="BF190" s="3">
        <v>0.75746599999999997</v>
      </c>
      <c r="BG190" s="3">
        <v>1.2968E-2</v>
      </c>
      <c r="BH190" s="3">
        <v>-1.2968E-2</v>
      </c>
      <c r="BI190" s="3">
        <v>0</v>
      </c>
      <c r="BJ190" s="3">
        <v>0.78848399999999996</v>
      </c>
      <c r="BK190" s="3">
        <v>2.6654000000000001E-2</v>
      </c>
      <c r="BL190" s="3">
        <v>-2.6654000000000001E-2</v>
      </c>
      <c r="BM190" s="3">
        <v>0</v>
      </c>
      <c r="BN190" s="3">
        <v>8.3400000000000002E-2</v>
      </c>
      <c r="BO190" s="3">
        <v>5.8500000000000003E-2</v>
      </c>
      <c r="BP190" s="3">
        <v>-5.8500000000000003E-2</v>
      </c>
      <c r="BQ190" s="3">
        <v>0</v>
      </c>
      <c r="BR190" t="s">
        <v>7935</v>
      </c>
      <c r="BS190" s="3">
        <v>4.5748920000000002</v>
      </c>
      <c r="BT190" s="3">
        <v>2.1159000000000001E-2</v>
      </c>
      <c r="BU190" s="3">
        <v>-2.1159000000000001E-2</v>
      </c>
      <c r="BV190" s="3">
        <v>0</v>
      </c>
      <c r="BW190" t="s">
        <v>7936</v>
      </c>
      <c r="BX190" t="s">
        <v>8270</v>
      </c>
      <c r="BY190" s="3">
        <v>348.33720260000001</v>
      </c>
      <c r="BZ190" t="s">
        <v>8271</v>
      </c>
      <c r="CA190" s="3">
        <v>57.169625500000002</v>
      </c>
      <c r="CB190" s="3">
        <v>6.5312700000000001</v>
      </c>
      <c r="CC190" s="3">
        <v>3.8400000000000001E-3</v>
      </c>
      <c r="CD190" s="3">
        <v>-3.8500000000000001E-3</v>
      </c>
      <c r="CE190" s="3">
        <v>5.5691100000000002</v>
      </c>
      <c r="CF190" s="3">
        <v>2.3E-2</v>
      </c>
      <c r="CG190" s="3">
        <v>-2.3E-2</v>
      </c>
      <c r="CH190" s="3">
        <v>3.2610000000000001</v>
      </c>
      <c r="CI190" s="3">
        <v>0.30399999999999999</v>
      </c>
      <c r="CJ190" s="3">
        <v>-0.30399999999999999</v>
      </c>
      <c r="CK190" s="3">
        <v>5.2401999999999997</v>
      </c>
      <c r="CL190" s="3">
        <v>2.2257000000000002E-3</v>
      </c>
      <c r="CM190" s="3">
        <v>-2.2257000000000002E-3</v>
      </c>
      <c r="CN190" t="s">
        <v>8206</v>
      </c>
      <c r="CO190" t="s">
        <v>7944</v>
      </c>
      <c r="CP190" t="s">
        <v>8206</v>
      </c>
    </row>
    <row r="191" spans="1:94" x14ac:dyDescent="0.45">
      <c r="A191" t="s">
        <v>728</v>
      </c>
      <c r="B191">
        <v>0</v>
      </c>
      <c r="C191" t="s">
        <v>1616</v>
      </c>
      <c r="D191" t="s">
        <v>729</v>
      </c>
      <c r="E191" s="3">
        <v>0</v>
      </c>
      <c r="F191" s="3">
        <v>1</v>
      </c>
      <c r="G191" s="3">
        <v>6</v>
      </c>
      <c r="H191" t="s">
        <v>1427</v>
      </c>
      <c r="I191" s="3">
        <v>2015</v>
      </c>
      <c r="J191" t="s">
        <v>7996</v>
      </c>
      <c r="K191" t="s">
        <v>1429</v>
      </c>
      <c r="L191" s="3">
        <v>0</v>
      </c>
      <c r="M191" t="s">
        <v>8272</v>
      </c>
      <c r="N191" s="3">
        <v>3.0929199999999999</v>
      </c>
      <c r="O191" s="3">
        <v>1.1E-5</v>
      </c>
      <c r="P191" s="3">
        <v>-1.1E-5</v>
      </c>
      <c r="Q191" s="3">
        <v>0</v>
      </c>
      <c r="R191" s="3">
        <v>3.8629999999999998E-2</v>
      </c>
      <c r="S191" s="3">
        <v>6.2E-4</v>
      </c>
      <c r="T191" s="3">
        <v>-6.2E-4</v>
      </c>
      <c r="U191" s="3">
        <v>0</v>
      </c>
      <c r="V191" s="3">
        <v>1.5329999999999999</v>
      </c>
      <c r="W191" s="3">
        <v>9.7000000000000003E-2</v>
      </c>
      <c r="X191" s="3">
        <v>-7.8E-2</v>
      </c>
      <c r="Y191" s="3">
        <v>0</v>
      </c>
      <c r="Z191" s="3">
        <v>0.13676532999999999</v>
      </c>
      <c r="AA191" s="3">
        <v>8.6537799999999998E-3</v>
      </c>
      <c r="AB191" s="3">
        <v>-6.9587099999999999E-3</v>
      </c>
      <c r="AC191" s="3">
        <v>0</v>
      </c>
      <c r="AU191" s="3">
        <v>930.1</v>
      </c>
      <c r="AV191" s="3">
        <v>7.6</v>
      </c>
      <c r="AW191" s="3">
        <v>-7.6</v>
      </c>
      <c r="AX191" s="3">
        <v>0</v>
      </c>
      <c r="AY191" s="3">
        <v>0</v>
      </c>
      <c r="AZ191" t="s">
        <v>8272</v>
      </c>
      <c r="BB191" s="3">
        <v>4700</v>
      </c>
      <c r="BC191" s="3">
        <v>20</v>
      </c>
      <c r="BD191" s="3">
        <v>-20</v>
      </c>
      <c r="BE191" s="3">
        <v>0</v>
      </c>
      <c r="BF191" s="3">
        <v>0.77800000000000002</v>
      </c>
      <c r="BG191" s="3">
        <v>5.0000000000000001E-3</v>
      </c>
      <c r="BH191" s="3">
        <v>-5.0000000000000001E-3</v>
      </c>
      <c r="BI191" s="3">
        <v>0</v>
      </c>
      <c r="BJ191" s="3">
        <v>0.81</v>
      </c>
      <c r="BK191" s="3">
        <v>0.03</v>
      </c>
      <c r="BL191" s="3">
        <v>-0.03</v>
      </c>
      <c r="BM191" s="3">
        <v>0</v>
      </c>
      <c r="BN191" s="3">
        <v>0.11</v>
      </c>
      <c r="BO191" s="3">
        <v>0.04</v>
      </c>
      <c r="BP191" s="3">
        <v>-0.04</v>
      </c>
      <c r="BQ191" s="3">
        <v>0</v>
      </c>
      <c r="BR191" t="s">
        <v>7935</v>
      </c>
      <c r="BS191" s="3">
        <v>4.5670000000000002</v>
      </c>
      <c r="BT191" s="3">
        <v>1.7999999999999999E-2</v>
      </c>
      <c r="BU191" s="3">
        <v>-1.7999999999999999E-2</v>
      </c>
      <c r="BV191" s="3">
        <v>0</v>
      </c>
      <c r="BW191" t="s">
        <v>7936</v>
      </c>
      <c r="BX191" t="s">
        <v>8270</v>
      </c>
      <c r="BY191" s="3">
        <v>348.33720260000001</v>
      </c>
      <c r="BZ191" t="s">
        <v>8271</v>
      </c>
      <c r="CA191" s="3">
        <v>57.169625500000002</v>
      </c>
      <c r="CB191" s="3">
        <v>6.5312700000000001</v>
      </c>
      <c r="CC191" s="3">
        <v>3.8400000000000001E-3</v>
      </c>
      <c r="CD191" s="3">
        <v>-3.8500000000000001E-3</v>
      </c>
      <c r="CE191" s="3">
        <v>5.5691100000000002</v>
      </c>
      <c r="CF191" s="3">
        <v>2.3E-2</v>
      </c>
      <c r="CG191" s="3">
        <v>-2.3E-2</v>
      </c>
      <c r="CH191" s="3">
        <v>3.2610000000000001</v>
      </c>
      <c r="CI191" s="3">
        <v>0.30399999999999999</v>
      </c>
      <c r="CJ191" s="3">
        <v>-0.30399999999999999</v>
      </c>
      <c r="CK191" s="3">
        <v>5.2401999999999997</v>
      </c>
      <c r="CL191" s="3">
        <v>2.2257000000000002E-3</v>
      </c>
      <c r="CM191" s="3">
        <v>-2.2257000000000002E-3</v>
      </c>
      <c r="CN191" t="s">
        <v>8273</v>
      </c>
      <c r="CO191" t="s">
        <v>8095</v>
      </c>
      <c r="CP191" t="s">
        <v>8273</v>
      </c>
    </row>
    <row r="192" spans="1:94" x14ac:dyDescent="0.45">
      <c r="A192" t="s">
        <v>728</v>
      </c>
      <c r="B192">
        <v>0</v>
      </c>
      <c r="C192" t="s">
        <v>1616</v>
      </c>
      <c r="D192" t="s">
        <v>729</v>
      </c>
      <c r="E192" s="3">
        <v>0</v>
      </c>
      <c r="F192" s="3">
        <v>1</v>
      </c>
      <c r="G192" s="3">
        <v>6</v>
      </c>
      <c r="H192" t="s">
        <v>1427</v>
      </c>
      <c r="I192" s="3">
        <v>2015</v>
      </c>
      <c r="J192" t="s">
        <v>7996</v>
      </c>
      <c r="K192" t="s">
        <v>8046</v>
      </c>
      <c r="L192" s="3">
        <v>0</v>
      </c>
      <c r="M192" t="s">
        <v>8047</v>
      </c>
      <c r="N192" s="3">
        <v>3.0929386000000001</v>
      </c>
      <c r="O192" s="3">
        <v>1.3E-6</v>
      </c>
      <c r="P192" s="3">
        <v>-1.3E-6</v>
      </c>
      <c r="Q192" s="3">
        <v>0</v>
      </c>
      <c r="V192" s="3">
        <v>1.2815317100000001</v>
      </c>
      <c r="W192" s="3">
        <v>0.31337672</v>
      </c>
      <c r="X192" s="3">
        <v>-0.31337672</v>
      </c>
      <c r="Y192" s="3">
        <v>0</v>
      </c>
      <c r="Z192" s="3">
        <v>0.1143308</v>
      </c>
      <c r="AA192" s="3">
        <v>2.7957650000000001E-2</v>
      </c>
      <c r="AB192" s="3">
        <v>-2.7957650000000001E-2</v>
      </c>
      <c r="AC192" s="3">
        <v>0</v>
      </c>
      <c r="AQ192" s="3">
        <v>192.93049999999999</v>
      </c>
      <c r="AT192" s="3">
        <v>0</v>
      </c>
      <c r="AU192" s="3">
        <v>950.54</v>
      </c>
      <c r="AX192" s="3">
        <v>0</v>
      </c>
      <c r="AY192" s="3">
        <v>0</v>
      </c>
      <c r="AZ192" t="s">
        <v>8047</v>
      </c>
      <c r="BB192" s="3">
        <v>4884.29</v>
      </c>
      <c r="BC192" s="3">
        <v>142.84</v>
      </c>
      <c r="BD192" s="3">
        <v>-142.84</v>
      </c>
      <c r="BE192" s="3">
        <v>0</v>
      </c>
      <c r="BF192" s="3">
        <v>0.75059799999999999</v>
      </c>
      <c r="BG192" s="3">
        <v>5.7535000000000003E-2</v>
      </c>
      <c r="BH192" s="3">
        <v>-5.7535000000000003E-2</v>
      </c>
      <c r="BI192" s="3">
        <v>0</v>
      </c>
      <c r="BS192" s="3">
        <v>4.5903400000000003</v>
      </c>
      <c r="BT192" s="3">
        <v>9.9051E-2</v>
      </c>
      <c r="BU192" s="3">
        <v>-9.9051E-2</v>
      </c>
      <c r="BV192" s="3">
        <v>0</v>
      </c>
      <c r="BW192" t="s">
        <v>7936</v>
      </c>
      <c r="BX192" t="s">
        <v>8270</v>
      </c>
      <c r="BY192" s="3">
        <v>348.33720260000001</v>
      </c>
      <c r="BZ192" t="s">
        <v>8271</v>
      </c>
      <c r="CA192" s="3">
        <v>57.169625500000002</v>
      </c>
      <c r="CB192" s="3">
        <v>6.5312700000000001</v>
      </c>
      <c r="CC192" s="3">
        <v>3.8400000000000001E-3</v>
      </c>
      <c r="CD192" s="3">
        <v>-3.8500000000000001E-3</v>
      </c>
      <c r="CE192" s="3">
        <v>5.5691100000000002</v>
      </c>
      <c r="CF192" s="3">
        <v>2.3E-2</v>
      </c>
      <c r="CG192" s="3">
        <v>-2.3E-2</v>
      </c>
      <c r="CH192" s="3">
        <v>3.2610000000000001</v>
      </c>
      <c r="CI192" s="3">
        <v>0.30399999999999999</v>
      </c>
      <c r="CJ192" s="3">
        <v>-0.30399999999999999</v>
      </c>
      <c r="CK192" s="3">
        <v>5.2401999999999997</v>
      </c>
      <c r="CL192" s="3">
        <v>2.2257000000000002E-3</v>
      </c>
      <c r="CM192" s="3">
        <v>-2.2257000000000002E-3</v>
      </c>
      <c r="CN192" t="s">
        <v>8274</v>
      </c>
      <c r="CO192" t="s">
        <v>8049</v>
      </c>
      <c r="CP192" t="s">
        <v>8274</v>
      </c>
    </row>
    <row r="193" spans="1:94" x14ac:dyDescent="0.45">
      <c r="A193" t="s">
        <v>728</v>
      </c>
      <c r="B193">
        <v>0</v>
      </c>
      <c r="C193" t="s">
        <v>1616</v>
      </c>
      <c r="D193" t="s">
        <v>729</v>
      </c>
      <c r="E193" s="3">
        <v>0</v>
      </c>
      <c r="F193" s="3">
        <v>1</v>
      </c>
      <c r="G193" s="3">
        <v>6</v>
      </c>
      <c r="H193" t="s">
        <v>1427</v>
      </c>
      <c r="I193" s="3">
        <v>2015</v>
      </c>
      <c r="J193" t="s">
        <v>7996</v>
      </c>
      <c r="K193" t="s">
        <v>1429</v>
      </c>
      <c r="L193" s="3">
        <v>0</v>
      </c>
      <c r="M193" t="s">
        <v>7940</v>
      </c>
      <c r="N193" s="3">
        <v>3.0929259999999998</v>
      </c>
      <c r="O193" s="3">
        <v>6.7999999999999999E-5</v>
      </c>
      <c r="P193" s="3">
        <v>-6.7000000000000002E-5</v>
      </c>
      <c r="Q193" s="3">
        <v>0</v>
      </c>
      <c r="R193" s="3">
        <v>3.671E-2</v>
      </c>
      <c r="S193" s="3">
        <v>8.5999999999999998E-4</v>
      </c>
      <c r="T193" s="3">
        <v>-9.1E-4</v>
      </c>
      <c r="U193" s="3">
        <v>0</v>
      </c>
      <c r="AD193" s="3">
        <v>3.73</v>
      </c>
      <c r="AE193" s="3">
        <v>0.34</v>
      </c>
      <c r="AF193" s="3">
        <v>-0.33</v>
      </c>
      <c r="AG193" s="3">
        <v>0</v>
      </c>
      <c r="AH193" s="3">
        <v>1.1735890000000001E-2</v>
      </c>
      <c r="AI193" s="3">
        <v>1.0697599999999999E-3</v>
      </c>
      <c r="AJ193" s="3">
        <v>-1.0383E-3</v>
      </c>
      <c r="AK193" s="3">
        <v>0</v>
      </c>
      <c r="AL193" t="s">
        <v>1426</v>
      </c>
      <c r="AM193" s="3">
        <v>0.121</v>
      </c>
      <c r="AN193" s="3">
        <v>8.4000000000000005E-2</v>
      </c>
      <c r="AO193" s="3">
        <v>-7.6999999999999999E-2</v>
      </c>
      <c r="AP193" s="3">
        <v>0</v>
      </c>
      <c r="AY193" s="3">
        <v>0</v>
      </c>
      <c r="AZ193" t="s">
        <v>7940</v>
      </c>
      <c r="BB193" s="3">
        <v>4874</v>
      </c>
      <c r="BE193" s="3">
        <v>0</v>
      </c>
      <c r="BW193" t="s">
        <v>7936</v>
      </c>
      <c r="BX193" t="s">
        <v>8270</v>
      </c>
      <c r="BY193" s="3">
        <v>348.33720260000001</v>
      </c>
      <c r="BZ193" t="s">
        <v>8271</v>
      </c>
      <c r="CA193" s="3">
        <v>57.169625500000002</v>
      </c>
      <c r="CB193" s="3">
        <v>6.5312700000000001</v>
      </c>
      <c r="CC193" s="3">
        <v>3.8400000000000001E-3</v>
      </c>
      <c r="CD193" s="3">
        <v>-3.8500000000000001E-3</v>
      </c>
      <c r="CE193" s="3">
        <v>5.5691100000000002</v>
      </c>
      <c r="CF193" s="3">
        <v>2.3E-2</v>
      </c>
      <c r="CG193" s="3">
        <v>-2.3E-2</v>
      </c>
      <c r="CH193" s="3">
        <v>3.2610000000000001</v>
      </c>
      <c r="CI193" s="3">
        <v>0.30399999999999999</v>
      </c>
      <c r="CJ193" s="3">
        <v>-0.30399999999999999</v>
      </c>
      <c r="CK193" s="3">
        <v>5.2401999999999997</v>
      </c>
      <c r="CL193" s="3">
        <v>2.2257000000000002E-3</v>
      </c>
      <c r="CM193" s="3">
        <v>-2.2257000000000002E-3</v>
      </c>
      <c r="CN193" t="s">
        <v>1513</v>
      </c>
      <c r="CO193" t="s">
        <v>7941</v>
      </c>
      <c r="CP193" t="s">
        <v>1513</v>
      </c>
    </row>
    <row r="194" spans="1:94" x14ac:dyDescent="0.45">
      <c r="A194" t="s">
        <v>728</v>
      </c>
      <c r="B194">
        <v>1</v>
      </c>
      <c r="C194" t="s">
        <v>1616</v>
      </c>
      <c r="D194" t="s">
        <v>729</v>
      </c>
      <c r="E194" s="3">
        <v>1</v>
      </c>
      <c r="F194" s="3">
        <v>1</v>
      </c>
      <c r="G194" s="3">
        <v>6</v>
      </c>
      <c r="H194" t="s">
        <v>1427</v>
      </c>
      <c r="I194" s="3">
        <v>2015</v>
      </c>
      <c r="J194" t="s">
        <v>7996</v>
      </c>
      <c r="K194" t="s">
        <v>1429</v>
      </c>
      <c r="L194" s="3">
        <v>0</v>
      </c>
      <c r="M194" t="s">
        <v>8275</v>
      </c>
      <c r="N194" s="3">
        <v>3.0929259999999998</v>
      </c>
      <c r="O194" s="3">
        <v>1.0000000000000001E-5</v>
      </c>
      <c r="P194" s="3">
        <v>-1.0000000000000001E-5</v>
      </c>
      <c r="Q194" s="3">
        <v>0</v>
      </c>
      <c r="R194" s="3">
        <v>3.8760000000000003E-2</v>
      </c>
      <c r="S194" s="3">
        <v>4.6999999999999999E-4</v>
      </c>
      <c r="T194" s="3">
        <v>-4.6999999999999999E-4</v>
      </c>
      <c r="U194" s="3">
        <v>0</v>
      </c>
      <c r="V194" s="3">
        <v>1.6020000000000001</v>
      </c>
      <c r="W194" s="3">
        <v>5.5E-2</v>
      </c>
      <c r="X194" s="3">
        <v>-5.5E-2</v>
      </c>
      <c r="Y194" s="3">
        <v>0</v>
      </c>
      <c r="Z194" s="3">
        <v>0.14292087000000001</v>
      </c>
      <c r="AA194" s="3">
        <v>4.9067700000000004E-3</v>
      </c>
      <c r="AB194" s="3">
        <v>-4.9067700000000004E-3</v>
      </c>
      <c r="AC194" s="3">
        <v>0</v>
      </c>
      <c r="AD194" s="3">
        <v>4.74</v>
      </c>
      <c r="AE194" s="3">
        <v>0.19</v>
      </c>
      <c r="AF194" s="3">
        <v>-0.19</v>
      </c>
      <c r="AG194" s="3">
        <v>0</v>
      </c>
      <c r="AH194" s="3">
        <v>1.4913630000000001E-2</v>
      </c>
      <c r="AI194" s="3">
        <v>5.978E-4</v>
      </c>
      <c r="AJ194" s="3">
        <v>-5.978E-4</v>
      </c>
      <c r="AK194" s="3">
        <v>0</v>
      </c>
      <c r="AL194" t="s">
        <v>1453</v>
      </c>
      <c r="AM194" s="3">
        <v>0</v>
      </c>
      <c r="AP194" s="3">
        <v>0</v>
      </c>
      <c r="AQ194" s="3">
        <v>176.2</v>
      </c>
      <c r="AR194" s="3">
        <v>5.5</v>
      </c>
      <c r="AS194" s="3">
        <v>-5.5</v>
      </c>
      <c r="AT194" s="3">
        <v>0</v>
      </c>
      <c r="AU194" s="3">
        <v>1015</v>
      </c>
      <c r="AV194" s="3">
        <v>8</v>
      </c>
      <c r="AW194" s="3">
        <v>-8</v>
      </c>
      <c r="AX194" s="3">
        <v>0</v>
      </c>
      <c r="AY194" s="3">
        <v>0</v>
      </c>
      <c r="AZ194" t="s">
        <v>8275</v>
      </c>
      <c r="BB194" s="3">
        <v>4699</v>
      </c>
      <c r="BC194" s="3">
        <v>16</v>
      </c>
      <c r="BD194" s="3">
        <v>-16</v>
      </c>
      <c r="BE194" s="3">
        <v>0</v>
      </c>
      <c r="BF194" s="3">
        <v>0.77800000000000002</v>
      </c>
      <c r="BG194" s="3">
        <v>5.0000000000000001E-3</v>
      </c>
      <c r="BH194" s="3">
        <v>-5.0000000000000001E-3</v>
      </c>
      <c r="BI194" s="3">
        <v>0</v>
      </c>
      <c r="BJ194" s="3">
        <v>0.81</v>
      </c>
      <c r="BK194" s="3">
        <v>0.03</v>
      </c>
      <c r="BL194" s="3">
        <v>-0.03</v>
      </c>
      <c r="BM194" s="3">
        <v>0</v>
      </c>
      <c r="BN194" s="3">
        <v>0.11</v>
      </c>
      <c r="BO194" s="3">
        <v>0.04</v>
      </c>
      <c r="BP194" s="3">
        <v>-0.04</v>
      </c>
      <c r="BQ194" s="3">
        <v>0</v>
      </c>
      <c r="BR194" t="s">
        <v>7935</v>
      </c>
      <c r="BS194" s="3">
        <v>4.5670000000000002</v>
      </c>
      <c r="BT194" s="3">
        <v>1.7999999999999999E-2</v>
      </c>
      <c r="BU194" s="3">
        <v>-1.7999999999999999E-2</v>
      </c>
      <c r="BV194" s="3">
        <v>0</v>
      </c>
      <c r="BW194" t="s">
        <v>7936</v>
      </c>
      <c r="BX194" t="s">
        <v>8270</v>
      </c>
      <c r="BY194" s="3">
        <v>348.33720260000001</v>
      </c>
      <c r="BZ194" t="s">
        <v>8271</v>
      </c>
      <c r="CA194" s="3">
        <v>57.169625500000002</v>
      </c>
      <c r="CB194" s="3">
        <v>6.5312700000000001</v>
      </c>
      <c r="CC194" s="3">
        <v>3.8400000000000001E-3</v>
      </c>
      <c r="CD194" s="3">
        <v>-3.8500000000000001E-3</v>
      </c>
      <c r="CE194" s="3">
        <v>5.5691100000000002</v>
      </c>
      <c r="CF194" s="3">
        <v>2.3E-2</v>
      </c>
      <c r="CG194" s="3">
        <v>-2.3E-2</v>
      </c>
      <c r="CH194" s="3">
        <v>3.2610000000000001</v>
      </c>
      <c r="CI194" s="3">
        <v>0.30399999999999999</v>
      </c>
      <c r="CJ194" s="3">
        <v>-0.30399999999999999</v>
      </c>
      <c r="CK194" s="3">
        <v>5.2401999999999997</v>
      </c>
      <c r="CL194" s="3">
        <v>2.2257000000000002E-3</v>
      </c>
      <c r="CM194" s="3">
        <v>-2.2257000000000002E-3</v>
      </c>
      <c r="CN194" t="s">
        <v>1619</v>
      </c>
      <c r="CO194" t="s">
        <v>8086</v>
      </c>
      <c r="CP194" t="s">
        <v>8276</v>
      </c>
    </row>
    <row r="195" spans="1:94" x14ac:dyDescent="0.45">
      <c r="A195" t="s">
        <v>728</v>
      </c>
      <c r="B195">
        <v>0</v>
      </c>
      <c r="C195" t="s">
        <v>1616</v>
      </c>
      <c r="D195" t="s">
        <v>729</v>
      </c>
      <c r="E195" s="3">
        <v>0</v>
      </c>
      <c r="F195" s="3">
        <v>1</v>
      </c>
      <c r="G195" s="3">
        <v>6</v>
      </c>
      <c r="H195" t="s">
        <v>1427</v>
      </c>
      <c r="I195" s="3">
        <v>2015</v>
      </c>
      <c r="J195" t="s">
        <v>7996</v>
      </c>
      <c r="K195" t="s">
        <v>1429</v>
      </c>
      <c r="L195" s="3">
        <v>0</v>
      </c>
      <c r="M195" t="s">
        <v>8039</v>
      </c>
      <c r="N195" s="3">
        <v>3.0929338</v>
      </c>
      <c r="O195" s="3">
        <v>1.7E-6</v>
      </c>
      <c r="P195" s="3">
        <v>-1.7E-6</v>
      </c>
      <c r="Q195" s="3">
        <v>0</v>
      </c>
      <c r="AY195" s="3">
        <v>0</v>
      </c>
      <c r="AZ195" t="s">
        <v>8277</v>
      </c>
      <c r="BA195" t="s">
        <v>8278</v>
      </c>
      <c r="BB195" s="3">
        <v>4699</v>
      </c>
      <c r="BC195" s="3">
        <v>16</v>
      </c>
      <c r="BD195" s="3">
        <v>-16</v>
      </c>
      <c r="BE195" s="3">
        <v>0</v>
      </c>
      <c r="BF195" s="3">
        <v>0.77800000000000002</v>
      </c>
      <c r="BG195" s="3">
        <v>5.0000000000000001E-3</v>
      </c>
      <c r="BH195" s="3">
        <v>-5.0000000000000001E-3</v>
      </c>
      <c r="BI195" s="3">
        <v>0</v>
      </c>
      <c r="BJ195" s="3">
        <v>0.78</v>
      </c>
      <c r="BK195" s="3">
        <v>0.02</v>
      </c>
      <c r="BL195" s="3">
        <v>-0.02</v>
      </c>
      <c r="BM195" s="3">
        <v>0</v>
      </c>
      <c r="BN195" s="3">
        <v>0.11</v>
      </c>
      <c r="BO195" s="3">
        <v>0.04</v>
      </c>
      <c r="BP195" s="3">
        <v>-0.04</v>
      </c>
      <c r="BQ195" s="3">
        <v>0</v>
      </c>
      <c r="BR195" t="s">
        <v>7935</v>
      </c>
      <c r="BS195" s="3">
        <v>4.63</v>
      </c>
      <c r="BT195" s="3">
        <v>0.1</v>
      </c>
      <c r="BU195" s="3">
        <v>-0.1</v>
      </c>
      <c r="BV195" s="3">
        <v>0</v>
      </c>
      <c r="BW195" t="s">
        <v>7936</v>
      </c>
      <c r="BX195" t="s">
        <v>8270</v>
      </c>
      <c r="BY195" s="3">
        <v>348.33720260000001</v>
      </c>
      <c r="BZ195" t="s">
        <v>8271</v>
      </c>
      <c r="CA195" s="3">
        <v>57.169625500000002</v>
      </c>
      <c r="CB195" s="3">
        <v>6.5312700000000001</v>
      </c>
      <c r="CC195" s="3">
        <v>3.8400000000000001E-3</v>
      </c>
      <c r="CD195" s="3">
        <v>-3.8500000000000001E-3</v>
      </c>
      <c r="CE195" s="3">
        <v>5.5691100000000002</v>
      </c>
      <c r="CF195" s="3">
        <v>2.3E-2</v>
      </c>
      <c r="CG195" s="3">
        <v>-2.3E-2</v>
      </c>
      <c r="CH195" s="3">
        <v>3.2610000000000001</v>
      </c>
      <c r="CI195" s="3">
        <v>0.30399999999999999</v>
      </c>
      <c r="CJ195" s="3">
        <v>-0.30399999999999999</v>
      </c>
      <c r="CK195" s="3">
        <v>5.2401999999999997</v>
      </c>
      <c r="CL195" s="3">
        <v>2.2257000000000002E-3</v>
      </c>
      <c r="CM195" s="3">
        <v>-2.2257000000000002E-3</v>
      </c>
      <c r="CN195" t="s">
        <v>8044</v>
      </c>
      <c r="CO195" t="s">
        <v>7980</v>
      </c>
      <c r="CP195" t="s">
        <v>8044</v>
      </c>
    </row>
    <row r="196" spans="1:94" x14ac:dyDescent="0.45">
      <c r="A196" t="s">
        <v>728</v>
      </c>
      <c r="B196">
        <v>0</v>
      </c>
      <c r="C196" t="s">
        <v>1616</v>
      </c>
      <c r="D196" t="s">
        <v>729</v>
      </c>
      <c r="E196" s="3">
        <v>0</v>
      </c>
      <c r="F196" s="3">
        <v>1</v>
      </c>
      <c r="G196" s="3">
        <v>6</v>
      </c>
      <c r="H196" t="s">
        <v>1427</v>
      </c>
      <c r="I196" s="3">
        <v>2015</v>
      </c>
      <c r="J196" t="s">
        <v>7996</v>
      </c>
      <c r="K196" t="s">
        <v>1429</v>
      </c>
      <c r="L196" s="3">
        <v>0</v>
      </c>
      <c r="M196" t="s">
        <v>8279</v>
      </c>
      <c r="N196" s="3">
        <v>3.0931000000000002</v>
      </c>
      <c r="O196" s="3">
        <v>1E-4</v>
      </c>
      <c r="P196" s="3">
        <v>-1E-4</v>
      </c>
      <c r="Q196" s="3">
        <v>0</v>
      </c>
      <c r="R196" s="3">
        <v>3.8474000000000001E-2</v>
      </c>
      <c r="S196" s="3">
        <v>7.9999999999999996E-7</v>
      </c>
      <c r="T196" s="3">
        <v>-7.9999999999999996E-7</v>
      </c>
      <c r="U196" s="3">
        <v>0</v>
      </c>
      <c r="AD196" s="3">
        <v>3.8139599999999998</v>
      </c>
      <c r="AE196" s="3">
        <v>0.31783</v>
      </c>
      <c r="AF196" s="3">
        <v>-0.31783</v>
      </c>
      <c r="AG196" s="3">
        <v>0</v>
      </c>
      <c r="AH196" s="3">
        <v>1.2E-2</v>
      </c>
      <c r="AI196" s="3">
        <v>1E-3</v>
      </c>
      <c r="AJ196" s="3">
        <v>-1E-3</v>
      </c>
      <c r="AK196" s="3">
        <v>0</v>
      </c>
      <c r="AL196" t="s">
        <v>1426</v>
      </c>
      <c r="AM196" s="3">
        <v>0</v>
      </c>
      <c r="AP196" s="3">
        <v>0</v>
      </c>
      <c r="AY196" s="3">
        <v>0</v>
      </c>
      <c r="AZ196" t="s">
        <v>8279</v>
      </c>
      <c r="BA196" t="s">
        <v>8278</v>
      </c>
      <c r="BB196" s="3">
        <v>4913</v>
      </c>
      <c r="BE196" s="3">
        <v>0</v>
      </c>
      <c r="BF196" s="3">
        <v>0.77</v>
      </c>
      <c r="BG196" s="3">
        <v>0.02</v>
      </c>
      <c r="BH196" s="3">
        <v>-0.02</v>
      </c>
      <c r="BI196" s="3">
        <v>0</v>
      </c>
      <c r="BJ196" s="3">
        <v>0.79400000000000004</v>
      </c>
      <c r="BK196" s="3">
        <v>3.6999999999999998E-2</v>
      </c>
      <c r="BL196" s="3">
        <v>-2.1999999999999999E-2</v>
      </c>
      <c r="BM196" s="3">
        <v>0</v>
      </c>
      <c r="BN196" s="3">
        <v>0.08</v>
      </c>
      <c r="BQ196" s="3">
        <v>0</v>
      </c>
      <c r="BR196" t="s">
        <v>7935</v>
      </c>
      <c r="BS196" s="3">
        <v>4.51</v>
      </c>
      <c r="BV196" s="3">
        <v>0</v>
      </c>
      <c r="BW196" t="s">
        <v>7936</v>
      </c>
      <c r="BX196" t="s">
        <v>8270</v>
      </c>
      <c r="BY196" s="3">
        <v>348.33720260000001</v>
      </c>
      <c r="BZ196" t="s">
        <v>8271</v>
      </c>
      <c r="CA196" s="3">
        <v>57.169625500000002</v>
      </c>
      <c r="CB196" s="3">
        <v>6.5312700000000001</v>
      </c>
      <c r="CC196" s="3">
        <v>3.8400000000000001E-3</v>
      </c>
      <c r="CD196" s="3">
        <v>-3.8500000000000001E-3</v>
      </c>
      <c r="CE196" s="3">
        <v>5.5691100000000002</v>
      </c>
      <c r="CF196" s="3">
        <v>2.3E-2</v>
      </c>
      <c r="CG196" s="3">
        <v>-2.3E-2</v>
      </c>
      <c r="CH196" s="3">
        <v>3.2610000000000001</v>
      </c>
      <c r="CI196" s="3">
        <v>0.30399999999999999</v>
      </c>
      <c r="CJ196" s="3">
        <v>-0.30399999999999999</v>
      </c>
      <c r="CK196" s="3">
        <v>5.2401999999999997</v>
      </c>
      <c r="CL196" s="3">
        <v>2.2257000000000002E-3</v>
      </c>
      <c r="CM196" s="3">
        <v>-2.2257000000000002E-3</v>
      </c>
      <c r="CN196" t="s">
        <v>1619</v>
      </c>
      <c r="CO196" t="s">
        <v>8280</v>
      </c>
      <c r="CP196" t="s">
        <v>8281</v>
      </c>
    </row>
    <row r="197" spans="1:94" x14ac:dyDescent="0.45">
      <c r="A197" t="s">
        <v>728</v>
      </c>
      <c r="B197">
        <v>0</v>
      </c>
      <c r="C197" t="s">
        <v>1616</v>
      </c>
      <c r="D197" t="s">
        <v>729</v>
      </c>
      <c r="E197" s="3">
        <v>0</v>
      </c>
      <c r="F197" s="3">
        <v>1</v>
      </c>
      <c r="G197" s="3">
        <v>6</v>
      </c>
      <c r="H197" t="s">
        <v>1427</v>
      </c>
      <c r="I197" s="3">
        <v>2015</v>
      </c>
      <c r="J197" t="s">
        <v>7996</v>
      </c>
      <c r="K197" t="s">
        <v>1429</v>
      </c>
      <c r="L197" s="3">
        <v>0</v>
      </c>
      <c r="M197" t="s">
        <v>8277</v>
      </c>
      <c r="N197" s="3">
        <v>3.0935000000000001</v>
      </c>
      <c r="O197" s="3">
        <v>2.9999999999999997E-4</v>
      </c>
      <c r="P197" s="3">
        <v>-2.9999999999999997E-4</v>
      </c>
      <c r="Q197" s="3">
        <v>0</v>
      </c>
      <c r="R197" s="3">
        <v>3.8199999999999998E-2</v>
      </c>
      <c r="S197" s="3">
        <v>2.9999999999999997E-4</v>
      </c>
      <c r="T197" s="3">
        <v>-2.9999999999999997E-4</v>
      </c>
      <c r="U197" s="3">
        <v>0</v>
      </c>
      <c r="V197" s="3">
        <v>1.6060000000000001</v>
      </c>
      <c r="W197" s="3">
        <v>8.5999999999999993E-2</v>
      </c>
      <c r="X197" s="3">
        <v>-8.5999999999999993E-2</v>
      </c>
      <c r="Y197" s="3">
        <v>0</v>
      </c>
      <c r="Z197" s="3">
        <v>0.14327772</v>
      </c>
      <c r="AA197" s="3">
        <v>7.6724100000000002E-3</v>
      </c>
      <c r="AB197" s="3">
        <v>-7.6724100000000002E-3</v>
      </c>
      <c r="AC197" s="3">
        <v>0</v>
      </c>
      <c r="AD197" s="3">
        <v>4.3361198999999999</v>
      </c>
      <c r="AE197" s="3">
        <v>0.44164184000000001</v>
      </c>
      <c r="AF197" s="3">
        <v>-0.44164184000000001</v>
      </c>
      <c r="AG197" s="3">
        <v>0</v>
      </c>
      <c r="AH197" s="3">
        <v>1.364289E-2</v>
      </c>
      <c r="AI197" s="3">
        <v>1.38955E-3</v>
      </c>
      <c r="AJ197" s="3">
        <v>-1.38955E-3</v>
      </c>
      <c r="AK197" s="3">
        <v>0</v>
      </c>
      <c r="AL197" t="s">
        <v>1601</v>
      </c>
      <c r="AM197" s="3">
        <v>0.02</v>
      </c>
      <c r="AN197" s="3">
        <v>0.12</v>
      </c>
      <c r="AO197" s="3">
        <v>0</v>
      </c>
      <c r="AP197" s="3">
        <v>0</v>
      </c>
      <c r="AY197" s="3">
        <v>0</v>
      </c>
      <c r="AZ197" t="s">
        <v>8277</v>
      </c>
      <c r="BA197" t="s">
        <v>8278</v>
      </c>
      <c r="BB197" s="3">
        <v>4699</v>
      </c>
      <c r="BC197" s="3">
        <v>16</v>
      </c>
      <c r="BD197" s="3">
        <v>-16</v>
      </c>
      <c r="BE197" s="3">
        <v>0</v>
      </c>
      <c r="BF197" s="3">
        <v>0.77800000000000002</v>
      </c>
      <c r="BG197" s="3">
        <v>5.0000000000000001E-3</v>
      </c>
      <c r="BH197" s="3">
        <v>-5.0000000000000001E-3</v>
      </c>
      <c r="BI197" s="3">
        <v>0</v>
      </c>
      <c r="BJ197" s="3">
        <v>0.78</v>
      </c>
      <c r="BK197" s="3">
        <v>0.02</v>
      </c>
      <c r="BL197" s="3">
        <v>-0.02</v>
      </c>
      <c r="BM197" s="3">
        <v>0</v>
      </c>
      <c r="BN197" s="3">
        <v>0.11</v>
      </c>
      <c r="BO197" s="3">
        <v>0.04</v>
      </c>
      <c r="BP197" s="3">
        <v>-0.04</v>
      </c>
      <c r="BQ197" s="3">
        <v>0</v>
      </c>
      <c r="BR197" t="s">
        <v>7935</v>
      </c>
      <c r="BS197" s="3">
        <v>4.63</v>
      </c>
      <c r="BT197" s="3">
        <v>0.1</v>
      </c>
      <c r="BU197" s="3">
        <v>-0.1</v>
      </c>
      <c r="BV197" s="3">
        <v>0</v>
      </c>
      <c r="BW197" t="s">
        <v>7936</v>
      </c>
      <c r="BX197" t="s">
        <v>8270</v>
      </c>
      <c r="BY197" s="3">
        <v>348.33720260000001</v>
      </c>
      <c r="BZ197" t="s">
        <v>8271</v>
      </c>
      <c r="CA197" s="3">
        <v>57.169625500000002</v>
      </c>
      <c r="CB197" s="3">
        <v>6.5312700000000001</v>
      </c>
      <c r="CC197" s="3">
        <v>3.8400000000000001E-3</v>
      </c>
      <c r="CD197" s="3">
        <v>-3.8500000000000001E-3</v>
      </c>
      <c r="CE197" s="3">
        <v>5.5691100000000002</v>
      </c>
      <c r="CF197" s="3">
        <v>2.3E-2</v>
      </c>
      <c r="CG197" s="3">
        <v>-2.3E-2</v>
      </c>
      <c r="CH197" s="3">
        <v>3.2610000000000001</v>
      </c>
      <c r="CI197" s="3">
        <v>0.30399999999999999</v>
      </c>
      <c r="CJ197" s="3">
        <v>-0.30399999999999999</v>
      </c>
      <c r="CK197" s="3">
        <v>5.2401999999999997</v>
      </c>
      <c r="CL197" s="3">
        <v>2.2257000000000002E-3</v>
      </c>
      <c r="CM197" s="3">
        <v>-2.2257000000000002E-3</v>
      </c>
      <c r="CN197" t="s">
        <v>1619</v>
      </c>
      <c r="CO197" t="s">
        <v>8282</v>
      </c>
      <c r="CP197" t="s">
        <v>8201</v>
      </c>
    </row>
    <row r="198" spans="1:94" x14ac:dyDescent="0.45">
      <c r="A198" t="s">
        <v>728</v>
      </c>
      <c r="B198">
        <v>1</v>
      </c>
      <c r="C198" t="s">
        <v>1620</v>
      </c>
      <c r="D198" t="s">
        <v>729</v>
      </c>
      <c r="E198" s="3">
        <v>1</v>
      </c>
      <c r="F198" s="3">
        <v>1</v>
      </c>
      <c r="G198" s="3">
        <v>6</v>
      </c>
      <c r="H198" t="s">
        <v>1427</v>
      </c>
      <c r="I198" s="3">
        <v>2015</v>
      </c>
      <c r="J198" t="s">
        <v>7996</v>
      </c>
      <c r="K198" t="s">
        <v>1429</v>
      </c>
      <c r="L198" s="3">
        <v>0</v>
      </c>
      <c r="M198" t="s">
        <v>8275</v>
      </c>
      <c r="N198" s="3">
        <v>6.7645799999999996</v>
      </c>
      <c r="O198" s="3">
        <v>3.3E-4</v>
      </c>
      <c r="P198" s="3">
        <v>-3.3E-4</v>
      </c>
      <c r="Q198" s="3">
        <v>0</v>
      </c>
      <c r="R198" s="3">
        <v>6.5299999999999997E-2</v>
      </c>
      <c r="S198" s="3">
        <v>8.0000000000000004E-4</v>
      </c>
      <c r="T198" s="3">
        <v>-8.0000000000000004E-4</v>
      </c>
      <c r="U198" s="3">
        <v>0</v>
      </c>
      <c r="V198" s="3">
        <v>1.5109999999999999</v>
      </c>
      <c r="W198" s="3">
        <v>4.7E-2</v>
      </c>
      <c r="X198" s="3">
        <v>-4.7E-2</v>
      </c>
      <c r="Y198" s="3">
        <v>0</v>
      </c>
      <c r="Z198" s="3">
        <v>0.13480238999999999</v>
      </c>
      <c r="AA198" s="3">
        <v>4.1930600000000002E-3</v>
      </c>
      <c r="AB198" s="3">
        <v>-4.1930600000000002E-3</v>
      </c>
      <c r="AC198" s="3">
        <v>0</v>
      </c>
      <c r="AD198" s="3">
        <v>4.3600000000000003</v>
      </c>
      <c r="AE198" s="3">
        <v>0.22</v>
      </c>
      <c r="AF198" s="3">
        <v>-0.22</v>
      </c>
      <c r="AG198" s="3">
        <v>0</v>
      </c>
      <c r="AH198" s="3">
        <v>1.3718030000000001E-2</v>
      </c>
      <c r="AI198" s="3">
        <v>6.9218999999999997E-4</v>
      </c>
      <c r="AJ198" s="3">
        <v>-6.9218999999999997E-4</v>
      </c>
      <c r="AK198" s="3">
        <v>0</v>
      </c>
      <c r="AL198" t="s">
        <v>1453</v>
      </c>
      <c r="AM198" s="3">
        <v>6.2E-2</v>
      </c>
      <c r="AN198" s="3">
        <v>3.9E-2</v>
      </c>
      <c r="AO198" s="3">
        <v>-3.9E-2</v>
      </c>
      <c r="AP198" s="3">
        <v>0</v>
      </c>
      <c r="AQ198" s="3">
        <v>62.1</v>
      </c>
      <c r="AR198" s="3">
        <v>1.9</v>
      </c>
      <c r="AS198" s="3">
        <v>-1.9</v>
      </c>
      <c r="AT198" s="3">
        <v>0</v>
      </c>
      <c r="AU198" s="3">
        <v>782</v>
      </c>
      <c r="AV198" s="3">
        <v>6</v>
      </c>
      <c r="AW198" s="3">
        <v>-6</v>
      </c>
      <c r="AX198" s="3">
        <v>0</v>
      </c>
      <c r="AY198" s="3">
        <v>0</v>
      </c>
      <c r="AZ198" t="s">
        <v>8275</v>
      </c>
      <c r="BB198" s="3">
        <v>4699</v>
      </c>
      <c r="BC198" s="3">
        <v>16</v>
      </c>
      <c r="BD198" s="3">
        <v>-16</v>
      </c>
      <c r="BE198" s="3">
        <v>0</v>
      </c>
      <c r="BF198" s="3">
        <v>0.77800000000000002</v>
      </c>
      <c r="BG198" s="3">
        <v>5.0000000000000001E-3</v>
      </c>
      <c r="BH198" s="3">
        <v>-5.0000000000000001E-3</v>
      </c>
      <c r="BI198" s="3">
        <v>0</v>
      </c>
      <c r="BJ198" s="3">
        <v>0.81</v>
      </c>
      <c r="BK198" s="3">
        <v>0.03</v>
      </c>
      <c r="BL198" s="3">
        <v>-0.03</v>
      </c>
      <c r="BM198" s="3">
        <v>0</v>
      </c>
      <c r="BN198" s="3">
        <v>0.11</v>
      </c>
      <c r="BO198" s="3">
        <v>0.04</v>
      </c>
      <c r="BP198" s="3">
        <v>-0.04</v>
      </c>
      <c r="BQ198" s="3">
        <v>0</v>
      </c>
      <c r="BR198" t="s">
        <v>7935</v>
      </c>
      <c r="BS198" s="3">
        <v>4.5670000000000002</v>
      </c>
      <c r="BT198" s="3">
        <v>1.7999999999999999E-2</v>
      </c>
      <c r="BU198" s="3">
        <v>-1.7999999999999999E-2</v>
      </c>
      <c r="BV198" s="3">
        <v>0</v>
      </c>
      <c r="BW198" t="s">
        <v>7936</v>
      </c>
      <c r="BX198" t="s">
        <v>8270</v>
      </c>
      <c r="BY198" s="3">
        <v>348.33720260000001</v>
      </c>
      <c r="BZ198" t="s">
        <v>8271</v>
      </c>
      <c r="CA198" s="3">
        <v>57.169625500000002</v>
      </c>
      <c r="CB198" s="3">
        <v>6.5312700000000001</v>
      </c>
      <c r="CC198" s="3">
        <v>3.8400000000000001E-3</v>
      </c>
      <c r="CD198" s="3">
        <v>-3.8500000000000001E-3</v>
      </c>
      <c r="CE198" s="3">
        <v>5.5691100000000002</v>
      </c>
      <c r="CF198" s="3">
        <v>2.3E-2</v>
      </c>
      <c r="CG198" s="3">
        <v>-2.3E-2</v>
      </c>
      <c r="CH198" s="3">
        <v>3.2610000000000001</v>
      </c>
      <c r="CI198" s="3">
        <v>0.30399999999999999</v>
      </c>
      <c r="CJ198" s="3">
        <v>-0.30399999999999999</v>
      </c>
      <c r="CK198" s="3">
        <v>5.2401999999999997</v>
      </c>
      <c r="CL198" s="3">
        <v>2.2257000000000002E-3</v>
      </c>
      <c r="CM198" s="3">
        <v>-2.2257000000000002E-3</v>
      </c>
      <c r="CN198" t="s">
        <v>1619</v>
      </c>
      <c r="CO198" t="s">
        <v>8086</v>
      </c>
      <c r="CP198" t="s">
        <v>8276</v>
      </c>
    </row>
    <row r="199" spans="1:94" x14ac:dyDescent="0.45">
      <c r="A199" t="s">
        <v>728</v>
      </c>
      <c r="B199">
        <v>0</v>
      </c>
      <c r="C199" t="s">
        <v>1620</v>
      </c>
      <c r="D199" t="s">
        <v>729</v>
      </c>
      <c r="E199" s="3">
        <v>0</v>
      </c>
      <c r="F199" s="3">
        <v>1</v>
      </c>
      <c r="G199" s="3">
        <v>6</v>
      </c>
      <c r="H199" t="s">
        <v>1427</v>
      </c>
      <c r="I199" s="3">
        <v>2015</v>
      </c>
      <c r="J199" t="s">
        <v>7996</v>
      </c>
      <c r="K199" t="s">
        <v>1429</v>
      </c>
      <c r="L199" s="3">
        <v>0</v>
      </c>
      <c r="M199" t="s">
        <v>8279</v>
      </c>
      <c r="N199" s="3">
        <v>6.7634999999999996</v>
      </c>
      <c r="O199" s="3">
        <v>5.9999999999999995E-4</v>
      </c>
      <c r="P199" s="3">
        <v>-5.9999999999999995E-4</v>
      </c>
      <c r="Q199" s="3">
        <v>0</v>
      </c>
      <c r="R199" s="3">
        <v>6.4815999999999999E-2</v>
      </c>
      <c r="S199" s="3">
        <v>3.9999999999999998E-6</v>
      </c>
      <c r="T199" s="3">
        <v>-3.9999999999999998E-6</v>
      </c>
      <c r="U199" s="3">
        <v>0</v>
      </c>
      <c r="AD199" s="3">
        <v>3.49613</v>
      </c>
      <c r="AE199" s="3">
        <v>0.63566</v>
      </c>
      <c r="AF199" s="3">
        <v>-0.63566</v>
      </c>
      <c r="AG199" s="3">
        <v>0</v>
      </c>
      <c r="AH199" s="3">
        <v>1.0999999999999999E-2</v>
      </c>
      <c r="AI199" s="3">
        <v>2E-3</v>
      </c>
      <c r="AJ199" s="3">
        <v>-2E-3</v>
      </c>
      <c r="AK199" s="3">
        <v>0</v>
      </c>
      <c r="AL199" t="s">
        <v>1426</v>
      </c>
      <c r="AM199" s="3">
        <v>0</v>
      </c>
      <c r="AP199" s="3">
        <v>0</v>
      </c>
      <c r="AY199" s="3">
        <v>0</v>
      </c>
      <c r="AZ199" t="s">
        <v>8279</v>
      </c>
      <c r="BA199" t="s">
        <v>8278</v>
      </c>
      <c r="BB199" s="3">
        <v>4913</v>
      </c>
      <c r="BE199" s="3">
        <v>0</v>
      </c>
      <c r="BF199" s="3">
        <v>0.77</v>
      </c>
      <c r="BG199" s="3">
        <v>0.02</v>
      </c>
      <c r="BH199" s="3">
        <v>-0.02</v>
      </c>
      <c r="BI199" s="3">
        <v>0</v>
      </c>
      <c r="BJ199" s="3">
        <v>0.79400000000000004</v>
      </c>
      <c r="BK199" s="3">
        <v>3.6999999999999998E-2</v>
      </c>
      <c r="BL199" s="3">
        <v>-2.1999999999999999E-2</v>
      </c>
      <c r="BM199" s="3">
        <v>0</v>
      </c>
      <c r="BN199" s="3">
        <v>0.08</v>
      </c>
      <c r="BQ199" s="3">
        <v>0</v>
      </c>
      <c r="BR199" t="s">
        <v>7935</v>
      </c>
      <c r="BS199" s="3">
        <v>4.51</v>
      </c>
      <c r="BV199" s="3">
        <v>0</v>
      </c>
      <c r="BW199" t="s">
        <v>7936</v>
      </c>
      <c r="BX199" t="s">
        <v>8270</v>
      </c>
      <c r="BY199" s="3">
        <v>348.33720260000001</v>
      </c>
      <c r="BZ199" t="s">
        <v>8271</v>
      </c>
      <c r="CA199" s="3">
        <v>57.169625500000002</v>
      </c>
      <c r="CB199" s="3">
        <v>6.5312700000000001</v>
      </c>
      <c r="CC199" s="3">
        <v>3.8400000000000001E-3</v>
      </c>
      <c r="CD199" s="3">
        <v>-3.8500000000000001E-3</v>
      </c>
      <c r="CE199" s="3">
        <v>5.5691100000000002</v>
      </c>
      <c r="CF199" s="3">
        <v>2.3E-2</v>
      </c>
      <c r="CG199" s="3">
        <v>-2.3E-2</v>
      </c>
      <c r="CH199" s="3">
        <v>3.2610000000000001</v>
      </c>
      <c r="CI199" s="3">
        <v>0.30399999999999999</v>
      </c>
      <c r="CJ199" s="3">
        <v>-0.30399999999999999</v>
      </c>
      <c r="CK199" s="3">
        <v>5.2401999999999997</v>
      </c>
      <c r="CL199" s="3">
        <v>2.2257000000000002E-3</v>
      </c>
      <c r="CM199" s="3">
        <v>-2.2257000000000002E-3</v>
      </c>
      <c r="CN199" t="s">
        <v>1619</v>
      </c>
      <c r="CO199" t="s">
        <v>8280</v>
      </c>
      <c r="CP199" t="s">
        <v>8281</v>
      </c>
    </row>
    <row r="200" spans="1:94" x14ac:dyDescent="0.45">
      <c r="A200" t="s">
        <v>728</v>
      </c>
      <c r="B200">
        <v>0</v>
      </c>
      <c r="C200" t="s">
        <v>1620</v>
      </c>
      <c r="D200" t="s">
        <v>729</v>
      </c>
      <c r="E200" s="3">
        <v>0</v>
      </c>
      <c r="F200" s="3">
        <v>1</v>
      </c>
      <c r="G200" s="3">
        <v>6</v>
      </c>
      <c r="H200" t="s">
        <v>1427</v>
      </c>
      <c r="I200" s="3">
        <v>2015</v>
      </c>
      <c r="J200" t="s">
        <v>7996</v>
      </c>
      <c r="K200" t="s">
        <v>8046</v>
      </c>
      <c r="L200" s="3">
        <v>0</v>
      </c>
      <c r="M200" t="s">
        <v>8047</v>
      </c>
      <c r="N200" s="3">
        <v>6.7650398000000003</v>
      </c>
      <c r="O200" s="3">
        <v>7.4000000000000003E-6</v>
      </c>
      <c r="P200" s="3">
        <v>-7.4000000000000003E-6</v>
      </c>
      <c r="Q200" s="3">
        <v>0</v>
      </c>
      <c r="V200" s="3">
        <v>1.39215</v>
      </c>
      <c r="W200" s="3">
        <v>0.11279</v>
      </c>
      <c r="X200" s="3">
        <v>-0.11279</v>
      </c>
      <c r="Y200" s="3">
        <v>0</v>
      </c>
      <c r="Z200" s="3">
        <v>0.12419951999999999</v>
      </c>
      <c r="AA200" s="3">
        <v>1.006247E-2</v>
      </c>
      <c r="AB200" s="3">
        <v>-1.006247E-2</v>
      </c>
      <c r="AC200" s="3">
        <v>0</v>
      </c>
      <c r="AQ200" s="3">
        <v>64.648700000000005</v>
      </c>
      <c r="AT200" s="3">
        <v>0</v>
      </c>
      <c r="AU200" s="3">
        <v>789</v>
      </c>
      <c r="AX200" s="3">
        <v>0</v>
      </c>
      <c r="AY200" s="3">
        <v>0</v>
      </c>
      <c r="AZ200" t="s">
        <v>8047</v>
      </c>
      <c r="BB200" s="3">
        <v>4884.29</v>
      </c>
      <c r="BC200" s="3">
        <v>142.84</v>
      </c>
      <c r="BD200" s="3">
        <v>-142.84</v>
      </c>
      <c r="BE200" s="3">
        <v>0</v>
      </c>
      <c r="BF200" s="3">
        <v>0.75</v>
      </c>
      <c r="BG200" s="3">
        <v>0.06</v>
      </c>
      <c r="BH200" s="3">
        <v>-0.06</v>
      </c>
      <c r="BI200" s="3">
        <v>0</v>
      </c>
      <c r="BS200" s="3">
        <v>4.5903400000000003</v>
      </c>
      <c r="BT200" s="3">
        <v>9.9051E-2</v>
      </c>
      <c r="BU200" s="3">
        <v>-9.9051E-2</v>
      </c>
      <c r="BV200" s="3">
        <v>0</v>
      </c>
      <c r="BW200" t="s">
        <v>7936</v>
      </c>
      <c r="BX200" t="s">
        <v>8270</v>
      </c>
      <c r="BY200" s="3">
        <v>348.33720260000001</v>
      </c>
      <c r="BZ200" t="s">
        <v>8271</v>
      </c>
      <c r="CA200" s="3">
        <v>57.169625500000002</v>
      </c>
      <c r="CB200" s="3">
        <v>6.5312700000000001</v>
      </c>
      <c r="CC200" s="3">
        <v>3.8400000000000001E-3</v>
      </c>
      <c r="CD200" s="3">
        <v>-3.8500000000000001E-3</v>
      </c>
      <c r="CE200" s="3">
        <v>5.5691100000000002</v>
      </c>
      <c r="CF200" s="3">
        <v>2.3E-2</v>
      </c>
      <c r="CG200" s="3">
        <v>-2.3E-2</v>
      </c>
      <c r="CH200" s="3">
        <v>3.2610000000000001</v>
      </c>
      <c r="CI200" s="3">
        <v>0.30399999999999999</v>
      </c>
      <c r="CJ200" s="3">
        <v>-0.30399999999999999</v>
      </c>
      <c r="CK200" s="3">
        <v>5.2401999999999997</v>
      </c>
      <c r="CL200" s="3">
        <v>2.2257000000000002E-3</v>
      </c>
      <c r="CM200" s="3">
        <v>-2.2257000000000002E-3</v>
      </c>
      <c r="CN200" t="s">
        <v>8274</v>
      </c>
      <c r="CO200" t="s">
        <v>8049</v>
      </c>
      <c r="CP200" t="s">
        <v>8274</v>
      </c>
    </row>
    <row r="201" spans="1:94" x14ac:dyDescent="0.45">
      <c r="A201" t="s">
        <v>728</v>
      </c>
      <c r="B201">
        <v>0</v>
      </c>
      <c r="C201" t="s">
        <v>1620</v>
      </c>
      <c r="D201" t="s">
        <v>729</v>
      </c>
      <c r="E201" s="3">
        <v>0</v>
      </c>
      <c r="F201" s="3">
        <v>1</v>
      </c>
      <c r="G201" s="3">
        <v>6</v>
      </c>
      <c r="H201" t="s">
        <v>1427</v>
      </c>
      <c r="I201" s="3">
        <v>2015</v>
      </c>
      <c r="J201" t="s">
        <v>7996</v>
      </c>
      <c r="K201" t="s">
        <v>1429</v>
      </c>
      <c r="L201" s="3">
        <v>0</v>
      </c>
      <c r="M201" t="s">
        <v>8277</v>
      </c>
      <c r="N201" s="3">
        <v>6.7670000000000003</v>
      </c>
      <c r="O201" s="3">
        <v>4.0000000000000001E-3</v>
      </c>
      <c r="P201" s="3">
        <v>-4.0000000000000001E-3</v>
      </c>
      <c r="Q201" s="3">
        <v>0</v>
      </c>
      <c r="R201" s="3">
        <v>6.4000000000000001E-2</v>
      </c>
      <c r="S201" s="3">
        <v>1E-3</v>
      </c>
      <c r="T201" s="3">
        <v>-1E-3</v>
      </c>
      <c r="U201" s="3">
        <v>0</v>
      </c>
      <c r="AD201" s="3">
        <v>2.78</v>
      </c>
      <c r="AE201" s="3">
        <v>0.61</v>
      </c>
      <c r="AF201" s="3">
        <v>-0.61</v>
      </c>
      <c r="AG201" s="3">
        <v>0</v>
      </c>
      <c r="AH201" s="3">
        <v>8.7468100000000007E-3</v>
      </c>
      <c r="AI201" s="3">
        <v>1.91927E-3</v>
      </c>
      <c r="AJ201" s="3">
        <v>-1.91927E-3</v>
      </c>
      <c r="AK201" s="3">
        <v>0</v>
      </c>
      <c r="AL201" t="s">
        <v>1426</v>
      </c>
      <c r="AM201" s="3">
        <v>0.08</v>
      </c>
      <c r="AN201" s="3">
        <v>0.45</v>
      </c>
      <c r="AO201" s="3">
        <v>-0.01</v>
      </c>
      <c r="AP201" s="3">
        <v>0</v>
      </c>
      <c r="AY201" s="3">
        <v>0</v>
      </c>
      <c r="AZ201" t="s">
        <v>8277</v>
      </c>
      <c r="BA201" t="s">
        <v>8278</v>
      </c>
      <c r="BB201" s="3">
        <v>4699</v>
      </c>
      <c r="BC201" s="3">
        <v>16</v>
      </c>
      <c r="BD201" s="3">
        <v>-16</v>
      </c>
      <c r="BE201" s="3">
        <v>0</v>
      </c>
      <c r="BF201" s="3">
        <v>0.77800000000000002</v>
      </c>
      <c r="BG201" s="3">
        <v>5.0000000000000001E-3</v>
      </c>
      <c r="BH201" s="3">
        <v>-5.0000000000000001E-3</v>
      </c>
      <c r="BI201" s="3">
        <v>0</v>
      </c>
      <c r="BJ201" s="3">
        <v>0.78</v>
      </c>
      <c r="BK201" s="3">
        <v>0.02</v>
      </c>
      <c r="BL201" s="3">
        <v>-0.02</v>
      </c>
      <c r="BM201" s="3">
        <v>0</v>
      </c>
      <c r="BN201" s="3">
        <v>0.11</v>
      </c>
      <c r="BO201" s="3">
        <v>0.04</v>
      </c>
      <c r="BP201" s="3">
        <v>-0.04</v>
      </c>
      <c r="BQ201" s="3">
        <v>0</v>
      </c>
      <c r="BR201" t="s">
        <v>7935</v>
      </c>
      <c r="BS201" s="3">
        <v>4.63</v>
      </c>
      <c r="BT201" s="3">
        <v>0.1</v>
      </c>
      <c r="BU201" s="3">
        <v>-0.1</v>
      </c>
      <c r="BV201" s="3">
        <v>0</v>
      </c>
      <c r="BW201" t="s">
        <v>7936</v>
      </c>
      <c r="BX201" t="s">
        <v>8270</v>
      </c>
      <c r="BY201" s="3">
        <v>348.33720260000001</v>
      </c>
      <c r="BZ201" t="s">
        <v>8271</v>
      </c>
      <c r="CA201" s="3">
        <v>57.169625500000002</v>
      </c>
      <c r="CB201" s="3">
        <v>6.5312700000000001</v>
      </c>
      <c r="CC201" s="3">
        <v>3.8400000000000001E-3</v>
      </c>
      <c r="CD201" s="3">
        <v>-3.8500000000000001E-3</v>
      </c>
      <c r="CE201" s="3">
        <v>5.5691100000000002</v>
      </c>
      <c r="CF201" s="3">
        <v>2.3E-2</v>
      </c>
      <c r="CG201" s="3">
        <v>-2.3E-2</v>
      </c>
      <c r="CH201" s="3">
        <v>3.2610000000000001</v>
      </c>
      <c r="CI201" s="3">
        <v>0.30399999999999999</v>
      </c>
      <c r="CJ201" s="3">
        <v>-0.30399999999999999</v>
      </c>
      <c r="CK201" s="3">
        <v>5.2401999999999997</v>
      </c>
      <c r="CL201" s="3">
        <v>2.2257000000000002E-3</v>
      </c>
      <c r="CM201" s="3">
        <v>-2.2257000000000002E-3</v>
      </c>
      <c r="CN201" t="s">
        <v>1619</v>
      </c>
      <c r="CO201" t="s">
        <v>8282</v>
      </c>
      <c r="CP201" t="s">
        <v>8201</v>
      </c>
    </row>
    <row r="202" spans="1:94" x14ac:dyDescent="0.45">
      <c r="A202" t="s">
        <v>728</v>
      </c>
      <c r="B202">
        <v>0</v>
      </c>
      <c r="C202" t="s">
        <v>1620</v>
      </c>
      <c r="D202" t="s">
        <v>729</v>
      </c>
      <c r="E202" s="3">
        <v>0</v>
      </c>
      <c r="F202" s="3">
        <v>1</v>
      </c>
      <c r="G202" s="3">
        <v>6</v>
      </c>
      <c r="H202" t="s">
        <v>1427</v>
      </c>
      <c r="I202" s="3">
        <v>2015</v>
      </c>
      <c r="J202" t="s">
        <v>7996</v>
      </c>
      <c r="K202" t="s">
        <v>1429</v>
      </c>
      <c r="L202" s="3">
        <v>0</v>
      </c>
      <c r="M202" t="s">
        <v>7940</v>
      </c>
      <c r="N202" s="3">
        <v>6.7637900000000002</v>
      </c>
      <c r="O202" s="3">
        <v>5.9000000000000003E-4</v>
      </c>
      <c r="P202" s="3">
        <v>-5.6999999999999998E-4</v>
      </c>
      <c r="Q202" s="3">
        <v>0</v>
      </c>
      <c r="R202" s="3">
        <v>6.1800000000000001E-2</v>
      </c>
      <c r="S202" s="3">
        <v>1.5E-3</v>
      </c>
      <c r="T202" s="3">
        <v>-1.5E-3</v>
      </c>
      <c r="U202" s="3">
        <v>0</v>
      </c>
      <c r="AD202" s="3">
        <v>3.12</v>
      </c>
      <c r="AE202" s="3">
        <v>0.42</v>
      </c>
      <c r="AF202" s="3">
        <v>-0.4</v>
      </c>
      <c r="AG202" s="3">
        <v>0</v>
      </c>
      <c r="AH202" s="3">
        <v>9.8166199999999999E-3</v>
      </c>
      <c r="AI202" s="3">
        <v>1.3214699999999999E-3</v>
      </c>
      <c r="AJ202" s="3">
        <v>-1.25854E-3</v>
      </c>
      <c r="AK202" s="3">
        <v>0</v>
      </c>
      <c r="AL202" t="s">
        <v>1426</v>
      </c>
      <c r="AM202" s="3">
        <v>0.18</v>
      </c>
      <c r="AN202" s="3">
        <v>0.13</v>
      </c>
      <c r="AO202" s="3">
        <v>-0.12</v>
      </c>
      <c r="AP202" s="3">
        <v>0</v>
      </c>
      <c r="AY202" s="3">
        <v>0</v>
      </c>
      <c r="AZ202" t="s">
        <v>7940</v>
      </c>
      <c r="BB202" s="3">
        <v>4874</v>
      </c>
      <c r="BE202" s="3">
        <v>0</v>
      </c>
      <c r="BW202" t="s">
        <v>7936</v>
      </c>
      <c r="BX202" t="s">
        <v>8270</v>
      </c>
      <c r="BY202" s="3">
        <v>348.33720260000001</v>
      </c>
      <c r="BZ202" t="s">
        <v>8271</v>
      </c>
      <c r="CA202" s="3">
        <v>57.169625500000002</v>
      </c>
      <c r="CB202" s="3">
        <v>6.5312700000000001</v>
      </c>
      <c r="CC202" s="3">
        <v>3.8400000000000001E-3</v>
      </c>
      <c r="CD202" s="3">
        <v>-3.8500000000000001E-3</v>
      </c>
      <c r="CE202" s="3">
        <v>5.5691100000000002</v>
      </c>
      <c r="CF202" s="3">
        <v>2.3E-2</v>
      </c>
      <c r="CG202" s="3">
        <v>-2.3E-2</v>
      </c>
      <c r="CH202" s="3">
        <v>3.2610000000000001</v>
      </c>
      <c r="CI202" s="3">
        <v>0.30399999999999999</v>
      </c>
      <c r="CJ202" s="3">
        <v>-0.30399999999999999</v>
      </c>
      <c r="CK202" s="3">
        <v>5.2401999999999997</v>
      </c>
      <c r="CL202" s="3">
        <v>2.2257000000000002E-3</v>
      </c>
      <c r="CM202" s="3">
        <v>-2.2257000000000002E-3</v>
      </c>
      <c r="CN202" t="s">
        <v>1513</v>
      </c>
      <c r="CO202" t="s">
        <v>7941</v>
      </c>
      <c r="CP202" t="s">
        <v>1513</v>
      </c>
    </row>
    <row r="203" spans="1:94" x14ac:dyDescent="0.45">
      <c r="A203" t="s">
        <v>728</v>
      </c>
      <c r="B203">
        <v>0</v>
      </c>
      <c r="C203" t="s">
        <v>1620</v>
      </c>
      <c r="D203" t="s">
        <v>729</v>
      </c>
      <c r="E203" s="3">
        <v>0</v>
      </c>
      <c r="F203" s="3">
        <v>1</v>
      </c>
      <c r="G203" s="3">
        <v>6</v>
      </c>
      <c r="H203" t="s">
        <v>1427</v>
      </c>
      <c r="I203" s="3">
        <v>2015</v>
      </c>
      <c r="J203" t="s">
        <v>7996</v>
      </c>
      <c r="K203" t="s">
        <v>1429</v>
      </c>
      <c r="L203" s="3">
        <v>0</v>
      </c>
      <c r="M203" t="s">
        <v>7942</v>
      </c>
      <c r="N203" s="3">
        <v>6.7640599999999997</v>
      </c>
      <c r="O203" s="3">
        <v>9.3000000000000005E-4</v>
      </c>
      <c r="P203" s="3">
        <v>-7.6000000000000004E-4</v>
      </c>
      <c r="Q203" s="3">
        <v>0</v>
      </c>
      <c r="R203" s="3">
        <v>6.4659999999999995E-2</v>
      </c>
      <c r="S203" s="3">
        <v>7.3999999999999999E-4</v>
      </c>
      <c r="T203" s="3">
        <v>-7.2999999999999996E-4</v>
      </c>
      <c r="U203" s="3">
        <v>0</v>
      </c>
      <c r="AD203" s="3">
        <v>3.5596781599999998</v>
      </c>
      <c r="AE203" s="3">
        <v>0.44495976999999998</v>
      </c>
      <c r="AF203" s="3">
        <v>-0.44495976999999998</v>
      </c>
      <c r="AG203" s="3">
        <v>0</v>
      </c>
      <c r="AH203" s="3">
        <v>1.12E-2</v>
      </c>
      <c r="AI203" s="3">
        <v>1.4E-3</v>
      </c>
      <c r="AJ203" s="3">
        <v>-1.4E-3</v>
      </c>
      <c r="AK203" s="3">
        <v>0</v>
      </c>
      <c r="AL203" t="s">
        <v>1426</v>
      </c>
      <c r="AM203" s="3">
        <v>0.16</v>
      </c>
      <c r="AN203" s="3">
        <v>0.12</v>
      </c>
      <c r="AO203" s="3">
        <v>-0.11</v>
      </c>
      <c r="AP203" s="3">
        <v>0</v>
      </c>
      <c r="AY203" s="3">
        <v>0</v>
      </c>
      <c r="AZ203" t="s">
        <v>7942</v>
      </c>
      <c r="BB203" s="3">
        <v>4817.1400000000003</v>
      </c>
      <c r="BC203" s="3">
        <v>62.04</v>
      </c>
      <c r="BD203" s="3">
        <v>-62.04</v>
      </c>
      <c r="BE203" s="3">
        <v>0</v>
      </c>
      <c r="BF203" s="3">
        <v>0.75746599999999997</v>
      </c>
      <c r="BG203" s="3">
        <v>1.2968E-2</v>
      </c>
      <c r="BH203" s="3">
        <v>-1.2968E-2</v>
      </c>
      <c r="BI203" s="3">
        <v>0</v>
      </c>
      <c r="BJ203" s="3">
        <v>0.78848399999999996</v>
      </c>
      <c r="BK203" s="3">
        <v>2.6654000000000001E-2</v>
      </c>
      <c r="BL203" s="3">
        <v>-2.6654000000000001E-2</v>
      </c>
      <c r="BM203" s="3">
        <v>0</v>
      </c>
      <c r="BN203" s="3">
        <v>8.3400000000000002E-2</v>
      </c>
      <c r="BO203" s="3">
        <v>5.8500000000000003E-2</v>
      </c>
      <c r="BP203" s="3">
        <v>-5.8500000000000003E-2</v>
      </c>
      <c r="BQ203" s="3">
        <v>0</v>
      </c>
      <c r="BR203" t="s">
        <v>7935</v>
      </c>
      <c r="BS203" s="3">
        <v>4.5748920000000002</v>
      </c>
      <c r="BT203" s="3">
        <v>2.1159000000000001E-2</v>
      </c>
      <c r="BU203" s="3">
        <v>-2.1159000000000001E-2</v>
      </c>
      <c r="BV203" s="3">
        <v>0</v>
      </c>
      <c r="BW203" t="s">
        <v>7936</v>
      </c>
      <c r="BX203" t="s">
        <v>8270</v>
      </c>
      <c r="BY203" s="3">
        <v>348.33720260000001</v>
      </c>
      <c r="BZ203" t="s">
        <v>8271</v>
      </c>
      <c r="CA203" s="3">
        <v>57.169625500000002</v>
      </c>
      <c r="CB203" s="3">
        <v>6.5312700000000001</v>
      </c>
      <c r="CC203" s="3">
        <v>3.8400000000000001E-3</v>
      </c>
      <c r="CD203" s="3">
        <v>-3.8500000000000001E-3</v>
      </c>
      <c r="CE203" s="3">
        <v>5.5691100000000002</v>
      </c>
      <c r="CF203" s="3">
        <v>2.3E-2</v>
      </c>
      <c r="CG203" s="3">
        <v>-2.3E-2</v>
      </c>
      <c r="CH203" s="3">
        <v>3.2610000000000001</v>
      </c>
      <c r="CI203" s="3">
        <v>0.30399999999999999</v>
      </c>
      <c r="CJ203" s="3">
        <v>-0.30399999999999999</v>
      </c>
      <c r="CK203" s="3">
        <v>5.2401999999999997</v>
      </c>
      <c r="CL203" s="3">
        <v>2.2257000000000002E-3</v>
      </c>
      <c r="CM203" s="3">
        <v>-2.2257000000000002E-3</v>
      </c>
      <c r="CN203" t="s">
        <v>7943</v>
      </c>
      <c r="CO203" t="s">
        <v>7944</v>
      </c>
      <c r="CP203" t="s">
        <v>7943</v>
      </c>
    </row>
    <row r="204" spans="1:94" x14ac:dyDescent="0.45">
      <c r="A204" t="s">
        <v>728</v>
      </c>
      <c r="B204">
        <v>0</v>
      </c>
      <c r="C204" t="s">
        <v>1620</v>
      </c>
      <c r="D204" t="s">
        <v>729</v>
      </c>
      <c r="E204" s="3">
        <v>0</v>
      </c>
      <c r="F204" s="3">
        <v>1</v>
      </c>
      <c r="G204" s="3">
        <v>6</v>
      </c>
      <c r="H204" t="s">
        <v>1427</v>
      </c>
      <c r="I204" s="3">
        <v>2015</v>
      </c>
      <c r="J204" t="s">
        <v>7996</v>
      </c>
      <c r="K204" t="s">
        <v>1429</v>
      </c>
      <c r="L204" s="3">
        <v>0</v>
      </c>
      <c r="M204" t="s">
        <v>8272</v>
      </c>
      <c r="N204" s="3">
        <v>6.7651490000000001</v>
      </c>
      <c r="O204" s="3">
        <v>3.3000000000000003E-5</v>
      </c>
      <c r="P204" s="3">
        <v>-3.6000000000000001E-5</v>
      </c>
      <c r="Q204" s="3">
        <v>0</v>
      </c>
      <c r="R204" s="3">
        <v>6.5199999999999994E-2</v>
      </c>
      <c r="S204" s="3">
        <v>1E-3</v>
      </c>
      <c r="T204" s="3">
        <v>-1E-3</v>
      </c>
      <c r="U204" s="3">
        <v>0</v>
      </c>
      <c r="V204" s="3">
        <v>1.5069999999999999</v>
      </c>
      <c r="W204" s="3">
        <v>7.3999999999999996E-2</v>
      </c>
      <c r="X204" s="3">
        <v>-0.06</v>
      </c>
      <c r="Y204" s="3">
        <v>0</v>
      </c>
      <c r="Z204" s="3">
        <v>0.13444576999999999</v>
      </c>
      <c r="AA204" s="3">
        <v>6.6018500000000003E-3</v>
      </c>
      <c r="AB204" s="3">
        <v>-5.3528500000000001E-3</v>
      </c>
      <c r="AC204" s="3">
        <v>0</v>
      </c>
      <c r="AU204" s="3">
        <v>715.9</v>
      </c>
      <c r="AV204" s="3">
        <v>5.8</v>
      </c>
      <c r="AW204" s="3">
        <v>-5.8</v>
      </c>
      <c r="AX204" s="3">
        <v>0</v>
      </c>
      <c r="AY204" s="3">
        <v>0</v>
      </c>
      <c r="AZ204" t="s">
        <v>8272</v>
      </c>
      <c r="BB204" s="3">
        <v>4700</v>
      </c>
      <c r="BC204" s="3">
        <v>20</v>
      </c>
      <c r="BD204" s="3">
        <v>-20</v>
      </c>
      <c r="BE204" s="3">
        <v>0</v>
      </c>
      <c r="BF204" s="3">
        <v>0.77800000000000002</v>
      </c>
      <c r="BG204" s="3">
        <v>5.0000000000000001E-3</v>
      </c>
      <c r="BH204" s="3">
        <v>-5.0000000000000001E-3</v>
      </c>
      <c r="BI204" s="3">
        <v>0</v>
      </c>
      <c r="BJ204" s="3">
        <v>0.81</v>
      </c>
      <c r="BK204" s="3">
        <v>0.03</v>
      </c>
      <c r="BL204" s="3">
        <v>-0.03</v>
      </c>
      <c r="BM204" s="3">
        <v>0</v>
      </c>
      <c r="BN204" s="3">
        <v>0.11</v>
      </c>
      <c r="BO204" s="3">
        <v>0.04</v>
      </c>
      <c r="BP204" s="3">
        <v>-0.04</v>
      </c>
      <c r="BQ204" s="3">
        <v>0</v>
      </c>
      <c r="BR204" t="s">
        <v>7935</v>
      </c>
      <c r="BS204" s="3">
        <v>4.5670000000000002</v>
      </c>
      <c r="BT204" s="3">
        <v>1.7999999999999999E-2</v>
      </c>
      <c r="BU204" s="3">
        <v>-1.7999999999999999E-2</v>
      </c>
      <c r="BV204" s="3">
        <v>0</v>
      </c>
      <c r="BW204" t="s">
        <v>7936</v>
      </c>
      <c r="BX204" t="s">
        <v>8270</v>
      </c>
      <c r="BY204" s="3">
        <v>348.33720260000001</v>
      </c>
      <c r="BZ204" t="s">
        <v>8271</v>
      </c>
      <c r="CA204" s="3">
        <v>57.169625500000002</v>
      </c>
      <c r="CB204" s="3">
        <v>6.5312700000000001</v>
      </c>
      <c r="CC204" s="3">
        <v>3.8400000000000001E-3</v>
      </c>
      <c r="CD204" s="3">
        <v>-3.8500000000000001E-3</v>
      </c>
      <c r="CE204" s="3">
        <v>5.5691100000000002</v>
      </c>
      <c r="CF204" s="3">
        <v>2.3E-2</v>
      </c>
      <c r="CG204" s="3">
        <v>-2.3E-2</v>
      </c>
      <c r="CH204" s="3">
        <v>3.2610000000000001</v>
      </c>
      <c r="CI204" s="3">
        <v>0.30399999999999999</v>
      </c>
      <c r="CJ204" s="3">
        <v>-0.30399999999999999</v>
      </c>
      <c r="CK204" s="3">
        <v>5.2401999999999997</v>
      </c>
      <c r="CL204" s="3">
        <v>2.2257000000000002E-3</v>
      </c>
      <c r="CM204" s="3">
        <v>-2.2257000000000002E-3</v>
      </c>
      <c r="CN204" t="s">
        <v>8273</v>
      </c>
      <c r="CO204" t="s">
        <v>8095</v>
      </c>
      <c r="CP204" t="s">
        <v>8273</v>
      </c>
    </row>
    <row r="205" spans="1:94" x14ac:dyDescent="0.45">
      <c r="A205" t="s">
        <v>728</v>
      </c>
      <c r="B205">
        <v>1</v>
      </c>
      <c r="C205" t="s">
        <v>1621</v>
      </c>
      <c r="D205" t="s">
        <v>729</v>
      </c>
      <c r="E205" s="3">
        <v>1</v>
      </c>
      <c r="F205" s="3">
        <v>1</v>
      </c>
      <c r="G205" s="3">
        <v>6</v>
      </c>
      <c r="H205" t="s">
        <v>1427</v>
      </c>
      <c r="I205" s="3">
        <v>2015</v>
      </c>
      <c r="J205" t="s">
        <v>7996</v>
      </c>
      <c r="K205" t="s">
        <v>1429</v>
      </c>
      <c r="L205" s="3">
        <v>0</v>
      </c>
      <c r="M205" t="s">
        <v>8275</v>
      </c>
      <c r="N205" s="3">
        <v>46.859000000000002</v>
      </c>
      <c r="O205" s="3">
        <v>2.8000000000000001E-2</v>
      </c>
      <c r="P205" s="3">
        <v>-2.8000000000000001E-2</v>
      </c>
      <c r="Q205" s="3">
        <v>0</v>
      </c>
      <c r="R205" s="3">
        <v>0.23699999999999999</v>
      </c>
      <c r="S205" s="3">
        <v>3.0000000000000001E-3</v>
      </c>
      <c r="T205" s="3">
        <v>-3.0000000000000001E-3</v>
      </c>
      <c r="U205" s="3">
        <v>0</v>
      </c>
      <c r="V205" s="3">
        <v>1.61</v>
      </c>
      <c r="W205" s="3">
        <v>0.02</v>
      </c>
      <c r="X205" s="3">
        <v>-0.02</v>
      </c>
      <c r="Y205" s="3">
        <v>-1</v>
      </c>
      <c r="Z205" s="3">
        <v>0.14363458000000001</v>
      </c>
      <c r="AA205" s="3">
        <v>1.7842800000000001E-3</v>
      </c>
      <c r="AB205" s="3">
        <v>-1.7842800000000001E-3</v>
      </c>
      <c r="AC205" s="3">
        <v>-1</v>
      </c>
      <c r="AD205" s="3">
        <v>16.170000000000002</v>
      </c>
      <c r="AE205" s="3">
        <v>0.64</v>
      </c>
      <c r="AF205" s="3">
        <v>-0.64</v>
      </c>
      <c r="AG205" s="3">
        <v>-1</v>
      </c>
      <c r="AH205" s="3">
        <v>5.0876249999999998E-2</v>
      </c>
      <c r="AI205" s="3">
        <v>2.01366E-3</v>
      </c>
      <c r="AJ205" s="3">
        <v>-2.01366E-3</v>
      </c>
      <c r="AK205" s="3">
        <v>-1</v>
      </c>
      <c r="AL205" t="s">
        <v>1453</v>
      </c>
      <c r="AM205" s="3">
        <v>0.13800000000000001</v>
      </c>
      <c r="AN205" s="3">
        <v>2.5000000000000001E-2</v>
      </c>
      <c r="AO205" s="3">
        <v>-2.5000000000000001E-2</v>
      </c>
      <c r="AP205" s="3">
        <v>0</v>
      </c>
      <c r="AQ205" s="3">
        <v>4.72</v>
      </c>
      <c r="AR205" s="3">
        <v>0.15</v>
      </c>
      <c r="AS205" s="3">
        <v>-0.15</v>
      </c>
      <c r="AT205" s="3">
        <v>0</v>
      </c>
      <c r="AU205" s="3">
        <v>410.5</v>
      </c>
      <c r="AV205" s="3">
        <v>3.2</v>
      </c>
      <c r="AW205" s="3">
        <v>-3.2</v>
      </c>
      <c r="AX205" s="3">
        <v>0</v>
      </c>
      <c r="AY205" s="3">
        <v>0</v>
      </c>
      <c r="AZ205" t="s">
        <v>8275</v>
      </c>
      <c r="BB205" s="3">
        <v>4699</v>
      </c>
      <c r="BC205" s="3">
        <v>16</v>
      </c>
      <c r="BD205" s="3">
        <v>-16</v>
      </c>
      <c r="BE205" s="3">
        <v>0</v>
      </c>
      <c r="BF205" s="3">
        <v>0.77800000000000002</v>
      </c>
      <c r="BG205" s="3">
        <v>5.0000000000000001E-3</v>
      </c>
      <c r="BH205" s="3">
        <v>-5.0000000000000001E-3</v>
      </c>
      <c r="BI205" s="3">
        <v>0</v>
      </c>
      <c r="BJ205" s="3">
        <v>0.81</v>
      </c>
      <c r="BK205" s="3">
        <v>0.03</v>
      </c>
      <c r="BL205" s="3">
        <v>-0.03</v>
      </c>
      <c r="BM205" s="3">
        <v>0</v>
      </c>
      <c r="BN205" s="3">
        <v>0.11</v>
      </c>
      <c r="BO205" s="3">
        <v>0.04</v>
      </c>
      <c r="BP205" s="3">
        <v>-0.04</v>
      </c>
      <c r="BQ205" s="3">
        <v>0</v>
      </c>
      <c r="BR205" t="s">
        <v>7935</v>
      </c>
      <c r="BS205" s="3">
        <v>4.5670000000000002</v>
      </c>
      <c r="BT205" s="3">
        <v>1.7999999999999999E-2</v>
      </c>
      <c r="BU205" s="3">
        <v>-1.7999999999999999E-2</v>
      </c>
      <c r="BV205" s="3">
        <v>0</v>
      </c>
      <c r="BW205" t="s">
        <v>7936</v>
      </c>
      <c r="BX205" t="s">
        <v>8270</v>
      </c>
      <c r="BY205" s="3">
        <v>348.33720260000001</v>
      </c>
      <c r="BZ205" t="s">
        <v>8271</v>
      </c>
      <c r="CA205" s="3">
        <v>57.169625500000002</v>
      </c>
      <c r="CB205" s="3">
        <v>6.5312700000000001</v>
      </c>
      <c r="CC205" s="3">
        <v>3.8400000000000001E-3</v>
      </c>
      <c r="CD205" s="3">
        <v>-3.8500000000000001E-3</v>
      </c>
      <c r="CE205" s="3">
        <v>5.5691100000000002</v>
      </c>
      <c r="CF205" s="3">
        <v>2.3E-2</v>
      </c>
      <c r="CG205" s="3">
        <v>-2.3E-2</v>
      </c>
      <c r="CH205" s="3">
        <v>3.2610000000000001</v>
      </c>
      <c r="CI205" s="3">
        <v>0.30399999999999999</v>
      </c>
      <c r="CJ205" s="3">
        <v>-0.30399999999999999</v>
      </c>
      <c r="CK205" s="3">
        <v>5.2401999999999997</v>
      </c>
      <c r="CL205" s="3">
        <v>2.2257000000000002E-3</v>
      </c>
      <c r="CM205" s="3">
        <v>-2.2257000000000002E-3</v>
      </c>
      <c r="CN205" t="s">
        <v>1619</v>
      </c>
      <c r="CO205" t="s">
        <v>8086</v>
      </c>
      <c r="CP205" t="s">
        <v>8276</v>
      </c>
    </row>
    <row r="206" spans="1:94" x14ac:dyDescent="0.45">
      <c r="A206" t="s">
        <v>728</v>
      </c>
      <c r="B206">
        <v>0</v>
      </c>
      <c r="C206" t="s">
        <v>1621</v>
      </c>
      <c r="D206" t="s">
        <v>729</v>
      </c>
      <c r="E206" s="3">
        <v>0</v>
      </c>
      <c r="F206" s="3">
        <v>1</v>
      </c>
      <c r="G206" s="3">
        <v>6</v>
      </c>
      <c r="H206" t="s">
        <v>1427</v>
      </c>
      <c r="I206" s="3">
        <v>2015</v>
      </c>
      <c r="J206" t="s">
        <v>7996</v>
      </c>
      <c r="K206" t="s">
        <v>1429</v>
      </c>
      <c r="L206" s="3">
        <v>0</v>
      </c>
      <c r="M206" t="s">
        <v>8277</v>
      </c>
      <c r="N206" s="3">
        <v>46.66</v>
      </c>
      <c r="O206" s="3">
        <v>0.08</v>
      </c>
      <c r="P206" s="3">
        <v>-0.08</v>
      </c>
      <c r="Q206" s="3">
        <v>0</v>
      </c>
      <c r="R206" s="3">
        <v>0.23300000000000001</v>
      </c>
      <c r="S206" s="3">
        <v>2E-3</v>
      </c>
      <c r="T206" s="3">
        <v>-2E-3</v>
      </c>
      <c r="U206" s="3">
        <v>0</v>
      </c>
      <c r="AD206" s="3">
        <v>8.94</v>
      </c>
      <c r="AE206" s="3">
        <v>1.1299999999999999</v>
      </c>
      <c r="AF206" s="3">
        <v>-1.1299999999999999</v>
      </c>
      <c r="AG206" s="3">
        <v>0</v>
      </c>
      <c r="AH206" s="3">
        <v>2.8128239999999999E-2</v>
      </c>
      <c r="AI206" s="3">
        <v>3.55536E-3</v>
      </c>
      <c r="AJ206" s="3">
        <v>-3.55536E-3</v>
      </c>
      <c r="AK206" s="3">
        <v>0</v>
      </c>
      <c r="AL206" t="s">
        <v>1426</v>
      </c>
      <c r="AM206" s="3">
        <v>0.46</v>
      </c>
      <c r="AN206" s="3">
        <v>0.11</v>
      </c>
      <c r="AO206" s="3">
        <v>-0.11</v>
      </c>
      <c r="AP206" s="3">
        <v>0</v>
      </c>
      <c r="AY206" s="3">
        <v>0</v>
      </c>
      <c r="AZ206" t="s">
        <v>8277</v>
      </c>
      <c r="BA206" t="s">
        <v>8278</v>
      </c>
      <c r="BB206" s="3">
        <v>4699</v>
      </c>
      <c r="BC206" s="3">
        <v>16</v>
      </c>
      <c r="BD206" s="3">
        <v>-16</v>
      </c>
      <c r="BE206" s="3">
        <v>0</v>
      </c>
      <c r="BF206" s="3">
        <v>0.77800000000000002</v>
      </c>
      <c r="BG206" s="3">
        <v>5.0000000000000001E-3</v>
      </c>
      <c r="BH206" s="3">
        <v>-5.0000000000000001E-3</v>
      </c>
      <c r="BI206" s="3">
        <v>0</v>
      </c>
      <c r="BJ206" s="3">
        <v>0.78</v>
      </c>
      <c r="BK206" s="3">
        <v>0.02</v>
      </c>
      <c r="BL206" s="3">
        <v>-0.02</v>
      </c>
      <c r="BM206" s="3">
        <v>0</v>
      </c>
      <c r="BN206" s="3">
        <v>0.11</v>
      </c>
      <c r="BO206" s="3">
        <v>0.04</v>
      </c>
      <c r="BP206" s="3">
        <v>-0.04</v>
      </c>
      <c r="BQ206" s="3">
        <v>0</v>
      </c>
      <c r="BR206" t="s">
        <v>7935</v>
      </c>
      <c r="BS206" s="3">
        <v>4.63</v>
      </c>
      <c r="BT206" s="3">
        <v>0.1</v>
      </c>
      <c r="BU206" s="3">
        <v>-0.1</v>
      </c>
      <c r="BV206" s="3">
        <v>0</v>
      </c>
      <c r="BW206" t="s">
        <v>7936</v>
      </c>
      <c r="BX206" t="s">
        <v>8270</v>
      </c>
      <c r="BY206" s="3">
        <v>348.33720260000001</v>
      </c>
      <c r="BZ206" t="s">
        <v>8271</v>
      </c>
      <c r="CA206" s="3">
        <v>57.169625500000002</v>
      </c>
      <c r="CB206" s="3">
        <v>6.5312700000000001</v>
      </c>
      <c r="CC206" s="3">
        <v>3.8400000000000001E-3</v>
      </c>
      <c r="CD206" s="3">
        <v>-3.8500000000000001E-3</v>
      </c>
      <c r="CE206" s="3">
        <v>5.5691100000000002</v>
      </c>
      <c r="CF206" s="3">
        <v>2.3E-2</v>
      </c>
      <c r="CG206" s="3">
        <v>-2.3E-2</v>
      </c>
      <c r="CH206" s="3">
        <v>3.2610000000000001</v>
      </c>
      <c r="CI206" s="3">
        <v>0.30399999999999999</v>
      </c>
      <c r="CJ206" s="3">
        <v>-0.30399999999999999</v>
      </c>
      <c r="CK206" s="3">
        <v>5.2401999999999997</v>
      </c>
      <c r="CL206" s="3">
        <v>2.2257000000000002E-3</v>
      </c>
      <c r="CM206" s="3">
        <v>-2.2257000000000002E-3</v>
      </c>
      <c r="CN206" t="s">
        <v>1619</v>
      </c>
      <c r="CO206" t="s">
        <v>8282</v>
      </c>
      <c r="CP206" t="s">
        <v>8201</v>
      </c>
    </row>
    <row r="207" spans="1:94" x14ac:dyDescent="0.45">
      <c r="A207" t="s">
        <v>728</v>
      </c>
      <c r="B207">
        <v>0</v>
      </c>
      <c r="C207" t="s">
        <v>1621</v>
      </c>
      <c r="D207" t="s">
        <v>729</v>
      </c>
      <c r="E207" s="3">
        <v>0</v>
      </c>
      <c r="F207" s="3">
        <v>1</v>
      </c>
      <c r="G207" s="3">
        <v>6</v>
      </c>
      <c r="H207" t="s">
        <v>1427</v>
      </c>
      <c r="I207" s="3">
        <v>2015</v>
      </c>
      <c r="J207" t="s">
        <v>7996</v>
      </c>
      <c r="K207" t="s">
        <v>1429</v>
      </c>
      <c r="L207" s="3">
        <v>0</v>
      </c>
      <c r="M207" t="s">
        <v>7942</v>
      </c>
      <c r="N207" s="3">
        <v>46.734000000000002</v>
      </c>
      <c r="O207" s="3">
        <v>1.2E-2</v>
      </c>
      <c r="P207" s="3">
        <v>-1.2E-2</v>
      </c>
      <c r="Q207" s="3">
        <v>0</v>
      </c>
      <c r="R207" s="3">
        <v>0.23449999999999999</v>
      </c>
      <c r="S207" s="3">
        <v>2.7000000000000001E-3</v>
      </c>
      <c r="T207" s="3">
        <v>-2.7000000000000001E-3</v>
      </c>
      <c r="U207" s="3">
        <v>0</v>
      </c>
      <c r="AD207" s="3">
        <v>16.399945800000001</v>
      </c>
      <c r="AE207" s="3">
        <v>1.0170509000000001</v>
      </c>
      <c r="AF207" s="3">
        <v>-0.95348522000000002</v>
      </c>
      <c r="AG207" s="3">
        <v>0</v>
      </c>
      <c r="AH207" s="3">
        <v>5.16E-2</v>
      </c>
      <c r="AI207" s="3">
        <v>3.2000000000000002E-3</v>
      </c>
      <c r="AJ207" s="3">
        <v>-3.0000000000000001E-3</v>
      </c>
      <c r="AK207" s="3">
        <v>0</v>
      </c>
      <c r="AL207" t="s">
        <v>1426</v>
      </c>
      <c r="AM207" s="3">
        <v>7.6999999999999999E-2</v>
      </c>
      <c r="AN207" s="3">
        <v>5.5E-2</v>
      </c>
      <c r="AO207" s="3">
        <v>-0.05</v>
      </c>
      <c r="AP207" s="3">
        <v>0</v>
      </c>
      <c r="AY207" s="3">
        <v>0</v>
      </c>
      <c r="AZ207" t="s">
        <v>7942</v>
      </c>
      <c r="BB207" s="3">
        <v>4817.1400000000003</v>
      </c>
      <c r="BC207" s="3">
        <v>62.04</v>
      </c>
      <c r="BD207" s="3">
        <v>-62.04</v>
      </c>
      <c r="BE207" s="3">
        <v>0</v>
      </c>
      <c r="BF207" s="3">
        <v>0.75746599999999997</v>
      </c>
      <c r="BG207" s="3">
        <v>1.2968E-2</v>
      </c>
      <c r="BH207" s="3">
        <v>-1.2968E-2</v>
      </c>
      <c r="BI207" s="3">
        <v>0</v>
      </c>
      <c r="BJ207" s="3">
        <v>0.78848399999999996</v>
      </c>
      <c r="BK207" s="3">
        <v>2.6654000000000001E-2</v>
      </c>
      <c r="BL207" s="3">
        <v>-2.6654000000000001E-2</v>
      </c>
      <c r="BM207" s="3">
        <v>0</v>
      </c>
      <c r="BN207" s="3">
        <v>8.3400000000000002E-2</v>
      </c>
      <c r="BO207" s="3">
        <v>5.8500000000000003E-2</v>
      </c>
      <c r="BP207" s="3">
        <v>-5.8500000000000003E-2</v>
      </c>
      <c r="BQ207" s="3">
        <v>0</v>
      </c>
      <c r="BR207" t="s">
        <v>7935</v>
      </c>
      <c r="BS207" s="3">
        <v>4.5748920000000002</v>
      </c>
      <c r="BT207" s="3">
        <v>2.1159000000000001E-2</v>
      </c>
      <c r="BU207" s="3">
        <v>-2.1159000000000001E-2</v>
      </c>
      <c r="BV207" s="3">
        <v>0</v>
      </c>
      <c r="BW207" t="s">
        <v>7936</v>
      </c>
      <c r="BX207" t="s">
        <v>8270</v>
      </c>
      <c r="BY207" s="3">
        <v>348.33720260000001</v>
      </c>
      <c r="BZ207" t="s">
        <v>8271</v>
      </c>
      <c r="CA207" s="3">
        <v>57.169625500000002</v>
      </c>
      <c r="CB207" s="3">
        <v>6.5312700000000001</v>
      </c>
      <c r="CC207" s="3">
        <v>3.8400000000000001E-3</v>
      </c>
      <c r="CD207" s="3">
        <v>-3.8500000000000001E-3</v>
      </c>
      <c r="CE207" s="3">
        <v>5.5691100000000002</v>
      </c>
      <c r="CF207" s="3">
        <v>2.3E-2</v>
      </c>
      <c r="CG207" s="3">
        <v>-2.3E-2</v>
      </c>
      <c r="CH207" s="3">
        <v>3.2610000000000001</v>
      </c>
      <c r="CI207" s="3">
        <v>0.30399999999999999</v>
      </c>
      <c r="CJ207" s="3">
        <v>-0.30399999999999999</v>
      </c>
      <c r="CK207" s="3">
        <v>5.2401999999999997</v>
      </c>
      <c r="CL207" s="3">
        <v>2.2257000000000002E-3</v>
      </c>
      <c r="CM207" s="3">
        <v>-2.2257000000000002E-3</v>
      </c>
      <c r="CN207" t="s">
        <v>7943</v>
      </c>
      <c r="CO207" t="s">
        <v>7944</v>
      </c>
      <c r="CP207" t="s">
        <v>7943</v>
      </c>
    </row>
    <row r="208" spans="1:94" x14ac:dyDescent="0.45">
      <c r="A208" t="s">
        <v>728</v>
      </c>
      <c r="B208">
        <v>0</v>
      </c>
      <c r="C208" t="s">
        <v>1621</v>
      </c>
      <c r="D208" t="s">
        <v>729</v>
      </c>
      <c r="E208" s="3">
        <v>0</v>
      </c>
      <c r="F208" s="3">
        <v>1</v>
      </c>
      <c r="G208" s="3">
        <v>6</v>
      </c>
      <c r="H208" t="s">
        <v>1427</v>
      </c>
      <c r="I208" s="3">
        <v>2015</v>
      </c>
      <c r="J208" t="s">
        <v>7996</v>
      </c>
      <c r="K208" t="s">
        <v>1429</v>
      </c>
      <c r="L208" s="3">
        <v>0</v>
      </c>
      <c r="M208" t="s">
        <v>7940</v>
      </c>
      <c r="N208" s="3">
        <v>46.743000000000002</v>
      </c>
      <c r="O208" s="3">
        <v>0.01</v>
      </c>
      <c r="P208" s="3">
        <v>-9.7999999999999997E-3</v>
      </c>
      <c r="Q208" s="3">
        <v>0</v>
      </c>
      <c r="R208" s="3">
        <v>0.22439999999999999</v>
      </c>
      <c r="S208" s="3">
        <v>5.3E-3</v>
      </c>
      <c r="T208" s="3">
        <v>-5.4999999999999997E-3</v>
      </c>
      <c r="U208" s="3">
        <v>0</v>
      </c>
      <c r="AD208" s="3">
        <v>15.5</v>
      </c>
      <c r="AE208" s="3">
        <v>1.1000000000000001</v>
      </c>
      <c r="AF208" s="3">
        <v>-1</v>
      </c>
      <c r="AG208" s="3">
        <v>0</v>
      </c>
      <c r="AH208" s="3">
        <v>4.8768449999999998E-2</v>
      </c>
      <c r="AI208" s="3">
        <v>3.4609900000000002E-3</v>
      </c>
      <c r="AJ208" s="3">
        <v>-3.14635E-3</v>
      </c>
      <c r="AK208" s="3">
        <v>0</v>
      </c>
      <c r="AL208" t="s">
        <v>1426</v>
      </c>
      <c r="AM208" s="3">
        <v>4.8000000000000001E-2</v>
      </c>
      <c r="AN208" s="3">
        <v>4.3999999999999997E-2</v>
      </c>
      <c r="AO208" s="3">
        <v>-3.3000000000000002E-2</v>
      </c>
      <c r="AP208" s="3">
        <v>0</v>
      </c>
      <c r="AY208" s="3">
        <v>0</v>
      </c>
      <c r="AZ208" t="s">
        <v>7940</v>
      </c>
      <c r="BB208" s="3">
        <v>4874</v>
      </c>
      <c r="BE208" s="3">
        <v>0</v>
      </c>
      <c r="BW208" t="s">
        <v>7936</v>
      </c>
      <c r="BX208" t="s">
        <v>8270</v>
      </c>
      <c r="BY208" s="3">
        <v>348.33720260000001</v>
      </c>
      <c r="BZ208" t="s">
        <v>8271</v>
      </c>
      <c r="CA208" s="3">
        <v>57.169625500000002</v>
      </c>
      <c r="CB208" s="3">
        <v>6.5312700000000001</v>
      </c>
      <c r="CC208" s="3">
        <v>3.8400000000000001E-3</v>
      </c>
      <c r="CD208" s="3">
        <v>-3.8500000000000001E-3</v>
      </c>
      <c r="CE208" s="3">
        <v>5.5691100000000002</v>
      </c>
      <c r="CF208" s="3">
        <v>2.3E-2</v>
      </c>
      <c r="CG208" s="3">
        <v>-2.3E-2</v>
      </c>
      <c r="CH208" s="3">
        <v>3.2610000000000001</v>
      </c>
      <c r="CI208" s="3">
        <v>0.30399999999999999</v>
      </c>
      <c r="CJ208" s="3">
        <v>-0.30399999999999999</v>
      </c>
      <c r="CK208" s="3">
        <v>5.2401999999999997</v>
      </c>
      <c r="CL208" s="3">
        <v>2.2257000000000002E-3</v>
      </c>
      <c r="CM208" s="3">
        <v>-2.2257000000000002E-3</v>
      </c>
      <c r="CN208" t="s">
        <v>1513</v>
      </c>
      <c r="CO208" t="s">
        <v>7941</v>
      </c>
      <c r="CP208" t="s">
        <v>1513</v>
      </c>
    </row>
    <row r="209" spans="1:94" x14ac:dyDescent="0.45">
      <c r="A209" t="s">
        <v>728</v>
      </c>
      <c r="B209">
        <v>0</v>
      </c>
      <c r="C209" t="s">
        <v>1621</v>
      </c>
      <c r="D209" t="s">
        <v>729</v>
      </c>
      <c r="E209" s="3">
        <v>0</v>
      </c>
      <c r="F209" s="3">
        <v>1</v>
      </c>
      <c r="G209" s="3">
        <v>6</v>
      </c>
      <c r="H209" t="s">
        <v>1427</v>
      </c>
      <c r="I209" s="3">
        <v>2015</v>
      </c>
      <c r="J209" t="s">
        <v>7996</v>
      </c>
      <c r="K209" t="s">
        <v>1429</v>
      </c>
      <c r="L209" s="3">
        <v>0</v>
      </c>
      <c r="M209" t="s">
        <v>8279</v>
      </c>
      <c r="N209" s="3">
        <v>46.71</v>
      </c>
      <c r="O209" s="3">
        <v>0.01</v>
      </c>
      <c r="P209" s="3">
        <v>-0.01</v>
      </c>
      <c r="Q209" s="3">
        <v>0</v>
      </c>
      <c r="R209" s="3">
        <v>0.23508000000000001</v>
      </c>
      <c r="S209" s="3">
        <v>4.0000000000000003E-5</v>
      </c>
      <c r="T209" s="3">
        <v>-4.0000000000000003E-5</v>
      </c>
      <c r="U209" s="3">
        <v>0</v>
      </c>
      <c r="AD209" s="3">
        <v>21.294609999999999</v>
      </c>
      <c r="AE209" s="3">
        <v>1.27132</v>
      </c>
      <c r="AF209" s="3">
        <v>-1.27132</v>
      </c>
      <c r="AG209" s="3">
        <v>0</v>
      </c>
      <c r="AH209" s="3">
        <v>6.7000000000000004E-2</v>
      </c>
      <c r="AI209" s="3">
        <v>4.0000000000000001E-3</v>
      </c>
      <c r="AJ209" s="3">
        <v>-4.0000000000000001E-3</v>
      </c>
      <c r="AK209" s="3">
        <v>0</v>
      </c>
      <c r="AL209" t="s">
        <v>1426</v>
      </c>
      <c r="AM209" s="3">
        <v>0</v>
      </c>
      <c r="AP209" s="3">
        <v>0</v>
      </c>
      <c r="AY209" s="3">
        <v>0</v>
      </c>
      <c r="AZ209" t="s">
        <v>8279</v>
      </c>
      <c r="BA209" t="s">
        <v>8278</v>
      </c>
      <c r="BB209" s="3">
        <v>4913</v>
      </c>
      <c r="BE209" s="3">
        <v>0</v>
      </c>
      <c r="BF209" s="3">
        <v>0.77</v>
      </c>
      <c r="BG209" s="3">
        <v>0.02</v>
      </c>
      <c r="BH209" s="3">
        <v>-0.02</v>
      </c>
      <c r="BI209" s="3">
        <v>0</v>
      </c>
      <c r="BJ209" s="3">
        <v>0.79400000000000004</v>
      </c>
      <c r="BK209" s="3">
        <v>3.6999999999999998E-2</v>
      </c>
      <c r="BL209" s="3">
        <v>-2.1999999999999999E-2</v>
      </c>
      <c r="BM209" s="3">
        <v>0</v>
      </c>
      <c r="BN209" s="3">
        <v>0.08</v>
      </c>
      <c r="BQ209" s="3">
        <v>0</v>
      </c>
      <c r="BR209" t="s">
        <v>7935</v>
      </c>
      <c r="BS209" s="3">
        <v>4.51</v>
      </c>
      <c r="BV209" s="3">
        <v>0</v>
      </c>
      <c r="BW209" t="s">
        <v>7936</v>
      </c>
      <c r="BX209" t="s">
        <v>8270</v>
      </c>
      <c r="BY209" s="3">
        <v>348.33720260000001</v>
      </c>
      <c r="BZ209" t="s">
        <v>8271</v>
      </c>
      <c r="CA209" s="3">
        <v>57.169625500000002</v>
      </c>
      <c r="CB209" s="3">
        <v>6.5312700000000001</v>
      </c>
      <c r="CC209" s="3">
        <v>3.8400000000000001E-3</v>
      </c>
      <c r="CD209" s="3">
        <v>-3.8500000000000001E-3</v>
      </c>
      <c r="CE209" s="3">
        <v>5.5691100000000002</v>
      </c>
      <c r="CF209" s="3">
        <v>2.3E-2</v>
      </c>
      <c r="CG209" s="3">
        <v>-2.3E-2</v>
      </c>
      <c r="CH209" s="3">
        <v>3.2610000000000001</v>
      </c>
      <c r="CI209" s="3">
        <v>0.30399999999999999</v>
      </c>
      <c r="CJ209" s="3">
        <v>-0.30399999999999999</v>
      </c>
      <c r="CK209" s="3">
        <v>5.2401999999999997</v>
      </c>
      <c r="CL209" s="3">
        <v>2.2257000000000002E-3</v>
      </c>
      <c r="CM209" s="3">
        <v>-2.2257000000000002E-3</v>
      </c>
      <c r="CN209" t="s">
        <v>1619</v>
      </c>
      <c r="CO209" t="s">
        <v>8280</v>
      </c>
      <c r="CP209" t="s">
        <v>8281</v>
      </c>
    </row>
    <row r="210" spans="1:94" x14ac:dyDescent="0.45">
      <c r="A210" t="s">
        <v>728</v>
      </c>
      <c r="B210">
        <v>0</v>
      </c>
      <c r="C210" t="s">
        <v>1623</v>
      </c>
      <c r="D210" t="s">
        <v>729</v>
      </c>
      <c r="E210" s="3">
        <v>0</v>
      </c>
      <c r="F210" s="3">
        <v>1</v>
      </c>
      <c r="G210" s="3">
        <v>6</v>
      </c>
      <c r="H210" t="s">
        <v>1427</v>
      </c>
      <c r="I210" s="3">
        <v>2015</v>
      </c>
      <c r="J210" t="s">
        <v>7932</v>
      </c>
      <c r="K210" t="s">
        <v>1429</v>
      </c>
      <c r="L210" s="3">
        <v>1</v>
      </c>
      <c r="M210" t="s">
        <v>8279</v>
      </c>
      <c r="N210" s="3">
        <v>22.805</v>
      </c>
      <c r="O210" s="3">
        <v>5.0000000000000001E-3</v>
      </c>
      <c r="P210" s="3">
        <v>-5.0000000000000001E-3</v>
      </c>
      <c r="Q210" s="3">
        <v>0</v>
      </c>
      <c r="R210" s="3">
        <v>0.14574000000000001</v>
      </c>
      <c r="S210" s="3">
        <v>2.0000000000000002E-5</v>
      </c>
      <c r="T210" s="3">
        <v>-2.0000000000000002E-5</v>
      </c>
      <c r="U210" s="3">
        <v>0</v>
      </c>
      <c r="AD210" s="3">
        <v>8.8992400000000007</v>
      </c>
      <c r="AE210" s="3">
        <v>0.95348999999999995</v>
      </c>
      <c r="AF210" s="3">
        <v>-0.95348999999999995</v>
      </c>
      <c r="AG210" s="3">
        <v>0</v>
      </c>
      <c r="AH210" s="3">
        <v>2.8000000000000001E-2</v>
      </c>
      <c r="AI210" s="3">
        <v>3.0000000000000001E-3</v>
      </c>
      <c r="AJ210" s="3">
        <v>-3.0000000000000001E-3</v>
      </c>
      <c r="AK210" s="3">
        <v>0</v>
      </c>
      <c r="AL210" t="s">
        <v>1426</v>
      </c>
      <c r="AM210" s="3">
        <v>0</v>
      </c>
      <c r="AP210" s="3">
        <v>0</v>
      </c>
      <c r="AY210" s="3">
        <v>0</v>
      </c>
      <c r="AZ210" t="s">
        <v>8279</v>
      </c>
      <c r="BA210" t="s">
        <v>8278</v>
      </c>
      <c r="BB210" s="3">
        <v>4913</v>
      </c>
      <c r="BE210" s="3">
        <v>0</v>
      </c>
      <c r="BF210" s="3">
        <v>0.77</v>
      </c>
      <c r="BG210" s="3">
        <v>0.02</v>
      </c>
      <c r="BH210" s="3">
        <v>-0.02</v>
      </c>
      <c r="BI210" s="3">
        <v>0</v>
      </c>
      <c r="BJ210" s="3">
        <v>0.79400000000000004</v>
      </c>
      <c r="BK210" s="3">
        <v>3.6999999999999998E-2</v>
      </c>
      <c r="BL210" s="3">
        <v>-2.1999999999999999E-2</v>
      </c>
      <c r="BM210" s="3">
        <v>0</v>
      </c>
      <c r="BN210" s="3">
        <v>0.08</v>
      </c>
      <c r="BQ210" s="3">
        <v>0</v>
      </c>
      <c r="BR210" t="s">
        <v>7935</v>
      </c>
      <c r="BS210" s="3">
        <v>4.51</v>
      </c>
      <c r="BV210" s="3">
        <v>0</v>
      </c>
      <c r="BW210" t="s">
        <v>7936</v>
      </c>
      <c r="BX210" t="s">
        <v>8270</v>
      </c>
      <c r="BY210" s="3">
        <v>348.33720260000001</v>
      </c>
      <c r="BZ210" t="s">
        <v>8271</v>
      </c>
      <c r="CA210" s="3">
        <v>57.169625500000002</v>
      </c>
      <c r="CB210" s="3">
        <v>6.5312700000000001</v>
      </c>
      <c r="CC210" s="3">
        <v>3.8400000000000001E-3</v>
      </c>
      <c r="CD210" s="3">
        <v>-3.8500000000000001E-3</v>
      </c>
      <c r="CE210" s="3">
        <v>5.5691100000000002</v>
      </c>
      <c r="CF210" s="3">
        <v>2.3E-2</v>
      </c>
      <c r="CG210" s="3">
        <v>-2.3E-2</v>
      </c>
      <c r="CH210" s="3">
        <v>3.2610000000000001</v>
      </c>
      <c r="CI210" s="3">
        <v>0.30399999999999999</v>
      </c>
      <c r="CJ210" s="3">
        <v>-0.30399999999999999</v>
      </c>
      <c r="CK210" s="3">
        <v>5.2401999999999997</v>
      </c>
      <c r="CL210" s="3">
        <v>2.2257000000000002E-3</v>
      </c>
      <c r="CM210" s="3">
        <v>-2.2257000000000002E-3</v>
      </c>
      <c r="CN210" t="s">
        <v>1619</v>
      </c>
      <c r="CO210" t="s">
        <v>8280</v>
      </c>
      <c r="CP210" t="s">
        <v>8281</v>
      </c>
    </row>
    <row r="211" spans="1:94" x14ac:dyDescent="0.45">
      <c r="A211" t="s">
        <v>728</v>
      </c>
      <c r="B211">
        <v>0</v>
      </c>
      <c r="C211" t="s">
        <v>1623</v>
      </c>
      <c r="D211" t="s">
        <v>729</v>
      </c>
      <c r="E211" s="3">
        <v>0</v>
      </c>
      <c r="F211" s="3">
        <v>1</v>
      </c>
      <c r="G211" s="3">
        <v>6</v>
      </c>
      <c r="H211" t="s">
        <v>1427</v>
      </c>
      <c r="I211" s="3">
        <v>2015</v>
      </c>
      <c r="J211" t="s">
        <v>7932</v>
      </c>
      <c r="K211" t="s">
        <v>1429</v>
      </c>
      <c r="L211" s="3">
        <v>1</v>
      </c>
      <c r="M211" t="s">
        <v>7940</v>
      </c>
      <c r="N211" s="3">
        <v>22.793099999999999</v>
      </c>
      <c r="O211" s="3">
        <v>4.8999999999999998E-3</v>
      </c>
      <c r="P211" s="3">
        <v>-5.1999999999999998E-3</v>
      </c>
      <c r="Q211" s="3">
        <v>0</v>
      </c>
      <c r="R211" s="3">
        <v>0.13900000000000001</v>
      </c>
      <c r="S211" s="3">
        <v>3.3E-3</v>
      </c>
      <c r="T211" s="3">
        <v>-3.3999999999999998E-3</v>
      </c>
      <c r="U211" s="3">
        <v>0</v>
      </c>
      <c r="AD211" s="3">
        <v>6.43</v>
      </c>
      <c r="AE211" s="3">
        <v>0.66</v>
      </c>
      <c r="AF211" s="3">
        <v>-0.64</v>
      </c>
      <c r="AG211" s="3">
        <v>0</v>
      </c>
      <c r="AH211" s="3">
        <v>2.0231039999999999E-2</v>
      </c>
      <c r="AI211" s="3">
        <v>2.0765900000000001E-3</v>
      </c>
      <c r="AJ211" s="3">
        <v>-2.01367E-3</v>
      </c>
      <c r="AK211" s="3">
        <v>0</v>
      </c>
      <c r="AL211" t="s">
        <v>1426</v>
      </c>
      <c r="AM211" s="3">
        <v>6.3E-2</v>
      </c>
      <c r="AN211" s="3">
        <v>6.9000000000000006E-2</v>
      </c>
      <c r="AO211" s="3">
        <v>-4.4999999999999998E-2</v>
      </c>
      <c r="AP211" s="3">
        <v>0</v>
      </c>
      <c r="AY211" s="3">
        <v>0</v>
      </c>
      <c r="AZ211" t="s">
        <v>7940</v>
      </c>
      <c r="BB211" s="3">
        <v>4874</v>
      </c>
      <c r="BE211" s="3">
        <v>0</v>
      </c>
      <c r="BW211" t="s">
        <v>7936</v>
      </c>
      <c r="BX211" t="s">
        <v>8270</v>
      </c>
      <c r="BY211" s="3">
        <v>348.33720260000001</v>
      </c>
      <c r="BZ211" t="s">
        <v>8271</v>
      </c>
      <c r="CA211" s="3">
        <v>57.169625500000002</v>
      </c>
      <c r="CB211" s="3">
        <v>6.5312700000000001</v>
      </c>
      <c r="CC211" s="3">
        <v>3.8400000000000001E-3</v>
      </c>
      <c r="CD211" s="3">
        <v>-3.8500000000000001E-3</v>
      </c>
      <c r="CE211" s="3">
        <v>5.5691100000000002</v>
      </c>
      <c r="CF211" s="3">
        <v>2.3E-2</v>
      </c>
      <c r="CG211" s="3">
        <v>-2.3E-2</v>
      </c>
      <c r="CH211" s="3">
        <v>3.2610000000000001</v>
      </c>
      <c r="CI211" s="3">
        <v>0.30399999999999999</v>
      </c>
      <c r="CJ211" s="3">
        <v>-0.30399999999999999</v>
      </c>
      <c r="CK211" s="3">
        <v>5.2401999999999997</v>
      </c>
      <c r="CL211" s="3">
        <v>2.2257000000000002E-3</v>
      </c>
      <c r="CM211" s="3">
        <v>-2.2257000000000002E-3</v>
      </c>
      <c r="CN211" t="s">
        <v>1513</v>
      </c>
      <c r="CO211" t="s">
        <v>7941</v>
      </c>
      <c r="CP211" t="s">
        <v>1513</v>
      </c>
    </row>
    <row r="212" spans="1:94" x14ac:dyDescent="0.45">
      <c r="A212" t="s">
        <v>728</v>
      </c>
      <c r="B212">
        <v>0</v>
      </c>
      <c r="C212" t="s">
        <v>1623</v>
      </c>
      <c r="D212" t="s">
        <v>729</v>
      </c>
      <c r="E212" s="3">
        <v>0</v>
      </c>
      <c r="F212" s="3">
        <v>1</v>
      </c>
      <c r="G212" s="3">
        <v>6</v>
      </c>
      <c r="H212" t="s">
        <v>1427</v>
      </c>
      <c r="I212" s="3">
        <v>2015</v>
      </c>
      <c r="J212" t="s">
        <v>7932</v>
      </c>
      <c r="K212" t="s">
        <v>1429</v>
      </c>
      <c r="L212" s="3">
        <v>1</v>
      </c>
      <c r="M212" t="s">
        <v>7942</v>
      </c>
      <c r="N212" s="3">
        <v>22.794499999999999</v>
      </c>
      <c r="O212" s="3">
        <v>4.7000000000000002E-3</v>
      </c>
      <c r="P212" s="3">
        <v>-5.5999999999999999E-3</v>
      </c>
      <c r="Q212" s="3">
        <v>0</v>
      </c>
      <c r="R212" s="3">
        <v>0.14530000000000001</v>
      </c>
      <c r="S212" s="3">
        <v>1.6999999999999999E-3</v>
      </c>
      <c r="T212" s="3">
        <v>-1.6000000000000001E-3</v>
      </c>
      <c r="U212" s="3">
        <v>0</v>
      </c>
      <c r="AD212" s="3">
        <v>7.7232302900000001</v>
      </c>
      <c r="AE212" s="3">
        <v>0.73100533999999995</v>
      </c>
      <c r="AF212" s="3">
        <v>-0.69922249999999997</v>
      </c>
      <c r="AG212" s="3">
        <v>0</v>
      </c>
      <c r="AH212" s="3">
        <v>2.4299999999999999E-2</v>
      </c>
      <c r="AI212" s="3">
        <v>2.3E-3</v>
      </c>
      <c r="AJ212" s="3">
        <v>-2.2000000000000001E-3</v>
      </c>
      <c r="AK212" s="3">
        <v>0</v>
      </c>
      <c r="AL212" t="s">
        <v>1426</v>
      </c>
      <c r="AM212" s="3">
        <v>7.1999999999999995E-2</v>
      </c>
      <c r="AN212" s="3">
        <v>7.8E-2</v>
      </c>
      <c r="AO212" s="3">
        <v>-5.0999999999999997E-2</v>
      </c>
      <c r="AP212" s="3">
        <v>0</v>
      </c>
      <c r="AY212" s="3">
        <v>0</v>
      </c>
      <c r="AZ212" t="s">
        <v>7942</v>
      </c>
      <c r="BB212" s="3">
        <v>4817.1400000000003</v>
      </c>
      <c r="BC212" s="3">
        <v>62.04</v>
      </c>
      <c r="BD212" s="3">
        <v>-62.04</v>
      </c>
      <c r="BE212" s="3">
        <v>0</v>
      </c>
      <c r="BF212" s="3">
        <v>0.75746599999999997</v>
      </c>
      <c r="BG212" s="3">
        <v>1.2968E-2</v>
      </c>
      <c r="BH212" s="3">
        <v>-1.2968E-2</v>
      </c>
      <c r="BI212" s="3">
        <v>0</v>
      </c>
      <c r="BJ212" s="3">
        <v>0.78848399999999996</v>
      </c>
      <c r="BK212" s="3">
        <v>2.6654000000000001E-2</v>
      </c>
      <c r="BL212" s="3">
        <v>-2.6654000000000001E-2</v>
      </c>
      <c r="BM212" s="3">
        <v>0</v>
      </c>
      <c r="BN212" s="3">
        <v>8.3400000000000002E-2</v>
      </c>
      <c r="BO212" s="3">
        <v>5.8500000000000003E-2</v>
      </c>
      <c r="BP212" s="3">
        <v>-5.8500000000000003E-2</v>
      </c>
      <c r="BQ212" s="3">
        <v>0</v>
      </c>
      <c r="BR212" t="s">
        <v>7935</v>
      </c>
      <c r="BS212" s="3">
        <v>4.5748920000000002</v>
      </c>
      <c r="BT212" s="3">
        <v>2.1159000000000001E-2</v>
      </c>
      <c r="BU212" s="3">
        <v>-2.1159000000000001E-2</v>
      </c>
      <c r="BV212" s="3">
        <v>0</v>
      </c>
      <c r="BW212" t="s">
        <v>7936</v>
      </c>
      <c r="BX212" t="s">
        <v>8270</v>
      </c>
      <c r="BY212" s="3">
        <v>348.33720260000001</v>
      </c>
      <c r="BZ212" t="s">
        <v>8271</v>
      </c>
      <c r="CA212" s="3">
        <v>57.169625500000002</v>
      </c>
      <c r="CB212" s="3">
        <v>6.5312700000000001</v>
      </c>
      <c r="CC212" s="3">
        <v>3.8400000000000001E-3</v>
      </c>
      <c r="CD212" s="3">
        <v>-3.8500000000000001E-3</v>
      </c>
      <c r="CE212" s="3">
        <v>5.5691100000000002</v>
      </c>
      <c r="CF212" s="3">
        <v>2.3E-2</v>
      </c>
      <c r="CG212" s="3">
        <v>-2.3E-2</v>
      </c>
      <c r="CH212" s="3">
        <v>3.2610000000000001</v>
      </c>
      <c r="CI212" s="3">
        <v>0.30399999999999999</v>
      </c>
      <c r="CJ212" s="3">
        <v>-0.30399999999999999</v>
      </c>
      <c r="CK212" s="3">
        <v>5.2401999999999997</v>
      </c>
      <c r="CL212" s="3">
        <v>2.2257000000000002E-3</v>
      </c>
      <c r="CM212" s="3">
        <v>-2.2257000000000002E-3</v>
      </c>
      <c r="CN212" t="s">
        <v>7943</v>
      </c>
      <c r="CO212" t="s">
        <v>7944</v>
      </c>
      <c r="CP212" t="s">
        <v>7943</v>
      </c>
    </row>
    <row r="213" spans="1:94" x14ac:dyDescent="0.45">
      <c r="A213" t="s">
        <v>728</v>
      </c>
      <c r="B213">
        <v>1</v>
      </c>
      <c r="C213" t="s">
        <v>1623</v>
      </c>
      <c r="D213" t="s">
        <v>729</v>
      </c>
      <c r="E213" s="3">
        <v>1</v>
      </c>
      <c r="F213" s="3">
        <v>1</v>
      </c>
      <c r="G213" s="3">
        <v>6</v>
      </c>
      <c r="H213" t="s">
        <v>1427</v>
      </c>
      <c r="I213" s="3">
        <v>2015</v>
      </c>
      <c r="J213" t="s">
        <v>7932</v>
      </c>
      <c r="K213" t="s">
        <v>1429</v>
      </c>
      <c r="L213" s="3">
        <v>1</v>
      </c>
      <c r="M213" t="s">
        <v>8275</v>
      </c>
      <c r="N213" s="3">
        <v>22.716999999999999</v>
      </c>
      <c r="O213" s="3">
        <v>1.4999999999999999E-2</v>
      </c>
      <c r="P213" s="3">
        <v>-1.4999999999999999E-2</v>
      </c>
      <c r="Q213" s="3">
        <v>0</v>
      </c>
      <c r="R213" s="3">
        <v>0.14630000000000001</v>
      </c>
      <c r="S213" s="3">
        <v>1.8E-3</v>
      </c>
      <c r="T213" s="3">
        <v>-1.8E-3</v>
      </c>
      <c r="U213" s="3">
        <v>0</v>
      </c>
      <c r="V213" s="3">
        <v>1.31</v>
      </c>
      <c r="W213" s="3">
        <v>0.02</v>
      </c>
      <c r="X213" s="3">
        <v>-0.02</v>
      </c>
      <c r="Y213" s="3">
        <v>-1</v>
      </c>
      <c r="Z213" s="3">
        <v>0.11687037</v>
      </c>
      <c r="AA213" s="3">
        <v>1.7842800000000001E-3</v>
      </c>
      <c r="AB213" s="3">
        <v>-1.7842800000000001E-3</v>
      </c>
      <c r="AC213" s="3">
        <v>-1</v>
      </c>
      <c r="AD213" s="3">
        <v>7.3</v>
      </c>
      <c r="AE213" s="3">
        <v>0.4</v>
      </c>
      <c r="AF213" s="3">
        <v>-0.4</v>
      </c>
      <c r="AG213" s="3">
        <v>-1</v>
      </c>
      <c r="AH213" s="3">
        <v>2.2968249999999999E-2</v>
      </c>
      <c r="AI213" s="3">
        <v>1.2585299999999999E-3</v>
      </c>
      <c r="AJ213" s="3">
        <v>-1.2585299999999999E-3</v>
      </c>
      <c r="AK213" s="3">
        <v>-1</v>
      </c>
      <c r="AL213" t="s">
        <v>1453</v>
      </c>
      <c r="AM213" s="3">
        <v>0.14799999999999999</v>
      </c>
      <c r="AN213" s="3">
        <v>4.7E-2</v>
      </c>
      <c r="AO213" s="3">
        <v>-4.7E-2</v>
      </c>
      <c r="AP213" s="3">
        <v>0</v>
      </c>
      <c r="AQ213" s="3">
        <v>12.38</v>
      </c>
      <c r="AR213" s="3">
        <v>0.38</v>
      </c>
      <c r="AS213" s="3">
        <v>-0.38</v>
      </c>
      <c r="AT213" s="3">
        <v>0</v>
      </c>
      <c r="AU213" s="3">
        <v>522.6</v>
      </c>
      <c r="AV213" s="3">
        <v>4.0999999999999996</v>
      </c>
      <c r="AW213" s="3">
        <v>-4.0999999999999996</v>
      </c>
      <c r="AX213" s="3">
        <v>0</v>
      </c>
      <c r="AY213" s="3">
        <v>0</v>
      </c>
      <c r="AZ213" t="s">
        <v>8275</v>
      </c>
      <c r="BB213" s="3">
        <v>4699</v>
      </c>
      <c r="BC213" s="3">
        <v>16</v>
      </c>
      <c r="BD213" s="3">
        <v>-16</v>
      </c>
      <c r="BE213" s="3">
        <v>0</v>
      </c>
      <c r="BF213" s="3">
        <v>0.77800000000000002</v>
      </c>
      <c r="BG213" s="3">
        <v>5.0000000000000001E-3</v>
      </c>
      <c r="BH213" s="3">
        <v>-5.0000000000000001E-3</v>
      </c>
      <c r="BI213" s="3">
        <v>0</v>
      </c>
      <c r="BJ213" s="3">
        <v>0.81</v>
      </c>
      <c r="BK213" s="3">
        <v>0.03</v>
      </c>
      <c r="BL213" s="3">
        <v>-0.03</v>
      </c>
      <c r="BM213" s="3">
        <v>0</v>
      </c>
      <c r="BN213" s="3">
        <v>0.11</v>
      </c>
      <c r="BO213" s="3">
        <v>0.04</v>
      </c>
      <c r="BP213" s="3">
        <v>-0.04</v>
      </c>
      <c r="BQ213" s="3">
        <v>0</v>
      </c>
      <c r="BR213" t="s">
        <v>7935</v>
      </c>
      <c r="BS213" s="3">
        <v>4.5670000000000002</v>
      </c>
      <c r="BT213" s="3">
        <v>1.7999999999999999E-2</v>
      </c>
      <c r="BU213" s="3">
        <v>-1.7999999999999999E-2</v>
      </c>
      <c r="BV213" s="3">
        <v>0</v>
      </c>
      <c r="BW213" t="s">
        <v>7936</v>
      </c>
      <c r="BX213" t="s">
        <v>8270</v>
      </c>
      <c r="BY213" s="3">
        <v>348.33720260000001</v>
      </c>
      <c r="BZ213" t="s">
        <v>8271</v>
      </c>
      <c r="CA213" s="3">
        <v>57.169625500000002</v>
      </c>
      <c r="CB213" s="3">
        <v>6.5312700000000001</v>
      </c>
      <c r="CC213" s="3">
        <v>3.8400000000000001E-3</v>
      </c>
      <c r="CD213" s="3">
        <v>-3.8500000000000001E-3</v>
      </c>
      <c r="CE213" s="3">
        <v>5.5691100000000002</v>
      </c>
      <c r="CF213" s="3">
        <v>2.3E-2</v>
      </c>
      <c r="CG213" s="3">
        <v>-2.3E-2</v>
      </c>
      <c r="CH213" s="3">
        <v>3.2610000000000001</v>
      </c>
      <c r="CI213" s="3">
        <v>0.30399999999999999</v>
      </c>
      <c r="CJ213" s="3">
        <v>-0.30399999999999999</v>
      </c>
      <c r="CK213" s="3">
        <v>5.2401999999999997</v>
      </c>
      <c r="CL213" s="3">
        <v>2.2257000000000002E-3</v>
      </c>
      <c r="CM213" s="3">
        <v>-2.2257000000000002E-3</v>
      </c>
      <c r="CN213" t="s">
        <v>1619</v>
      </c>
      <c r="CO213" t="s">
        <v>8086</v>
      </c>
      <c r="CP213" t="s">
        <v>8276</v>
      </c>
    </row>
    <row r="214" spans="1:94" x14ac:dyDescent="0.45">
      <c r="A214" t="s">
        <v>728</v>
      </c>
      <c r="B214">
        <v>1</v>
      </c>
      <c r="C214" t="s">
        <v>1624</v>
      </c>
      <c r="D214" t="s">
        <v>729</v>
      </c>
      <c r="E214" s="3">
        <v>1</v>
      </c>
      <c r="F214" s="3">
        <v>1</v>
      </c>
      <c r="G214" s="3">
        <v>6</v>
      </c>
      <c r="H214" t="s">
        <v>1427</v>
      </c>
      <c r="I214" s="3">
        <v>2015</v>
      </c>
      <c r="J214" t="s">
        <v>7932</v>
      </c>
      <c r="K214" t="s">
        <v>1429</v>
      </c>
      <c r="L214" s="3">
        <v>1</v>
      </c>
      <c r="M214" t="s">
        <v>8279</v>
      </c>
      <c r="N214" s="3">
        <v>94.2</v>
      </c>
      <c r="O214" s="3">
        <v>0.2</v>
      </c>
      <c r="P214" s="3">
        <v>-0.2</v>
      </c>
      <c r="Q214" s="3">
        <v>0</v>
      </c>
      <c r="R214" s="3">
        <v>0.37530000000000002</v>
      </c>
      <c r="S214" s="3">
        <v>4.0000000000000002E-4</v>
      </c>
      <c r="T214" s="3">
        <v>-4.0000000000000002E-4</v>
      </c>
      <c r="U214" s="3">
        <v>0</v>
      </c>
      <c r="AD214" s="3">
        <v>10.80622</v>
      </c>
      <c r="AE214" s="3">
        <v>1.27132</v>
      </c>
      <c r="AF214" s="3">
        <v>-1.27132</v>
      </c>
      <c r="AG214" s="3">
        <v>0</v>
      </c>
      <c r="AH214" s="3">
        <v>3.4000000000000002E-2</v>
      </c>
      <c r="AI214" s="3">
        <v>4.0000000000000001E-3</v>
      </c>
      <c r="AJ214" s="3">
        <v>-4.0000000000000001E-3</v>
      </c>
      <c r="AK214" s="3">
        <v>0</v>
      </c>
      <c r="AL214" t="s">
        <v>1426</v>
      </c>
      <c r="AM214" s="3">
        <v>0</v>
      </c>
      <c r="AP214" s="3">
        <v>0</v>
      </c>
      <c r="AY214" s="3">
        <v>0</v>
      </c>
      <c r="AZ214" t="s">
        <v>8279</v>
      </c>
      <c r="BA214" t="s">
        <v>8278</v>
      </c>
      <c r="BB214" s="3">
        <v>4913</v>
      </c>
      <c r="BE214" s="3">
        <v>0</v>
      </c>
      <c r="BF214" s="3">
        <v>0.77</v>
      </c>
      <c r="BG214" s="3">
        <v>0.02</v>
      </c>
      <c r="BH214" s="3">
        <v>-0.02</v>
      </c>
      <c r="BI214" s="3">
        <v>0</v>
      </c>
      <c r="BJ214" s="3">
        <v>0.79400000000000004</v>
      </c>
      <c r="BK214" s="3">
        <v>3.6999999999999998E-2</v>
      </c>
      <c r="BL214" s="3">
        <v>-2.1999999999999999E-2</v>
      </c>
      <c r="BM214" s="3">
        <v>0</v>
      </c>
      <c r="BN214" s="3">
        <v>0.08</v>
      </c>
      <c r="BQ214" s="3">
        <v>0</v>
      </c>
      <c r="BR214" t="s">
        <v>7935</v>
      </c>
      <c r="BS214" s="3">
        <v>4.51</v>
      </c>
      <c r="BV214" s="3">
        <v>0</v>
      </c>
      <c r="BW214" t="s">
        <v>7936</v>
      </c>
      <c r="BX214" t="s">
        <v>8270</v>
      </c>
      <c r="BY214" s="3">
        <v>348.33720260000001</v>
      </c>
      <c r="BZ214" t="s">
        <v>8271</v>
      </c>
      <c r="CA214" s="3">
        <v>57.169625500000002</v>
      </c>
      <c r="CB214" s="3">
        <v>6.5312700000000001</v>
      </c>
      <c r="CC214" s="3">
        <v>3.8400000000000001E-3</v>
      </c>
      <c r="CD214" s="3">
        <v>-3.8500000000000001E-3</v>
      </c>
      <c r="CE214" s="3">
        <v>5.5691100000000002</v>
      </c>
      <c r="CF214" s="3">
        <v>2.3E-2</v>
      </c>
      <c r="CG214" s="3">
        <v>-2.3E-2</v>
      </c>
      <c r="CH214" s="3">
        <v>3.2610000000000001</v>
      </c>
      <c r="CI214" s="3">
        <v>0.30399999999999999</v>
      </c>
      <c r="CJ214" s="3">
        <v>-0.30399999999999999</v>
      </c>
      <c r="CK214" s="3">
        <v>5.2401999999999997</v>
      </c>
      <c r="CL214" s="3">
        <v>2.2257000000000002E-3</v>
      </c>
      <c r="CM214" s="3">
        <v>-2.2257000000000002E-3</v>
      </c>
      <c r="CN214" t="s">
        <v>1627</v>
      </c>
      <c r="CO214" t="s">
        <v>8280</v>
      </c>
      <c r="CP214" t="s">
        <v>8281</v>
      </c>
    </row>
    <row r="215" spans="1:94" x14ac:dyDescent="0.45">
      <c r="A215" t="s">
        <v>728</v>
      </c>
      <c r="B215">
        <v>0</v>
      </c>
      <c r="C215" t="s">
        <v>1628</v>
      </c>
      <c r="D215" t="s">
        <v>729</v>
      </c>
      <c r="E215" s="3">
        <v>0</v>
      </c>
      <c r="F215" s="3">
        <v>1</v>
      </c>
      <c r="G215" s="3">
        <v>6</v>
      </c>
      <c r="H215" t="s">
        <v>1427</v>
      </c>
      <c r="I215" s="3">
        <v>2015</v>
      </c>
      <c r="J215" t="s">
        <v>7996</v>
      </c>
      <c r="K215" t="s">
        <v>1429</v>
      </c>
      <c r="L215" s="3">
        <v>0</v>
      </c>
      <c r="M215" t="s">
        <v>8277</v>
      </c>
      <c r="N215" s="3">
        <v>1842</v>
      </c>
      <c r="O215" s="3">
        <v>4199</v>
      </c>
      <c r="P215" s="3">
        <v>-292</v>
      </c>
      <c r="Q215" s="3">
        <v>0</v>
      </c>
      <c r="R215" s="3">
        <v>2.56</v>
      </c>
      <c r="S215" s="3">
        <v>3.41</v>
      </c>
      <c r="T215" s="3">
        <v>-0.15</v>
      </c>
      <c r="U215" s="3">
        <v>0</v>
      </c>
      <c r="AD215" s="3">
        <v>71</v>
      </c>
      <c r="AE215" s="3">
        <v>60</v>
      </c>
      <c r="AF215" s="3">
        <v>-2</v>
      </c>
      <c r="AG215" s="3">
        <v>0</v>
      </c>
      <c r="AH215" s="3">
        <v>0.22338986</v>
      </c>
      <c r="AI215" s="3">
        <v>0.18878017</v>
      </c>
      <c r="AJ215" s="3">
        <v>-6.2926700000000002E-3</v>
      </c>
      <c r="AK215" s="3">
        <v>0</v>
      </c>
      <c r="AL215" t="s">
        <v>1426</v>
      </c>
      <c r="AM215" s="3">
        <v>0.34</v>
      </c>
      <c r="AN215" s="3">
        <v>0.17</v>
      </c>
      <c r="AO215" s="3">
        <v>-0.17</v>
      </c>
      <c r="AP215" s="3">
        <v>0</v>
      </c>
      <c r="AY215" s="3">
        <v>0</v>
      </c>
      <c r="AZ215" t="s">
        <v>8277</v>
      </c>
      <c r="BA215" t="s">
        <v>8278</v>
      </c>
      <c r="BB215" s="3">
        <v>4699</v>
      </c>
      <c r="BC215" s="3">
        <v>16</v>
      </c>
      <c r="BD215" s="3">
        <v>-16</v>
      </c>
      <c r="BE215" s="3">
        <v>0</v>
      </c>
      <c r="BF215" s="3">
        <v>0.77800000000000002</v>
      </c>
      <c r="BG215" s="3">
        <v>5.0000000000000001E-3</v>
      </c>
      <c r="BH215" s="3">
        <v>-5.0000000000000001E-3</v>
      </c>
      <c r="BI215" s="3">
        <v>0</v>
      </c>
      <c r="BJ215" s="3">
        <v>0.78</v>
      </c>
      <c r="BK215" s="3">
        <v>0.02</v>
      </c>
      <c r="BL215" s="3">
        <v>-0.02</v>
      </c>
      <c r="BM215" s="3">
        <v>0</v>
      </c>
      <c r="BN215" s="3">
        <v>0.11</v>
      </c>
      <c r="BO215" s="3">
        <v>0.04</v>
      </c>
      <c r="BP215" s="3">
        <v>-0.04</v>
      </c>
      <c r="BQ215" s="3">
        <v>0</v>
      </c>
      <c r="BR215" t="s">
        <v>7935</v>
      </c>
      <c r="BS215" s="3">
        <v>4.63</v>
      </c>
      <c r="BT215" s="3">
        <v>0.1</v>
      </c>
      <c r="BU215" s="3">
        <v>-0.1</v>
      </c>
      <c r="BV215" s="3">
        <v>0</v>
      </c>
      <c r="BW215" t="s">
        <v>7936</v>
      </c>
      <c r="BX215" t="s">
        <v>8270</v>
      </c>
      <c r="BY215" s="3">
        <v>348.33720260000001</v>
      </c>
      <c r="BZ215" t="s">
        <v>8271</v>
      </c>
      <c r="CA215" s="3">
        <v>57.169625500000002</v>
      </c>
      <c r="CB215" s="3">
        <v>6.5312700000000001</v>
      </c>
      <c r="CC215" s="3">
        <v>3.8400000000000001E-3</v>
      </c>
      <c r="CD215" s="3">
        <v>-3.8500000000000001E-3</v>
      </c>
      <c r="CE215" s="3">
        <v>5.5691100000000002</v>
      </c>
      <c r="CF215" s="3">
        <v>2.3E-2</v>
      </c>
      <c r="CG215" s="3">
        <v>-2.3E-2</v>
      </c>
      <c r="CH215" s="3">
        <v>3.2610000000000001</v>
      </c>
      <c r="CI215" s="3">
        <v>0.30399999999999999</v>
      </c>
      <c r="CJ215" s="3">
        <v>-0.30399999999999999</v>
      </c>
      <c r="CK215" s="3">
        <v>5.2401999999999997</v>
      </c>
      <c r="CL215" s="3">
        <v>2.2257000000000002E-3</v>
      </c>
      <c r="CM215" s="3">
        <v>-2.2257000000000002E-3</v>
      </c>
      <c r="CN215" t="s">
        <v>8199</v>
      </c>
      <c r="CO215" t="s">
        <v>8282</v>
      </c>
      <c r="CP215" t="s">
        <v>8201</v>
      </c>
    </row>
    <row r="216" spans="1:94" x14ac:dyDescent="0.45">
      <c r="A216" t="s">
        <v>728</v>
      </c>
      <c r="B216">
        <v>0</v>
      </c>
      <c r="C216" t="s">
        <v>1628</v>
      </c>
      <c r="D216" t="s">
        <v>729</v>
      </c>
      <c r="E216" s="3">
        <v>0</v>
      </c>
      <c r="F216" s="3">
        <v>1</v>
      </c>
      <c r="G216" s="3">
        <v>6</v>
      </c>
      <c r="H216" t="s">
        <v>1427</v>
      </c>
      <c r="I216" s="3">
        <v>2015</v>
      </c>
      <c r="J216" t="s">
        <v>7996</v>
      </c>
      <c r="K216" t="s">
        <v>1429</v>
      </c>
      <c r="L216" s="3">
        <v>0</v>
      </c>
      <c r="M216" t="s">
        <v>8283</v>
      </c>
      <c r="N216" s="3">
        <v>2146</v>
      </c>
      <c r="O216" s="3">
        <v>64</v>
      </c>
      <c r="P216" s="3">
        <v>-64</v>
      </c>
      <c r="Q216" s="3">
        <v>0</v>
      </c>
      <c r="R216" s="3">
        <v>3.0150000000000001</v>
      </c>
      <c r="S216" s="3">
        <v>0.06</v>
      </c>
      <c r="T216" s="3">
        <v>-0.06</v>
      </c>
      <c r="U216" s="3">
        <v>0</v>
      </c>
      <c r="AD216" s="3">
        <v>76.279200000000003</v>
      </c>
      <c r="AE216" s="3">
        <v>10.80622</v>
      </c>
      <c r="AF216" s="3">
        <v>-10.80622</v>
      </c>
      <c r="AG216" s="3">
        <v>0</v>
      </c>
      <c r="AH216" s="3">
        <v>0.24</v>
      </c>
      <c r="AI216" s="3">
        <v>3.4000000000000002E-2</v>
      </c>
      <c r="AJ216" s="3">
        <v>-3.4000000000000002E-2</v>
      </c>
      <c r="AK216" s="3">
        <v>0</v>
      </c>
      <c r="AL216" t="s">
        <v>1426</v>
      </c>
      <c r="AM216" s="3">
        <v>0.06</v>
      </c>
      <c r="AP216" s="3">
        <v>0</v>
      </c>
      <c r="AY216" s="3">
        <v>0</v>
      </c>
      <c r="AZ216" t="s">
        <v>8283</v>
      </c>
      <c r="BJ216" s="3">
        <v>0.79400000000000004</v>
      </c>
      <c r="BM216" s="3">
        <v>0</v>
      </c>
      <c r="BW216" t="s">
        <v>7936</v>
      </c>
      <c r="BX216" t="s">
        <v>8270</v>
      </c>
      <c r="BY216" s="3">
        <v>348.33720260000001</v>
      </c>
      <c r="BZ216" t="s">
        <v>8271</v>
      </c>
      <c r="CA216" s="3">
        <v>57.169625500000002</v>
      </c>
      <c r="CB216" s="3">
        <v>6.5312700000000001</v>
      </c>
      <c r="CC216" s="3">
        <v>3.8400000000000001E-3</v>
      </c>
      <c r="CD216" s="3">
        <v>-3.8500000000000001E-3</v>
      </c>
      <c r="CE216" s="3">
        <v>5.5691100000000002</v>
      </c>
      <c r="CF216" s="3">
        <v>2.3E-2</v>
      </c>
      <c r="CG216" s="3">
        <v>-2.3E-2</v>
      </c>
      <c r="CH216" s="3">
        <v>3.2610000000000001</v>
      </c>
      <c r="CI216" s="3">
        <v>0.30399999999999999</v>
      </c>
      <c r="CJ216" s="3">
        <v>-0.30399999999999999</v>
      </c>
      <c r="CK216" s="3">
        <v>5.2401999999999997</v>
      </c>
      <c r="CL216" s="3">
        <v>2.2257000000000002E-3</v>
      </c>
      <c r="CM216" s="3">
        <v>-2.2257000000000002E-3</v>
      </c>
      <c r="CN216" t="s">
        <v>8284</v>
      </c>
      <c r="CO216" t="s">
        <v>8285</v>
      </c>
      <c r="CP216" t="s">
        <v>8286</v>
      </c>
    </row>
    <row r="217" spans="1:94" x14ac:dyDescent="0.45">
      <c r="A217" t="s">
        <v>728</v>
      </c>
      <c r="B217">
        <v>1</v>
      </c>
      <c r="C217" t="s">
        <v>1628</v>
      </c>
      <c r="D217" t="s">
        <v>729</v>
      </c>
      <c r="E217" s="3">
        <v>1</v>
      </c>
      <c r="F217" s="3">
        <v>1</v>
      </c>
      <c r="G217" s="3">
        <v>6</v>
      </c>
      <c r="H217" t="s">
        <v>1427</v>
      </c>
      <c r="I217" s="3">
        <v>2015</v>
      </c>
      <c r="J217" t="s">
        <v>7996</v>
      </c>
      <c r="K217" t="s">
        <v>1429</v>
      </c>
      <c r="L217" s="3">
        <v>0</v>
      </c>
      <c r="M217" t="s">
        <v>8279</v>
      </c>
      <c r="N217" s="3">
        <v>2247</v>
      </c>
      <c r="O217" s="3">
        <v>43</v>
      </c>
      <c r="P217" s="3">
        <v>-43</v>
      </c>
      <c r="Q217" s="3">
        <v>0</v>
      </c>
      <c r="R217" s="3">
        <v>3.11</v>
      </c>
      <c r="S217" s="3">
        <v>0.04</v>
      </c>
      <c r="T217" s="3">
        <v>-0.04</v>
      </c>
      <c r="U217" s="3">
        <v>0</v>
      </c>
      <c r="AD217" s="3">
        <v>108.0622</v>
      </c>
      <c r="AE217" s="3">
        <v>6.3566000000000003</v>
      </c>
      <c r="AF217" s="3">
        <v>-6.3566000000000003</v>
      </c>
      <c r="AG217" s="3">
        <v>0</v>
      </c>
      <c r="AH217" s="3">
        <v>0.34</v>
      </c>
      <c r="AI217" s="3">
        <v>0.02</v>
      </c>
      <c r="AJ217" s="3">
        <v>-0.02</v>
      </c>
      <c r="AK217" s="3">
        <v>0</v>
      </c>
      <c r="AL217" t="s">
        <v>1426</v>
      </c>
      <c r="AM217" s="3">
        <v>0.06</v>
      </c>
      <c r="AN217" s="3">
        <v>0.04</v>
      </c>
      <c r="AO217" s="3">
        <v>-0.04</v>
      </c>
      <c r="AP217" s="3">
        <v>0</v>
      </c>
      <c r="AY217" s="3">
        <v>0</v>
      </c>
      <c r="AZ217" t="s">
        <v>8279</v>
      </c>
      <c r="BA217" t="s">
        <v>8278</v>
      </c>
      <c r="BB217" s="3">
        <v>4913</v>
      </c>
      <c r="BE217" s="3">
        <v>0</v>
      </c>
      <c r="BF217" s="3">
        <v>0.77</v>
      </c>
      <c r="BG217" s="3">
        <v>0.02</v>
      </c>
      <c r="BH217" s="3">
        <v>-0.02</v>
      </c>
      <c r="BI217" s="3">
        <v>0</v>
      </c>
      <c r="BJ217" s="3">
        <v>0.79400000000000004</v>
      </c>
      <c r="BK217" s="3">
        <v>3.6999999999999998E-2</v>
      </c>
      <c r="BL217" s="3">
        <v>-2.1999999999999999E-2</v>
      </c>
      <c r="BM217" s="3">
        <v>0</v>
      </c>
      <c r="BN217" s="3">
        <v>0.08</v>
      </c>
      <c r="BQ217" s="3">
        <v>0</v>
      </c>
      <c r="BR217" t="s">
        <v>7935</v>
      </c>
      <c r="BS217" s="3">
        <v>4.51</v>
      </c>
      <c r="BV217" s="3">
        <v>0</v>
      </c>
      <c r="BW217" t="s">
        <v>7936</v>
      </c>
      <c r="BX217" t="s">
        <v>8270</v>
      </c>
      <c r="BY217" s="3">
        <v>348.33720260000001</v>
      </c>
      <c r="BZ217" t="s">
        <v>8271</v>
      </c>
      <c r="CA217" s="3">
        <v>57.169625500000002</v>
      </c>
      <c r="CB217" s="3">
        <v>6.5312700000000001</v>
      </c>
      <c r="CC217" s="3">
        <v>3.8400000000000001E-3</v>
      </c>
      <c r="CD217" s="3">
        <v>-3.8500000000000001E-3</v>
      </c>
      <c r="CE217" s="3">
        <v>5.5691100000000002</v>
      </c>
      <c r="CF217" s="3">
        <v>2.3E-2</v>
      </c>
      <c r="CG217" s="3">
        <v>-2.3E-2</v>
      </c>
      <c r="CH217" s="3">
        <v>3.2610000000000001</v>
      </c>
      <c r="CI217" s="3">
        <v>0.30399999999999999</v>
      </c>
      <c r="CJ217" s="3">
        <v>-0.30399999999999999</v>
      </c>
      <c r="CK217" s="3">
        <v>5.2401999999999997</v>
      </c>
      <c r="CL217" s="3">
        <v>2.2257000000000002E-3</v>
      </c>
      <c r="CM217" s="3">
        <v>-2.2257000000000002E-3</v>
      </c>
      <c r="CN217" t="s">
        <v>1627</v>
      </c>
      <c r="CO217" t="s">
        <v>8280</v>
      </c>
      <c r="CP217" t="s">
        <v>8281</v>
      </c>
    </row>
    <row r="218" spans="1:94" x14ac:dyDescent="0.45">
      <c r="A218" t="s">
        <v>728</v>
      </c>
      <c r="B218">
        <v>0</v>
      </c>
      <c r="C218" t="s">
        <v>1628</v>
      </c>
      <c r="D218" t="s">
        <v>729</v>
      </c>
      <c r="E218" s="3">
        <v>0</v>
      </c>
      <c r="F218" s="3">
        <v>1</v>
      </c>
      <c r="G218" s="3">
        <v>6</v>
      </c>
      <c r="H218" t="s">
        <v>1427</v>
      </c>
      <c r="I218" s="3">
        <v>2015</v>
      </c>
      <c r="J218" t="s">
        <v>7996</v>
      </c>
      <c r="K218" t="s">
        <v>1429</v>
      </c>
      <c r="L218" s="3">
        <v>0</v>
      </c>
      <c r="M218" t="s">
        <v>7942</v>
      </c>
      <c r="N218" s="3">
        <v>2104</v>
      </c>
      <c r="O218" s="3">
        <v>16</v>
      </c>
      <c r="P218" s="3">
        <v>-17</v>
      </c>
      <c r="Q218" s="3">
        <v>0</v>
      </c>
      <c r="R218" s="3">
        <v>2.968</v>
      </c>
      <c r="S218" s="3">
        <v>3.6999999999999998E-2</v>
      </c>
      <c r="T218" s="3">
        <v>-3.6999999999999998E-2</v>
      </c>
      <c r="U218" s="3">
        <v>0</v>
      </c>
      <c r="AD218" s="3">
        <v>97.89114936</v>
      </c>
      <c r="AE218" s="3">
        <v>4.4495977</v>
      </c>
      <c r="AF218" s="3">
        <v>-4.4495977</v>
      </c>
      <c r="AG218" s="3">
        <v>0</v>
      </c>
      <c r="AH218" s="3">
        <v>0.308</v>
      </c>
      <c r="AI218" s="3">
        <v>1.4E-2</v>
      </c>
      <c r="AJ218" s="3">
        <v>-1.4E-2</v>
      </c>
      <c r="AK218" s="3">
        <v>0</v>
      </c>
      <c r="AL218" t="s">
        <v>1426</v>
      </c>
      <c r="AM218" s="3">
        <v>2.5000000000000001E-2</v>
      </c>
      <c r="AN218" s="3">
        <v>2.7E-2</v>
      </c>
      <c r="AO218" s="3">
        <v>-1.7999999999999999E-2</v>
      </c>
      <c r="AP218" s="3">
        <v>0</v>
      </c>
      <c r="AY218" s="3">
        <v>0</v>
      </c>
      <c r="AZ218" t="s">
        <v>7942</v>
      </c>
      <c r="BB218" s="3">
        <v>4817.1400000000003</v>
      </c>
      <c r="BC218" s="3">
        <v>62.04</v>
      </c>
      <c r="BD218" s="3">
        <v>-62.04</v>
      </c>
      <c r="BE218" s="3">
        <v>0</v>
      </c>
      <c r="BF218" s="3">
        <v>0.75746599999999997</v>
      </c>
      <c r="BG218" s="3">
        <v>1.2968E-2</v>
      </c>
      <c r="BH218" s="3">
        <v>-1.2968E-2</v>
      </c>
      <c r="BI218" s="3">
        <v>0</v>
      </c>
      <c r="BJ218" s="3">
        <v>0.78848399999999996</v>
      </c>
      <c r="BK218" s="3">
        <v>2.6654000000000001E-2</v>
      </c>
      <c r="BL218" s="3">
        <v>-2.6654000000000001E-2</v>
      </c>
      <c r="BM218" s="3">
        <v>0</v>
      </c>
      <c r="BN218" s="3">
        <v>8.3400000000000002E-2</v>
      </c>
      <c r="BO218" s="3">
        <v>5.8500000000000003E-2</v>
      </c>
      <c r="BP218" s="3">
        <v>-5.8500000000000003E-2</v>
      </c>
      <c r="BQ218" s="3">
        <v>0</v>
      </c>
      <c r="BR218" t="s">
        <v>7935</v>
      </c>
      <c r="BS218" s="3">
        <v>4.5748920000000002</v>
      </c>
      <c r="BT218" s="3">
        <v>2.1159000000000001E-2</v>
      </c>
      <c r="BU218" s="3">
        <v>-2.1159000000000001E-2</v>
      </c>
      <c r="BV218" s="3">
        <v>0</v>
      </c>
      <c r="BW218" t="s">
        <v>7936</v>
      </c>
      <c r="BX218" t="s">
        <v>8270</v>
      </c>
      <c r="BY218" s="3">
        <v>348.33720260000001</v>
      </c>
      <c r="BZ218" t="s">
        <v>8271</v>
      </c>
      <c r="CA218" s="3">
        <v>57.169625500000002</v>
      </c>
      <c r="CB218" s="3">
        <v>6.5312700000000001</v>
      </c>
      <c r="CC218" s="3">
        <v>3.8400000000000001E-3</v>
      </c>
      <c r="CD218" s="3">
        <v>-3.8500000000000001E-3</v>
      </c>
      <c r="CE218" s="3">
        <v>5.5691100000000002</v>
      </c>
      <c r="CF218" s="3">
        <v>2.3E-2</v>
      </c>
      <c r="CG218" s="3">
        <v>-2.3E-2</v>
      </c>
      <c r="CH218" s="3">
        <v>3.2610000000000001</v>
      </c>
      <c r="CI218" s="3">
        <v>0.30399999999999999</v>
      </c>
      <c r="CJ218" s="3">
        <v>-0.30399999999999999</v>
      </c>
      <c r="CK218" s="3">
        <v>5.2401999999999997</v>
      </c>
      <c r="CL218" s="3">
        <v>2.2257000000000002E-3</v>
      </c>
      <c r="CM218" s="3">
        <v>-2.2257000000000002E-3</v>
      </c>
      <c r="CN218" t="s">
        <v>7943</v>
      </c>
      <c r="CO218" t="s">
        <v>7944</v>
      </c>
      <c r="CP218" t="s">
        <v>7943</v>
      </c>
    </row>
    <row r="219" spans="1:94" x14ac:dyDescent="0.45">
      <c r="A219" t="s">
        <v>728</v>
      </c>
      <c r="B219">
        <v>0</v>
      </c>
      <c r="C219" t="s">
        <v>1628</v>
      </c>
      <c r="D219" t="s">
        <v>729</v>
      </c>
      <c r="E219" s="3">
        <v>0</v>
      </c>
      <c r="F219" s="3">
        <v>1</v>
      </c>
      <c r="G219" s="3">
        <v>6</v>
      </c>
      <c r="H219" t="s">
        <v>1427</v>
      </c>
      <c r="I219" s="3">
        <v>2015</v>
      </c>
      <c r="J219" t="s">
        <v>7996</v>
      </c>
      <c r="K219" t="s">
        <v>1429</v>
      </c>
      <c r="L219" s="3">
        <v>0</v>
      </c>
      <c r="M219" t="s">
        <v>7940</v>
      </c>
      <c r="N219" s="3">
        <v>2090</v>
      </c>
      <c r="O219" s="3">
        <v>14</v>
      </c>
      <c r="P219" s="3">
        <v>-14</v>
      </c>
      <c r="Q219" s="3">
        <v>0</v>
      </c>
      <c r="R219" s="3">
        <v>2.8279999999999998</v>
      </c>
      <c r="S219" s="3">
        <v>6.8000000000000005E-2</v>
      </c>
      <c r="T219" s="3">
        <v>-7.0999999999999994E-2</v>
      </c>
      <c r="U219" s="3">
        <v>0</v>
      </c>
      <c r="AD219" s="3">
        <v>88</v>
      </c>
      <c r="AE219" s="3">
        <v>5.4</v>
      </c>
      <c r="AF219" s="3">
        <v>-5.3</v>
      </c>
      <c r="AG219" s="3">
        <v>0</v>
      </c>
      <c r="AH219" s="3">
        <v>0.27687896000000001</v>
      </c>
      <c r="AI219" s="3">
        <v>1.69903E-2</v>
      </c>
      <c r="AJ219" s="3">
        <v>-1.6675659999999998E-2</v>
      </c>
      <c r="AK219" s="3">
        <v>0</v>
      </c>
      <c r="AL219" t="s">
        <v>1426</v>
      </c>
      <c r="AM219" s="3">
        <v>0.05</v>
      </c>
      <c r="AN219" s="3">
        <v>0.03</v>
      </c>
      <c r="AO219" s="3">
        <v>-0.03</v>
      </c>
      <c r="AP219" s="3">
        <v>0</v>
      </c>
      <c r="AY219" s="3">
        <v>0</v>
      </c>
      <c r="AZ219" t="s">
        <v>7940</v>
      </c>
      <c r="BB219" s="3">
        <v>4874</v>
      </c>
      <c r="BE219" s="3">
        <v>0</v>
      </c>
      <c r="BW219" t="s">
        <v>7936</v>
      </c>
      <c r="BX219" t="s">
        <v>8270</v>
      </c>
      <c r="BY219" s="3">
        <v>348.33720260000001</v>
      </c>
      <c r="BZ219" t="s">
        <v>8271</v>
      </c>
      <c r="CA219" s="3">
        <v>57.169625500000002</v>
      </c>
      <c r="CB219" s="3">
        <v>6.5312700000000001</v>
      </c>
      <c r="CC219" s="3">
        <v>3.8400000000000001E-3</v>
      </c>
      <c r="CD219" s="3">
        <v>-3.8500000000000001E-3</v>
      </c>
      <c r="CE219" s="3">
        <v>5.5691100000000002</v>
      </c>
      <c r="CF219" s="3">
        <v>2.3E-2</v>
      </c>
      <c r="CG219" s="3">
        <v>-2.3E-2</v>
      </c>
      <c r="CH219" s="3">
        <v>3.2610000000000001</v>
      </c>
      <c r="CI219" s="3">
        <v>0.30399999999999999</v>
      </c>
      <c r="CJ219" s="3">
        <v>-0.30399999999999999</v>
      </c>
      <c r="CK219" s="3">
        <v>5.2401999999999997</v>
      </c>
      <c r="CL219" s="3">
        <v>2.2257000000000002E-3</v>
      </c>
      <c r="CM219" s="3">
        <v>-2.2257000000000002E-3</v>
      </c>
      <c r="CN219" t="s">
        <v>1513</v>
      </c>
      <c r="CO219" t="s">
        <v>7941</v>
      </c>
      <c r="CP219" t="s">
        <v>1513</v>
      </c>
    </row>
    <row r="220" spans="1:94" x14ac:dyDescent="0.45">
      <c r="A220" t="s">
        <v>86</v>
      </c>
      <c r="B220">
        <v>0</v>
      </c>
      <c r="C220" t="s">
        <v>1629</v>
      </c>
      <c r="D220" t="s">
        <v>87</v>
      </c>
      <c r="E220" s="3">
        <v>0</v>
      </c>
      <c r="F220" s="3">
        <v>1</v>
      </c>
      <c r="G220" s="3">
        <v>2</v>
      </c>
      <c r="H220" t="s">
        <v>1427</v>
      </c>
      <c r="I220" s="3">
        <v>2021</v>
      </c>
      <c r="J220" t="s">
        <v>7932</v>
      </c>
      <c r="K220" t="s">
        <v>1429</v>
      </c>
      <c r="L220" s="3">
        <v>0</v>
      </c>
      <c r="M220" t="s">
        <v>7940</v>
      </c>
      <c r="N220" s="3">
        <v>2801</v>
      </c>
      <c r="O220" s="3">
        <v>83</v>
      </c>
      <c r="P220" s="3">
        <v>-80</v>
      </c>
      <c r="Q220" s="3">
        <v>0</v>
      </c>
      <c r="R220" s="3">
        <v>2.77</v>
      </c>
      <c r="S220" s="3">
        <v>0.16</v>
      </c>
      <c r="T220" s="3">
        <v>-0.17</v>
      </c>
      <c r="U220" s="3">
        <v>0</v>
      </c>
      <c r="AD220" s="3">
        <v>18.7</v>
      </c>
      <c r="AE220" s="3">
        <v>3.1</v>
      </c>
      <c r="AF220" s="3">
        <v>-3</v>
      </c>
      <c r="AG220" s="3">
        <v>0</v>
      </c>
      <c r="AH220" s="3">
        <v>5.8836779999999998E-2</v>
      </c>
      <c r="AI220" s="3">
        <v>9.7536900000000006E-3</v>
      </c>
      <c r="AJ220" s="3">
        <v>-9.4390600000000009E-3</v>
      </c>
      <c r="AK220" s="3">
        <v>0</v>
      </c>
      <c r="AL220" t="s">
        <v>1426</v>
      </c>
      <c r="AM220" s="3">
        <v>0.09</v>
      </c>
      <c r="AN220" s="3">
        <v>8.3000000000000004E-2</v>
      </c>
      <c r="AO220" s="3">
        <v>-6.2E-2</v>
      </c>
      <c r="AP220" s="3">
        <v>0</v>
      </c>
      <c r="AY220" s="3">
        <v>0</v>
      </c>
      <c r="AZ220" t="s">
        <v>7940</v>
      </c>
      <c r="BB220" s="3">
        <v>3601</v>
      </c>
      <c r="BE220" s="3">
        <v>0</v>
      </c>
      <c r="BW220" t="s">
        <v>7936</v>
      </c>
      <c r="BX220" t="s">
        <v>8067</v>
      </c>
      <c r="BY220" s="3">
        <v>165.83447100000001</v>
      </c>
      <c r="BZ220" t="s">
        <v>8068</v>
      </c>
      <c r="CA220" s="3">
        <v>35.972316999999997</v>
      </c>
      <c r="CB220" s="3">
        <v>5.6757730000000004</v>
      </c>
      <c r="CC220" s="3">
        <v>5.9099E-3</v>
      </c>
      <c r="CD220" s="3">
        <v>-5.9099E-3</v>
      </c>
      <c r="CE220" s="3">
        <v>7.49</v>
      </c>
      <c r="CF220" s="3">
        <v>0.1</v>
      </c>
      <c r="CG220" s="3">
        <v>-0.1</v>
      </c>
      <c r="CH220" s="3">
        <v>3.5009999999999999</v>
      </c>
      <c r="CI220" s="3">
        <v>0.35199999999999998</v>
      </c>
      <c r="CJ220" s="3">
        <v>-0.35199999999999998</v>
      </c>
      <c r="CN220" t="s">
        <v>1513</v>
      </c>
      <c r="CO220" t="s">
        <v>7941</v>
      </c>
      <c r="CP220" t="s">
        <v>1513</v>
      </c>
    </row>
    <row r="221" spans="1:94" x14ac:dyDescent="0.45">
      <c r="A221" t="s">
        <v>86</v>
      </c>
      <c r="B221">
        <v>1</v>
      </c>
      <c r="C221" t="s">
        <v>1629</v>
      </c>
      <c r="D221" t="s">
        <v>87</v>
      </c>
      <c r="E221" s="3">
        <v>1</v>
      </c>
      <c r="F221" s="3">
        <v>1</v>
      </c>
      <c r="G221" s="3">
        <v>2</v>
      </c>
      <c r="H221" t="s">
        <v>1427</v>
      </c>
      <c r="I221" s="3">
        <v>2021</v>
      </c>
      <c r="J221" t="s">
        <v>7932</v>
      </c>
      <c r="K221" t="s">
        <v>1429</v>
      </c>
      <c r="L221" s="3">
        <v>0</v>
      </c>
      <c r="M221" t="s">
        <v>8069</v>
      </c>
      <c r="N221" s="3">
        <v>2946</v>
      </c>
      <c r="O221" s="3">
        <v>210</v>
      </c>
      <c r="P221" s="3">
        <v>-180</v>
      </c>
      <c r="Q221" s="3">
        <v>0</v>
      </c>
      <c r="R221" s="3">
        <v>2.94</v>
      </c>
      <c r="S221" s="3">
        <v>0.14000000000000001</v>
      </c>
      <c r="T221" s="3">
        <v>-0.12</v>
      </c>
      <c r="U221" s="3">
        <v>0</v>
      </c>
      <c r="AD221" s="3">
        <v>13.6</v>
      </c>
      <c r="AE221" s="3">
        <v>2.4</v>
      </c>
      <c r="AF221" s="3">
        <v>-2.2999999999999998</v>
      </c>
      <c r="AG221" s="3">
        <v>0</v>
      </c>
      <c r="AH221" s="3">
        <v>4.2790389999999998E-2</v>
      </c>
      <c r="AI221" s="3">
        <v>7.5512399999999999E-3</v>
      </c>
      <c r="AJ221" s="3">
        <v>-7.2366100000000001E-3</v>
      </c>
      <c r="AK221" s="3">
        <v>0</v>
      </c>
      <c r="AL221" t="s">
        <v>1426</v>
      </c>
      <c r="AM221" s="3">
        <v>0.13200000000000001</v>
      </c>
      <c r="AN221" s="3">
        <v>0.16</v>
      </c>
      <c r="AO221" s="3">
        <v>-9.0999999999999998E-2</v>
      </c>
      <c r="AP221" s="3">
        <v>0</v>
      </c>
      <c r="AY221" s="3">
        <v>0</v>
      </c>
      <c r="AZ221" t="s">
        <v>8069</v>
      </c>
      <c r="BB221" s="3">
        <v>3719</v>
      </c>
      <c r="BC221" s="3">
        <v>21</v>
      </c>
      <c r="BD221" s="3">
        <v>-31</v>
      </c>
      <c r="BE221" s="3">
        <v>0</v>
      </c>
      <c r="BF221" s="3">
        <v>0.36849999999999999</v>
      </c>
      <c r="BG221" s="3">
        <v>8.0999999999999996E-3</v>
      </c>
      <c r="BH221" s="3">
        <v>-5.4000000000000003E-3</v>
      </c>
      <c r="BI221" s="3">
        <v>0</v>
      </c>
      <c r="BJ221" s="3">
        <v>0.38990000000000002</v>
      </c>
      <c r="BK221" s="3">
        <v>1.06E-2</v>
      </c>
      <c r="BL221" s="3">
        <v>-6.1000000000000004E-3</v>
      </c>
      <c r="BM221" s="3">
        <v>0</v>
      </c>
      <c r="BN221" s="3">
        <v>-0.36209999999999998</v>
      </c>
      <c r="BO221" s="3">
        <v>8.72E-2</v>
      </c>
      <c r="BP221" s="3">
        <v>-6.8699999999999997E-2</v>
      </c>
      <c r="BQ221" s="3">
        <v>0</v>
      </c>
      <c r="BR221" t="s">
        <v>7935</v>
      </c>
      <c r="BS221" s="3">
        <v>4.8949999999999996</v>
      </c>
      <c r="BT221" s="3">
        <v>8.0000000000000002E-3</v>
      </c>
      <c r="BU221" s="3">
        <v>-0.01</v>
      </c>
      <c r="BV221" s="3">
        <v>0</v>
      </c>
      <c r="BW221" t="s">
        <v>7936</v>
      </c>
      <c r="BX221" t="s">
        <v>8067</v>
      </c>
      <c r="BY221" s="3">
        <v>165.83447100000001</v>
      </c>
      <c r="BZ221" t="s">
        <v>8068</v>
      </c>
      <c r="CA221" s="3">
        <v>35.972316999999997</v>
      </c>
      <c r="CB221" s="3">
        <v>5.6757730000000004</v>
      </c>
      <c r="CC221" s="3">
        <v>5.9099E-3</v>
      </c>
      <c r="CD221" s="3">
        <v>-5.9099E-3</v>
      </c>
      <c r="CE221" s="3">
        <v>7.49</v>
      </c>
      <c r="CF221" s="3">
        <v>0.1</v>
      </c>
      <c r="CG221" s="3">
        <v>-0.1</v>
      </c>
      <c r="CH221" s="3">
        <v>3.5009999999999999</v>
      </c>
      <c r="CI221" s="3">
        <v>0.35199999999999998</v>
      </c>
      <c r="CJ221" s="3">
        <v>-0.35199999999999998</v>
      </c>
      <c r="CN221" t="s">
        <v>1509</v>
      </c>
      <c r="CO221" t="s">
        <v>8070</v>
      </c>
      <c r="CP221" t="s">
        <v>1509</v>
      </c>
    </row>
    <row r="222" spans="1:94" x14ac:dyDescent="0.45">
      <c r="A222" t="s">
        <v>86</v>
      </c>
      <c r="B222">
        <v>0</v>
      </c>
      <c r="C222" t="s">
        <v>1629</v>
      </c>
      <c r="D222" t="s">
        <v>87</v>
      </c>
      <c r="E222" s="3">
        <v>0</v>
      </c>
      <c r="F222" s="3">
        <v>1</v>
      </c>
      <c r="G222" s="3">
        <v>2</v>
      </c>
      <c r="H222" t="s">
        <v>1427</v>
      </c>
      <c r="I222" s="3">
        <v>2021</v>
      </c>
      <c r="J222" t="s">
        <v>7932</v>
      </c>
      <c r="K222" t="s">
        <v>1429</v>
      </c>
      <c r="L222" s="3">
        <v>0</v>
      </c>
      <c r="M222" t="s">
        <v>7942</v>
      </c>
      <c r="N222" s="3">
        <v>3190</v>
      </c>
      <c r="O222" s="3">
        <v>200</v>
      </c>
      <c r="P222" s="3">
        <v>-170</v>
      </c>
      <c r="Q222" s="3">
        <v>0</v>
      </c>
      <c r="R222" s="3">
        <v>3.1</v>
      </c>
      <c r="S222" s="3">
        <v>0.13</v>
      </c>
      <c r="T222" s="3">
        <v>-0.11</v>
      </c>
      <c r="U222" s="3">
        <v>0</v>
      </c>
      <c r="AD222" s="3">
        <v>18.05265352</v>
      </c>
      <c r="AE222" s="3">
        <v>2.8922384999999999</v>
      </c>
      <c r="AF222" s="3">
        <v>-2.6379757800000001</v>
      </c>
      <c r="AG222" s="3">
        <v>0</v>
      </c>
      <c r="AH222" s="3">
        <v>5.6800000000000003E-2</v>
      </c>
      <c r="AI222" s="3">
        <v>9.1000000000000004E-3</v>
      </c>
      <c r="AJ222" s="3">
        <v>-8.3000000000000001E-3</v>
      </c>
      <c r="AK222" s="3">
        <v>0</v>
      </c>
      <c r="AL222" t="s">
        <v>1426</v>
      </c>
      <c r="AM222" s="3">
        <v>0.14000000000000001</v>
      </c>
      <c r="AN222" s="3">
        <v>0.16</v>
      </c>
      <c r="AO222" s="3">
        <v>-9.5000000000000001E-2</v>
      </c>
      <c r="AP222" s="3">
        <v>0</v>
      </c>
      <c r="AY222" s="3">
        <v>0</v>
      </c>
      <c r="AZ222" t="s">
        <v>7942</v>
      </c>
      <c r="BB222" s="3">
        <v>3719.95</v>
      </c>
      <c r="BC222" s="3">
        <v>28.3</v>
      </c>
      <c r="BD222" s="3">
        <v>-28.3</v>
      </c>
      <c r="BE222" s="3">
        <v>0</v>
      </c>
      <c r="BF222" s="3">
        <v>0.36908299999999999</v>
      </c>
      <c r="BG222" s="3">
        <v>6.6670000000000002E-3</v>
      </c>
      <c r="BH222" s="3">
        <v>-6.6670000000000002E-3</v>
      </c>
      <c r="BI222" s="3">
        <v>0</v>
      </c>
      <c r="BJ222" s="3">
        <v>0.39184600000000003</v>
      </c>
      <c r="BK222" s="3">
        <v>8.1679999999999999E-3</v>
      </c>
      <c r="BL222" s="3">
        <v>-8.1679999999999999E-3</v>
      </c>
      <c r="BM222" s="3">
        <v>0</v>
      </c>
      <c r="BN222" s="3">
        <v>-0.36120000000000002</v>
      </c>
      <c r="BO222" s="3">
        <v>8.1699999999999995E-2</v>
      </c>
      <c r="BP222" s="3">
        <v>-8.1699999999999995E-2</v>
      </c>
      <c r="BQ222" s="3">
        <v>0</v>
      </c>
      <c r="BR222" t="s">
        <v>7935</v>
      </c>
      <c r="BS222" s="3">
        <v>4.8950399999999998</v>
      </c>
      <c r="BT222" s="3">
        <v>8.8780000000000005E-3</v>
      </c>
      <c r="BU222" s="3">
        <v>-8.8780000000000005E-3</v>
      </c>
      <c r="BV222" s="3">
        <v>0</v>
      </c>
      <c r="BW222" t="s">
        <v>7936</v>
      </c>
      <c r="BX222" t="s">
        <v>8067</v>
      </c>
      <c r="BY222" s="3">
        <v>165.83447100000001</v>
      </c>
      <c r="BZ222" t="s">
        <v>8068</v>
      </c>
      <c r="CA222" s="3">
        <v>35.972316999999997</v>
      </c>
      <c r="CB222" s="3">
        <v>5.6757730000000004</v>
      </c>
      <c r="CC222" s="3">
        <v>5.9099E-3</v>
      </c>
      <c r="CD222" s="3">
        <v>-5.9099E-3</v>
      </c>
      <c r="CE222" s="3">
        <v>7.49</v>
      </c>
      <c r="CF222" s="3">
        <v>0.1</v>
      </c>
      <c r="CG222" s="3">
        <v>-0.1</v>
      </c>
      <c r="CH222" s="3">
        <v>3.5009999999999999</v>
      </c>
      <c r="CI222" s="3">
        <v>0.35199999999999998</v>
      </c>
      <c r="CJ222" s="3">
        <v>-0.35199999999999998</v>
      </c>
      <c r="CN222" t="s">
        <v>7943</v>
      </c>
      <c r="CO222" t="s">
        <v>7944</v>
      </c>
      <c r="CP222" t="s">
        <v>7943</v>
      </c>
    </row>
    <row r="223" spans="1:94" x14ac:dyDescent="0.45">
      <c r="A223" t="s">
        <v>641</v>
      </c>
      <c r="B223">
        <v>1</v>
      </c>
      <c r="C223" t="s">
        <v>640</v>
      </c>
      <c r="D223" t="s">
        <v>642</v>
      </c>
      <c r="E223" s="3">
        <v>1</v>
      </c>
      <c r="F223" s="3">
        <v>1</v>
      </c>
      <c r="G223" s="3">
        <v>1</v>
      </c>
      <c r="H223" t="s">
        <v>1427</v>
      </c>
      <c r="I223" s="3">
        <v>2023</v>
      </c>
      <c r="J223" t="s">
        <v>7955</v>
      </c>
      <c r="K223" t="s">
        <v>1429</v>
      </c>
      <c r="L223" s="3">
        <v>0</v>
      </c>
      <c r="M223" t="s">
        <v>8287</v>
      </c>
      <c r="N223" s="3">
        <v>36.116</v>
      </c>
      <c r="O223" s="3">
        <v>2.7E-2</v>
      </c>
      <c r="P223" s="3">
        <v>-2.9000000000000001E-2</v>
      </c>
      <c r="Q223" s="3">
        <v>0</v>
      </c>
      <c r="R223" s="3">
        <v>0.14169999999999999</v>
      </c>
      <c r="S223" s="3">
        <v>2.3E-3</v>
      </c>
      <c r="T223" s="3">
        <v>-2.3E-3</v>
      </c>
      <c r="U223" s="3">
        <v>0</v>
      </c>
      <c r="AD223" s="3">
        <v>5.46</v>
      </c>
      <c r="AE223" s="3">
        <v>0.75</v>
      </c>
      <c r="AF223" s="3">
        <v>-0.75</v>
      </c>
      <c r="AG223" s="3">
        <v>0</v>
      </c>
      <c r="AH223" s="3">
        <v>1.7179079999999999E-2</v>
      </c>
      <c r="AI223" s="3">
        <v>2.3597599999999998E-3</v>
      </c>
      <c r="AJ223" s="3">
        <v>-2.3597599999999998E-3</v>
      </c>
      <c r="AK223" s="3">
        <v>0</v>
      </c>
      <c r="AL223" t="s">
        <v>1426</v>
      </c>
      <c r="AM223" s="3">
        <v>7.9000000000000001E-2</v>
      </c>
      <c r="AN223" s="3">
        <v>0.09</v>
      </c>
      <c r="AO223" s="3">
        <v>-5.5E-2</v>
      </c>
      <c r="AP223" s="3">
        <v>0</v>
      </c>
      <c r="AQ223" s="3">
        <v>0.503</v>
      </c>
      <c r="AR223" s="3">
        <v>1.7999999999999999E-2</v>
      </c>
      <c r="AS223" s="3">
        <v>-1.6E-2</v>
      </c>
      <c r="AT223" s="3">
        <v>0</v>
      </c>
      <c r="AU223" s="3">
        <v>234.4</v>
      </c>
      <c r="AV223" s="3">
        <v>5.5</v>
      </c>
      <c r="AW223" s="3">
        <v>-5.3</v>
      </c>
      <c r="AX223" s="3">
        <v>0</v>
      </c>
      <c r="AY223" s="3">
        <v>0</v>
      </c>
      <c r="AZ223" t="s">
        <v>8287</v>
      </c>
      <c r="BA223" t="s">
        <v>8288</v>
      </c>
      <c r="BB223" s="3">
        <v>3347</v>
      </c>
      <c r="BC223" s="3">
        <v>50</v>
      </c>
      <c r="BD223" s="3">
        <v>-50</v>
      </c>
      <c r="BE223" s="3">
        <v>0</v>
      </c>
      <c r="BF223" s="3">
        <v>0.29899999999999999</v>
      </c>
      <c r="BG223" s="3">
        <v>8.9999999999999993E-3</v>
      </c>
      <c r="BH223" s="3">
        <v>-8.9999999999999993E-3</v>
      </c>
      <c r="BI223" s="3">
        <v>0</v>
      </c>
      <c r="BJ223" s="3">
        <v>0.29099999999999998</v>
      </c>
      <c r="BK223" s="3">
        <v>1.2999999999999999E-2</v>
      </c>
      <c r="BL223" s="3">
        <v>-1.2999999999999999E-2</v>
      </c>
      <c r="BM223" s="3">
        <v>0</v>
      </c>
      <c r="BN223" s="3">
        <v>-0.18</v>
      </c>
      <c r="BO223" s="3">
        <v>0.15</v>
      </c>
      <c r="BP223" s="3">
        <v>-0.15</v>
      </c>
      <c r="BQ223" s="3">
        <v>0</v>
      </c>
      <c r="BR223" t="s">
        <v>7935</v>
      </c>
      <c r="BS223" s="3">
        <v>4.76</v>
      </c>
      <c r="BT223" s="3">
        <v>0.13</v>
      </c>
      <c r="BU223" s="3">
        <v>-0.13</v>
      </c>
      <c r="BV223" s="3">
        <v>0</v>
      </c>
      <c r="BW223" t="s">
        <v>7936</v>
      </c>
      <c r="BX223" t="s">
        <v>8289</v>
      </c>
      <c r="BY223" s="3">
        <v>218.5684823</v>
      </c>
      <c r="BZ223" t="s">
        <v>8290</v>
      </c>
      <c r="CA223" s="3">
        <v>-12.517006200000001</v>
      </c>
      <c r="CB223" s="3">
        <v>6.2444199999999999</v>
      </c>
      <c r="CC223" s="3">
        <v>4.4549999999999998E-3</v>
      </c>
      <c r="CD223" s="3">
        <v>-4.4549999999999998E-3</v>
      </c>
      <c r="CE223" s="3">
        <v>11.311</v>
      </c>
      <c r="CF223" s="3">
        <v>2.5999999999999999E-2</v>
      </c>
      <c r="CG223" s="3">
        <v>-2.5999999999999999E-2</v>
      </c>
      <c r="CH223" s="3">
        <v>5.9390000000000001</v>
      </c>
      <c r="CI223" s="3">
        <v>3.4000000000000002E-2</v>
      </c>
      <c r="CJ223" s="3">
        <v>-3.4000000000000002E-2</v>
      </c>
      <c r="CK223" s="3">
        <v>9.8788199999999993</v>
      </c>
      <c r="CL223" s="3">
        <v>1.7080000000000001E-3</v>
      </c>
      <c r="CM223" s="3">
        <v>-1.7080000000000001E-3</v>
      </c>
      <c r="CN223" t="s">
        <v>1632</v>
      </c>
      <c r="CO223" t="s">
        <v>8291</v>
      </c>
      <c r="CP223" t="s">
        <v>1632</v>
      </c>
    </row>
    <row r="224" spans="1:94" x14ac:dyDescent="0.45">
      <c r="A224" t="s">
        <v>255</v>
      </c>
      <c r="B224">
        <v>1</v>
      </c>
      <c r="C224" t="s">
        <v>254</v>
      </c>
      <c r="D224" t="s">
        <v>256</v>
      </c>
      <c r="E224" s="3">
        <v>1</v>
      </c>
      <c r="F224" s="3">
        <v>1</v>
      </c>
      <c r="G224" s="3">
        <v>1</v>
      </c>
      <c r="H224" t="s">
        <v>1427</v>
      </c>
      <c r="I224" s="3">
        <v>2014</v>
      </c>
      <c r="J224" t="s">
        <v>7932</v>
      </c>
      <c r="K224" t="s">
        <v>1429</v>
      </c>
      <c r="L224" s="3">
        <v>1</v>
      </c>
      <c r="M224" t="s">
        <v>8292</v>
      </c>
      <c r="N224" s="3">
        <v>121.54</v>
      </c>
      <c r="O224" s="3">
        <v>0.25</v>
      </c>
      <c r="P224" s="3">
        <v>-0.25</v>
      </c>
      <c r="Q224" s="3">
        <v>0</v>
      </c>
      <c r="R224" s="3">
        <v>0.311</v>
      </c>
      <c r="S224" s="3">
        <v>3.7999999999999999E-2</v>
      </c>
      <c r="T224" s="3">
        <v>-1.4E-2</v>
      </c>
      <c r="U224" s="3">
        <v>0</v>
      </c>
      <c r="AD224" s="3">
        <v>7</v>
      </c>
      <c r="AE224" s="3">
        <v>1.2</v>
      </c>
      <c r="AF224" s="3">
        <v>-1</v>
      </c>
      <c r="AG224" s="3">
        <v>0</v>
      </c>
      <c r="AH224" s="3">
        <v>2.1999999999999999E-2</v>
      </c>
      <c r="AI224" s="3">
        <v>4.0000000000000001E-3</v>
      </c>
      <c r="AJ224" s="3">
        <v>-3.0000000000000001E-3</v>
      </c>
      <c r="AK224" s="3">
        <v>0</v>
      </c>
      <c r="AL224" t="s">
        <v>1426</v>
      </c>
      <c r="AM224" s="3">
        <v>0.23</v>
      </c>
      <c r="AN224" s="3">
        <v>0.1</v>
      </c>
      <c r="AO224" s="3">
        <v>-0.12</v>
      </c>
      <c r="AP224" s="3">
        <v>0</v>
      </c>
      <c r="AY224" s="3">
        <v>0</v>
      </c>
      <c r="AZ224" t="s">
        <v>8292</v>
      </c>
      <c r="BB224" s="3">
        <v>3550</v>
      </c>
      <c r="BC224" s="3">
        <v>50</v>
      </c>
      <c r="BD224" s="3">
        <v>-50</v>
      </c>
      <c r="BE224" s="3">
        <v>0</v>
      </c>
      <c r="BF224" s="3">
        <v>0.29099999999999998</v>
      </c>
      <c r="BG224" s="3">
        <v>2.5000000000000001E-2</v>
      </c>
      <c r="BH224" s="3">
        <v>-2.5000000000000001E-2</v>
      </c>
      <c r="BI224" s="3">
        <v>0</v>
      </c>
      <c r="BJ224" s="3">
        <v>0.28100000000000003</v>
      </c>
      <c r="BK224" s="3">
        <v>1.4E-2</v>
      </c>
      <c r="BL224" s="3">
        <v>-1.4E-2</v>
      </c>
      <c r="BM224" s="3">
        <v>0</v>
      </c>
      <c r="BN224" s="3">
        <v>-0.89</v>
      </c>
      <c r="BQ224" s="3">
        <v>0</v>
      </c>
      <c r="BR224" t="s">
        <v>7983</v>
      </c>
      <c r="BW224" t="s">
        <v>7936</v>
      </c>
      <c r="BX224" t="s">
        <v>8293</v>
      </c>
      <c r="BY224" s="3">
        <v>77.958661300000003</v>
      </c>
      <c r="BZ224" t="s">
        <v>8294</v>
      </c>
      <c r="CA224" s="3">
        <v>-45.043019800000003</v>
      </c>
      <c r="CB224" s="3">
        <v>3.9330500000000002</v>
      </c>
      <c r="CC224" s="3">
        <v>4.0999999999999999E-4</v>
      </c>
      <c r="CD224" s="3">
        <v>-4.0999999999999999E-4</v>
      </c>
      <c r="CE224" s="3">
        <v>8.86</v>
      </c>
      <c r="CF224" s="3">
        <v>0.1</v>
      </c>
      <c r="CG224" s="3">
        <v>-0.1</v>
      </c>
      <c r="CH224" s="3">
        <v>5.0490000000000004</v>
      </c>
      <c r="CI224" s="3">
        <v>2.1000000000000001E-2</v>
      </c>
      <c r="CJ224" s="3">
        <v>-2.1000000000000001E-2</v>
      </c>
      <c r="CK224" s="3">
        <v>8.0619800000000001</v>
      </c>
      <c r="CL224" s="3">
        <v>5.8799999999999998E-4</v>
      </c>
      <c r="CM224" s="3">
        <v>-5.8799999999999998E-4</v>
      </c>
      <c r="CN224" t="s">
        <v>1635</v>
      </c>
      <c r="CO224" t="s">
        <v>8295</v>
      </c>
      <c r="CP224" t="s">
        <v>1635</v>
      </c>
    </row>
    <row r="225" spans="1:94" x14ac:dyDescent="0.45">
      <c r="A225" t="s">
        <v>45</v>
      </c>
      <c r="B225">
        <v>0</v>
      </c>
      <c r="C225" t="s">
        <v>1636</v>
      </c>
      <c r="D225" t="s">
        <v>46</v>
      </c>
      <c r="E225" s="3">
        <v>0</v>
      </c>
      <c r="F225" s="3">
        <v>3</v>
      </c>
      <c r="G225" s="3">
        <v>2</v>
      </c>
      <c r="H225" t="s">
        <v>1427</v>
      </c>
      <c r="I225" s="3">
        <v>2016</v>
      </c>
      <c r="J225" t="s">
        <v>8296</v>
      </c>
      <c r="K225" t="s">
        <v>1429</v>
      </c>
      <c r="L225" s="3">
        <v>0</v>
      </c>
      <c r="M225" t="s">
        <v>8297</v>
      </c>
      <c r="N225" s="3">
        <v>11.186</v>
      </c>
      <c r="O225" s="3">
        <v>1E-3</v>
      </c>
      <c r="P225" s="3">
        <v>-2E-3</v>
      </c>
      <c r="Q225" s="3">
        <v>0</v>
      </c>
      <c r="R225" s="3">
        <v>4.8500000000000001E-2</v>
      </c>
      <c r="S225" s="3">
        <v>4.1000000000000003E-3</v>
      </c>
      <c r="T225" s="3">
        <v>-5.1000000000000004E-3</v>
      </c>
      <c r="U225" s="3">
        <v>0</v>
      </c>
      <c r="AD225" s="3">
        <v>1.27</v>
      </c>
      <c r="AE225" s="3">
        <v>0.19</v>
      </c>
      <c r="AF225" s="3">
        <v>-0.17</v>
      </c>
      <c r="AG225" s="3">
        <v>0</v>
      </c>
      <c r="AH225" s="3">
        <v>3.9958499999999996E-3</v>
      </c>
      <c r="AI225" s="3">
        <v>5.978E-4</v>
      </c>
      <c r="AJ225" s="3">
        <v>-5.3487999999999995E-4</v>
      </c>
      <c r="AK225" s="3">
        <v>0</v>
      </c>
      <c r="AL225" t="s">
        <v>1426</v>
      </c>
      <c r="AM225" s="3">
        <v>0.35</v>
      </c>
      <c r="AP225" s="3">
        <v>1</v>
      </c>
      <c r="AQ225" s="3">
        <v>0.65</v>
      </c>
      <c r="AT225" s="3">
        <v>0</v>
      </c>
      <c r="AU225" s="3">
        <v>234</v>
      </c>
      <c r="AV225" s="3">
        <v>6</v>
      </c>
      <c r="AW225" s="3">
        <v>-14</v>
      </c>
      <c r="AX225" s="3">
        <v>0</v>
      </c>
      <c r="AY225" s="3">
        <v>0</v>
      </c>
      <c r="AZ225" t="s">
        <v>8297</v>
      </c>
      <c r="BA225" t="s">
        <v>7962</v>
      </c>
      <c r="BB225" s="3">
        <v>3050</v>
      </c>
      <c r="BC225" s="3">
        <v>100</v>
      </c>
      <c r="BD225" s="3">
        <v>-100</v>
      </c>
      <c r="BE225" s="3">
        <v>0</v>
      </c>
      <c r="BF225" s="3">
        <v>0.14099999999999999</v>
      </c>
      <c r="BG225" s="3">
        <v>2.1000000000000001E-2</v>
      </c>
      <c r="BH225" s="3">
        <v>-2.1000000000000001E-2</v>
      </c>
      <c r="BI225" s="3">
        <v>0</v>
      </c>
      <c r="BJ225" s="3">
        <v>0.12</v>
      </c>
      <c r="BK225" s="3">
        <v>1.4999999999999999E-2</v>
      </c>
      <c r="BL225" s="3">
        <v>-1.4999999999999999E-2</v>
      </c>
      <c r="BM225" s="3">
        <v>0</v>
      </c>
      <c r="BW225" t="s">
        <v>7936</v>
      </c>
      <c r="BX225" t="s">
        <v>8298</v>
      </c>
      <c r="BY225" s="3">
        <v>217.39346570000001</v>
      </c>
      <c r="BZ225" t="s">
        <v>8299</v>
      </c>
      <c r="CA225" s="3">
        <v>-62.676182099999998</v>
      </c>
      <c r="CB225" s="3">
        <v>1.3011900000000001</v>
      </c>
      <c r="CC225" s="3">
        <v>3.4000000000000002E-4</v>
      </c>
      <c r="CD225" s="3">
        <v>-3.5E-4</v>
      </c>
      <c r="CE225" s="3">
        <v>11.01</v>
      </c>
      <c r="CF225" s="3">
        <v>0.1</v>
      </c>
      <c r="CG225" s="3">
        <v>-0.1</v>
      </c>
      <c r="CH225" s="3">
        <v>4.3840000000000003</v>
      </c>
      <c r="CI225" s="3">
        <v>3.3000000000000002E-2</v>
      </c>
      <c r="CJ225" s="3">
        <v>-3.3000000000000002E-2</v>
      </c>
      <c r="CK225" s="3">
        <v>8.9536099999999994</v>
      </c>
      <c r="CL225" s="3">
        <v>9.1799999999999998E-4</v>
      </c>
      <c r="CM225" s="3">
        <v>-9.1799999999999998E-4</v>
      </c>
      <c r="CN225" t="s">
        <v>8300</v>
      </c>
      <c r="CO225" t="s">
        <v>8301</v>
      </c>
      <c r="CP225" t="s">
        <v>8300</v>
      </c>
    </row>
    <row r="226" spans="1:94" x14ac:dyDescent="0.45">
      <c r="A226" t="s">
        <v>45</v>
      </c>
      <c r="B226">
        <v>1</v>
      </c>
      <c r="C226" t="s">
        <v>1636</v>
      </c>
      <c r="D226" t="s">
        <v>46</v>
      </c>
      <c r="E226" s="3">
        <v>1</v>
      </c>
      <c r="F226" s="3">
        <v>3</v>
      </c>
      <c r="G226" s="3">
        <v>2</v>
      </c>
      <c r="H226" t="s">
        <v>1427</v>
      </c>
      <c r="I226" s="3">
        <v>2016</v>
      </c>
      <c r="J226" t="s">
        <v>8296</v>
      </c>
      <c r="K226" t="s">
        <v>1429</v>
      </c>
      <c r="L226" s="3">
        <v>0</v>
      </c>
      <c r="M226" t="s">
        <v>8302</v>
      </c>
      <c r="N226" s="3">
        <v>11.18465</v>
      </c>
      <c r="O226" s="3">
        <v>5.2999999999999998E-4</v>
      </c>
      <c r="P226" s="3">
        <v>-5.2999999999999998E-4</v>
      </c>
      <c r="Q226" s="3">
        <v>0</v>
      </c>
      <c r="R226" s="3">
        <v>4.8480000000000002E-2</v>
      </c>
      <c r="S226" s="3">
        <v>2.9E-4</v>
      </c>
      <c r="T226" s="3">
        <v>-2.9E-4</v>
      </c>
      <c r="U226" s="3">
        <v>0</v>
      </c>
      <c r="AD226" s="3">
        <v>1.0549999999999999</v>
      </c>
      <c r="AE226" s="3">
        <v>5.5E-2</v>
      </c>
      <c r="AF226" s="3">
        <v>-5.5E-2</v>
      </c>
      <c r="AG226" s="3">
        <v>0</v>
      </c>
      <c r="AH226" s="3">
        <v>3.3194000000000001E-3</v>
      </c>
      <c r="AI226" s="3">
        <v>1.7305000000000001E-4</v>
      </c>
      <c r="AJ226" s="3">
        <v>-1.7305000000000001E-4</v>
      </c>
      <c r="AK226" s="3">
        <v>0</v>
      </c>
      <c r="AL226" t="s">
        <v>1426</v>
      </c>
      <c r="AM226" s="3">
        <v>0</v>
      </c>
      <c r="AP226" s="3">
        <v>0</v>
      </c>
      <c r="AQ226" s="3">
        <v>0.64100000000000001</v>
      </c>
      <c r="AR226" s="3">
        <v>6.5000000000000002E-2</v>
      </c>
      <c r="AS226" s="3">
        <v>-6.5000000000000002E-2</v>
      </c>
      <c r="AT226" s="3">
        <v>0</v>
      </c>
      <c r="AU226" s="3">
        <v>218</v>
      </c>
      <c r="AV226" s="3">
        <v>18</v>
      </c>
      <c r="AW226" s="3">
        <v>-18</v>
      </c>
      <c r="AX226" s="3">
        <v>0</v>
      </c>
      <c r="AY226" s="3">
        <v>0</v>
      </c>
      <c r="AZ226" t="s">
        <v>8302</v>
      </c>
      <c r="BA226" t="s">
        <v>7962</v>
      </c>
      <c r="BB226" s="3">
        <v>2900</v>
      </c>
      <c r="BC226" s="3">
        <v>100</v>
      </c>
      <c r="BD226" s="3">
        <v>-100</v>
      </c>
      <c r="BE226" s="3">
        <v>0</v>
      </c>
      <c r="BF226" s="3">
        <v>0.14099999999999999</v>
      </c>
      <c r="BG226" s="3">
        <v>2.1000000000000001E-2</v>
      </c>
      <c r="BH226" s="3">
        <v>-2.1000000000000001E-2</v>
      </c>
      <c r="BI226" s="3">
        <v>0</v>
      </c>
      <c r="BJ226" s="3">
        <v>0.1221</v>
      </c>
      <c r="BK226" s="3">
        <v>2.2000000000000001E-3</v>
      </c>
      <c r="BL226" s="3">
        <v>-2.2000000000000001E-3</v>
      </c>
      <c r="BM226" s="3">
        <v>0</v>
      </c>
      <c r="BW226" t="s">
        <v>7936</v>
      </c>
      <c r="BX226" t="s">
        <v>8298</v>
      </c>
      <c r="BY226" s="3">
        <v>217.39346570000001</v>
      </c>
      <c r="BZ226" t="s">
        <v>8299</v>
      </c>
      <c r="CA226" s="3">
        <v>-62.676182099999998</v>
      </c>
      <c r="CB226" s="3">
        <v>1.3011900000000001</v>
      </c>
      <c r="CC226" s="3">
        <v>3.4000000000000002E-4</v>
      </c>
      <c r="CD226" s="3">
        <v>-3.5E-4</v>
      </c>
      <c r="CE226" s="3">
        <v>11.01</v>
      </c>
      <c r="CF226" s="3">
        <v>0.1</v>
      </c>
      <c r="CG226" s="3">
        <v>-0.1</v>
      </c>
      <c r="CH226" s="3">
        <v>4.3840000000000003</v>
      </c>
      <c r="CI226" s="3">
        <v>3.3000000000000002E-2</v>
      </c>
      <c r="CJ226" s="3">
        <v>-3.3000000000000002E-2</v>
      </c>
      <c r="CK226" s="3">
        <v>8.9536099999999994</v>
      </c>
      <c r="CL226" s="3">
        <v>9.1799999999999998E-4</v>
      </c>
      <c r="CM226" s="3">
        <v>-9.1799999999999998E-4</v>
      </c>
      <c r="CN226" t="s">
        <v>1639</v>
      </c>
      <c r="CO226" t="s">
        <v>8303</v>
      </c>
      <c r="CP226" t="s">
        <v>1639</v>
      </c>
    </row>
    <row r="227" spans="1:94" x14ac:dyDescent="0.45">
      <c r="A227" t="s">
        <v>45</v>
      </c>
      <c r="B227">
        <v>0</v>
      </c>
      <c r="C227" t="s">
        <v>1636</v>
      </c>
      <c r="D227" t="s">
        <v>46</v>
      </c>
      <c r="E227" s="3">
        <v>0</v>
      </c>
      <c r="F227" s="3">
        <v>3</v>
      </c>
      <c r="G227" s="3">
        <v>2</v>
      </c>
      <c r="H227" t="s">
        <v>1427</v>
      </c>
      <c r="I227" s="3">
        <v>2016</v>
      </c>
      <c r="J227" t="s">
        <v>8296</v>
      </c>
      <c r="K227" t="s">
        <v>1429</v>
      </c>
      <c r="L227" s="3">
        <v>0</v>
      </c>
      <c r="M227" t="s">
        <v>8304</v>
      </c>
      <c r="N227" s="3">
        <v>11.1868</v>
      </c>
      <c r="O227" s="3">
        <v>2.8999999999999998E-3</v>
      </c>
      <c r="P227" s="3">
        <v>-3.0999999999999999E-3</v>
      </c>
      <c r="Q227" s="3">
        <v>0</v>
      </c>
      <c r="R227" s="3">
        <v>4.8559999999999999E-2</v>
      </c>
      <c r="S227" s="3">
        <v>2.9999999999999997E-4</v>
      </c>
      <c r="T227" s="3">
        <v>-2.9999999999999997E-4</v>
      </c>
      <c r="U227" s="3">
        <v>0</v>
      </c>
      <c r="AD227" s="3">
        <v>1.07</v>
      </c>
      <c r="AE227" s="3">
        <v>0.06</v>
      </c>
      <c r="AF227" s="3">
        <v>-0.06</v>
      </c>
      <c r="AG227" s="3">
        <v>0</v>
      </c>
      <c r="AH227" s="3">
        <v>3.3666E-3</v>
      </c>
      <c r="AI227" s="3">
        <v>1.8877999999999999E-4</v>
      </c>
      <c r="AJ227" s="3">
        <v>-1.8877999999999999E-4</v>
      </c>
      <c r="AK227" s="3">
        <v>0</v>
      </c>
      <c r="AL227" t="s">
        <v>1426</v>
      </c>
      <c r="AM227" s="3">
        <v>0.02</v>
      </c>
      <c r="AN227" s="3">
        <v>0.04</v>
      </c>
      <c r="AO227" s="3">
        <v>-0.02</v>
      </c>
      <c r="AP227" s="3">
        <v>0</v>
      </c>
      <c r="AY227" s="3">
        <v>0</v>
      </c>
      <c r="AZ227" t="s">
        <v>8304</v>
      </c>
      <c r="BA227" t="s">
        <v>7962</v>
      </c>
      <c r="BB227" s="3">
        <v>2900</v>
      </c>
      <c r="BC227" s="3">
        <v>100</v>
      </c>
      <c r="BD227" s="3">
        <v>-100</v>
      </c>
      <c r="BE227" s="3">
        <v>0</v>
      </c>
      <c r="BF227" s="3">
        <v>0.14099999999999999</v>
      </c>
      <c r="BG227" s="3">
        <v>2.1000000000000001E-2</v>
      </c>
      <c r="BH227" s="3">
        <v>-2.1000000000000001E-2</v>
      </c>
      <c r="BI227" s="3">
        <v>0</v>
      </c>
      <c r="BJ227" s="3">
        <v>0.1221</v>
      </c>
      <c r="BK227" s="3">
        <v>2.2000000000000001E-3</v>
      </c>
      <c r="BL227" s="3">
        <v>-2.2000000000000001E-3</v>
      </c>
      <c r="BM227" s="3">
        <v>0</v>
      </c>
      <c r="BW227" t="s">
        <v>7936</v>
      </c>
      <c r="BX227" t="s">
        <v>8298</v>
      </c>
      <c r="BY227" s="3">
        <v>217.39346570000001</v>
      </c>
      <c r="BZ227" t="s">
        <v>8299</v>
      </c>
      <c r="CA227" s="3">
        <v>-62.676182099999998</v>
      </c>
      <c r="CB227" s="3">
        <v>1.3011900000000001</v>
      </c>
      <c r="CC227" s="3">
        <v>3.4000000000000002E-4</v>
      </c>
      <c r="CD227" s="3">
        <v>-3.5E-4</v>
      </c>
      <c r="CE227" s="3">
        <v>11.01</v>
      </c>
      <c r="CF227" s="3">
        <v>0.1</v>
      </c>
      <c r="CG227" s="3">
        <v>-0.1</v>
      </c>
      <c r="CH227" s="3">
        <v>4.3840000000000003</v>
      </c>
      <c r="CI227" s="3">
        <v>3.3000000000000002E-2</v>
      </c>
      <c r="CJ227" s="3">
        <v>-3.3000000000000002E-2</v>
      </c>
      <c r="CK227" s="3">
        <v>8.9536099999999994</v>
      </c>
      <c r="CL227" s="3">
        <v>9.1799999999999998E-4</v>
      </c>
      <c r="CM227" s="3">
        <v>-9.1799999999999998E-4</v>
      </c>
      <c r="CN227" t="s">
        <v>8305</v>
      </c>
      <c r="CO227" t="s">
        <v>8306</v>
      </c>
      <c r="CP227" t="s">
        <v>8305</v>
      </c>
    </row>
    <row r="228" spans="1:94" x14ac:dyDescent="0.45">
      <c r="A228" t="s">
        <v>45</v>
      </c>
      <c r="B228">
        <v>0</v>
      </c>
      <c r="C228" t="s">
        <v>1636</v>
      </c>
      <c r="D228" t="s">
        <v>46</v>
      </c>
      <c r="E228" s="3">
        <v>0</v>
      </c>
      <c r="F228" s="3">
        <v>3</v>
      </c>
      <c r="G228" s="3">
        <v>2</v>
      </c>
      <c r="H228" t="s">
        <v>1427</v>
      </c>
      <c r="I228" s="3">
        <v>2016</v>
      </c>
      <c r="J228" t="s">
        <v>8296</v>
      </c>
      <c r="K228" t="s">
        <v>1429</v>
      </c>
      <c r="L228" s="3">
        <v>0</v>
      </c>
      <c r="M228" t="s">
        <v>8307</v>
      </c>
      <c r="N228" s="3">
        <v>11.185499999999999</v>
      </c>
      <c r="O228" s="3">
        <v>1.6000000000000001E-3</v>
      </c>
      <c r="P228" s="3">
        <v>-1.4E-3</v>
      </c>
      <c r="Q228" s="3">
        <v>0</v>
      </c>
      <c r="AM228" s="3">
        <v>0.08</v>
      </c>
      <c r="AN228" s="3">
        <v>7.0000000000000007E-2</v>
      </c>
      <c r="AO228" s="3">
        <v>-0.06</v>
      </c>
      <c r="AP228" s="3">
        <v>0</v>
      </c>
      <c r="AY228" s="3">
        <v>0</v>
      </c>
      <c r="AZ228" t="s">
        <v>8307</v>
      </c>
      <c r="BF228" s="3">
        <v>0.154</v>
      </c>
      <c r="BI228" s="3">
        <v>0</v>
      </c>
      <c r="BW228" t="s">
        <v>7936</v>
      </c>
      <c r="BX228" t="s">
        <v>8298</v>
      </c>
      <c r="BY228" s="3">
        <v>217.39346570000001</v>
      </c>
      <c r="BZ228" t="s">
        <v>8299</v>
      </c>
      <c r="CA228" s="3">
        <v>-62.676182099999998</v>
      </c>
      <c r="CB228" s="3">
        <v>1.3011900000000001</v>
      </c>
      <c r="CC228" s="3">
        <v>3.4000000000000002E-4</v>
      </c>
      <c r="CD228" s="3">
        <v>-3.5E-4</v>
      </c>
      <c r="CE228" s="3">
        <v>11.01</v>
      </c>
      <c r="CF228" s="3">
        <v>0.1</v>
      </c>
      <c r="CG228" s="3">
        <v>-0.1</v>
      </c>
      <c r="CH228" s="3">
        <v>4.3840000000000003</v>
      </c>
      <c r="CI228" s="3">
        <v>3.3000000000000002E-2</v>
      </c>
      <c r="CJ228" s="3">
        <v>-3.3000000000000002E-2</v>
      </c>
      <c r="CK228" s="3">
        <v>8.9536099999999994</v>
      </c>
      <c r="CL228" s="3">
        <v>9.1799999999999998E-4</v>
      </c>
      <c r="CM228" s="3">
        <v>-9.1799999999999998E-4</v>
      </c>
      <c r="CN228" t="s">
        <v>8308</v>
      </c>
      <c r="CO228" t="s">
        <v>8230</v>
      </c>
      <c r="CP228" t="s">
        <v>8309</v>
      </c>
    </row>
    <row r="229" spans="1:94" x14ac:dyDescent="0.45">
      <c r="A229" t="s">
        <v>45</v>
      </c>
      <c r="B229">
        <v>0</v>
      </c>
      <c r="C229" t="s">
        <v>1636</v>
      </c>
      <c r="D229" t="s">
        <v>46</v>
      </c>
      <c r="E229" s="3">
        <v>0</v>
      </c>
      <c r="F229" s="3">
        <v>3</v>
      </c>
      <c r="G229" s="3">
        <v>2</v>
      </c>
      <c r="H229" t="s">
        <v>1427</v>
      </c>
      <c r="I229" s="3">
        <v>2016</v>
      </c>
      <c r="J229" t="s">
        <v>8296</v>
      </c>
      <c r="K229" t="s">
        <v>1429</v>
      </c>
      <c r="L229" s="3">
        <v>0</v>
      </c>
      <c r="M229" t="s">
        <v>8310</v>
      </c>
      <c r="N229" s="3">
        <v>11.185</v>
      </c>
      <c r="O229" s="3">
        <v>1E-3</v>
      </c>
      <c r="P229" s="3">
        <v>-1E-3</v>
      </c>
      <c r="Q229" s="3">
        <v>0</v>
      </c>
      <c r="R229" s="3">
        <v>4.8000000000000001E-2</v>
      </c>
      <c r="S229" s="3">
        <v>2E-3</v>
      </c>
      <c r="T229" s="3">
        <v>-2E-3</v>
      </c>
      <c r="U229" s="3">
        <v>0</v>
      </c>
      <c r="AD229" s="3">
        <v>1</v>
      </c>
      <c r="AE229" s="3">
        <v>0.1</v>
      </c>
      <c r="AF229" s="3">
        <v>-0.1</v>
      </c>
      <c r="AG229" s="3">
        <v>0</v>
      </c>
      <c r="AH229" s="3">
        <v>3.14635E-3</v>
      </c>
      <c r="AI229" s="3">
        <v>3.1463999999999998E-4</v>
      </c>
      <c r="AJ229" s="3">
        <v>-3.1463999999999998E-4</v>
      </c>
      <c r="AK229" s="3">
        <v>0</v>
      </c>
      <c r="AL229" t="s">
        <v>1426</v>
      </c>
      <c r="AM229" s="3">
        <v>0</v>
      </c>
      <c r="AP229" s="3">
        <v>0</v>
      </c>
      <c r="AU229" s="3">
        <v>216</v>
      </c>
      <c r="AV229" s="3">
        <v>91</v>
      </c>
      <c r="AW229" s="3">
        <v>-99</v>
      </c>
      <c r="AX229" s="3">
        <v>0</v>
      </c>
      <c r="AY229" s="3">
        <v>0</v>
      </c>
      <c r="AZ229" t="s">
        <v>8310</v>
      </c>
      <c r="BA229" t="s">
        <v>7962</v>
      </c>
      <c r="BW229" t="s">
        <v>7936</v>
      </c>
      <c r="BX229" t="s">
        <v>8298</v>
      </c>
      <c r="BY229" s="3">
        <v>217.39346570000001</v>
      </c>
      <c r="BZ229" t="s">
        <v>8299</v>
      </c>
      <c r="CA229" s="3">
        <v>-62.676182099999998</v>
      </c>
      <c r="CB229" s="3">
        <v>1.3011900000000001</v>
      </c>
      <c r="CC229" s="3">
        <v>3.4000000000000002E-4</v>
      </c>
      <c r="CD229" s="3">
        <v>-3.5E-4</v>
      </c>
      <c r="CE229" s="3">
        <v>11.01</v>
      </c>
      <c r="CF229" s="3">
        <v>0.1</v>
      </c>
      <c r="CG229" s="3">
        <v>-0.1</v>
      </c>
      <c r="CH229" s="3">
        <v>4.3840000000000003</v>
      </c>
      <c r="CI229" s="3">
        <v>3.3000000000000002E-2</v>
      </c>
      <c r="CJ229" s="3">
        <v>-3.3000000000000002E-2</v>
      </c>
      <c r="CK229" s="3">
        <v>8.9536099999999994</v>
      </c>
      <c r="CL229" s="3">
        <v>9.1799999999999998E-4</v>
      </c>
      <c r="CM229" s="3">
        <v>-9.1799999999999998E-4</v>
      </c>
      <c r="CN229" t="s">
        <v>8305</v>
      </c>
      <c r="CO229" t="s">
        <v>8000</v>
      </c>
      <c r="CP229" t="s">
        <v>8305</v>
      </c>
    </row>
    <row r="230" spans="1:94" x14ac:dyDescent="0.45">
      <c r="A230" t="s">
        <v>45</v>
      </c>
      <c r="B230">
        <v>1</v>
      </c>
      <c r="C230" t="s">
        <v>1640</v>
      </c>
      <c r="D230" t="s">
        <v>46</v>
      </c>
      <c r="E230" s="3">
        <v>1</v>
      </c>
      <c r="F230" s="3">
        <v>3</v>
      </c>
      <c r="G230" s="3">
        <v>2</v>
      </c>
      <c r="H230" t="s">
        <v>1427</v>
      </c>
      <c r="I230" s="3">
        <v>2025</v>
      </c>
      <c r="J230" t="s">
        <v>7966</v>
      </c>
      <c r="K230" t="s">
        <v>1429</v>
      </c>
      <c r="L230" s="3">
        <v>0</v>
      </c>
      <c r="M230" t="s">
        <v>8302</v>
      </c>
      <c r="N230" s="3">
        <v>5.12338</v>
      </c>
      <c r="O230" s="3">
        <v>3.5E-4</v>
      </c>
      <c r="P230" s="3">
        <v>-3.5E-4</v>
      </c>
      <c r="Q230" s="3">
        <v>0</v>
      </c>
      <c r="R230" s="3">
        <v>2.8809999999999999E-2</v>
      </c>
      <c r="S230" s="3">
        <v>1.7000000000000001E-4</v>
      </c>
      <c r="T230" s="3">
        <v>-1.7000000000000001E-4</v>
      </c>
      <c r="U230" s="3">
        <v>0</v>
      </c>
      <c r="AD230" s="3">
        <v>0.26</v>
      </c>
      <c r="AE230" s="3">
        <v>3.7999999999999999E-2</v>
      </c>
      <c r="AF230" s="3">
        <v>-3.7999999999999999E-2</v>
      </c>
      <c r="AG230" s="3">
        <v>0</v>
      </c>
      <c r="AH230" s="3">
        <v>8.1804999999999996E-4</v>
      </c>
      <c r="AI230" s="3">
        <v>1.1956E-4</v>
      </c>
      <c r="AJ230" s="3">
        <v>-1.1956E-4</v>
      </c>
      <c r="AK230" s="3">
        <v>0</v>
      </c>
      <c r="AL230" t="s">
        <v>1426</v>
      </c>
      <c r="AM230" s="3">
        <v>0</v>
      </c>
      <c r="AP230" s="3">
        <v>0</v>
      </c>
      <c r="AQ230" s="3">
        <v>1.8140000000000001</v>
      </c>
      <c r="AR230" s="3">
        <v>9.8000000000000004E-2</v>
      </c>
      <c r="AS230" s="3">
        <v>-9.8000000000000004E-2</v>
      </c>
      <c r="AT230" s="3">
        <v>0</v>
      </c>
      <c r="AU230" s="3">
        <v>282</v>
      </c>
      <c r="AV230" s="3">
        <v>23</v>
      </c>
      <c r="AW230" s="3">
        <v>-23</v>
      </c>
      <c r="AX230" s="3">
        <v>0</v>
      </c>
      <c r="AY230" s="3">
        <v>0</v>
      </c>
      <c r="AZ230" t="s">
        <v>8302</v>
      </c>
      <c r="BA230" t="s">
        <v>7962</v>
      </c>
      <c r="BB230" s="3">
        <v>2900</v>
      </c>
      <c r="BC230" s="3">
        <v>100</v>
      </c>
      <c r="BD230" s="3">
        <v>-100</v>
      </c>
      <c r="BE230" s="3">
        <v>0</v>
      </c>
      <c r="BF230" s="3">
        <v>0.14099999999999999</v>
      </c>
      <c r="BG230" s="3">
        <v>2.1000000000000001E-2</v>
      </c>
      <c r="BH230" s="3">
        <v>-2.1000000000000001E-2</v>
      </c>
      <c r="BI230" s="3">
        <v>0</v>
      </c>
      <c r="BJ230" s="3">
        <v>0.1221</v>
      </c>
      <c r="BK230" s="3">
        <v>2.2000000000000001E-3</v>
      </c>
      <c r="BL230" s="3">
        <v>-2.2000000000000001E-3</v>
      </c>
      <c r="BM230" s="3">
        <v>0</v>
      </c>
      <c r="BW230" t="s">
        <v>7936</v>
      </c>
      <c r="BX230" t="s">
        <v>8298</v>
      </c>
      <c r="BY230" s="3">
        <v>217.39346570000001</v>
      </c>
      <c r="BZ230" t="s">
        <v>8299</v>
      </c>
      <c r="CA230" s="3">
        <v>-62.676182099999998</v>
      </c>
      <c r="CB230" s="3">
        <v>1.3011900000000001</v>
      </c>
      <c r="CC230" s="3">
        <v>3.4000000000000002E-4</v>
      </c>
      <c r="CD230" s="3">
        <v>-3.5E-4</v>
      </c>
      <c r="CE230" s="3">
        <v>11.01</v>
      </c>
      <c r="CF230" s="3">
        <v>0.1</v>
      </c>
      <c r="CG230" s="3">
        <v>-0.1</v>
      </c>
      <c r="CH230" s="3">
        <v>4.3840000000000003</v>
      </c>
      <c r="CI230" s="3">
        <v>3.3000000000000002E-2</v>
      </c>
      <c r="CJ230" s="3">
        <v>-3.3000000000000002E-2</v>
      </c>
      <c r="CK230" s="3">
        <v>8.9536099999999994</v>
      </c>
      <c r="CL230" s="3">
        <v>9.1799999999999998E-4</v>
      </c>
      <c r="CM230" s="3">
        <v>-9.1799999999999998E-4</v>
      </c>
      <c r="CN230" t="s">
        <v>1639</v>
      </c>
      <c r="CO230" t="s">
        <v>8303</v>
      </c>
      <c r="CP230" t="s">
        <v>1639</v>
      </c>
    </row>
    <row r="231" spans="1:94" x14ac:dyDescent="0.45">
      <c r="A231" t="s">
        <v>45</v>
      </c>
      <c r="B231">
        <v>0</v>
      </c>
      <c r="C231" t="s">
        <v>1640</v>
      </c>
      <c r="D231" t="s">
        <v>46</v>
      </c>
      <c r="E231" s="3">
        <v>0</v>
      </c>
      <c r="F231" s="3">
        <v>3</v>
      </c>
      <c r="G231" s="3">
        <v>2</v>
      </c>
      <c r="H231" t="s">
        <v>1427</v>
      </c>
      <c r="I231" s="3">
        <v>2025</v>
      </c>
      <c r="J231" t="s">
        <v>7966</v>
      </c>
      <c r="K231" t="s">
        <v>8024</v>
      </c>
      <c r="L231" s="3">
        <v>0</v>
      </c>
      <c r="M231" t="s">
        <v>8304</v>
      </c>
      <c r="N231" s="3">
        <v>5.1219999999999999</v>
      </c>
      <c r="O231" s="3">
        <v>2E-3</v>
      </c>
      <c r="P231" s="3">
        <v>-3.5999999999999997E-2</v>
      </c>
      <c r="Q231" s="3">
        <v>0</v>
      </c>
      <c r="R231" s="3">
        <v>2.8850000000000001E-2</v>
      </c>
      <c r="S231" s="3">
        <v>1.9000000000000001E-4</v>
      </c>
      <c r="T231" s="3">
        <v>-2.2000000000000001E-4</v>
      </c>
      <c r="U231" s="3">
        <v>0</v>
      </c>
      <c r="AD231" s="3">
        <v>0.26</v>
      </c>
      <c r="AE231" s="3">
        <v>0.05</v>
      </c>
      <c r="AF231" s="3">
        <v>-0.05</v>
      </c>
      <c r="AG231" s="3">
        <v>0</v>
      </c>
      <c r="AH231" s="3">
        <v>8.1804999999999996E-4</v>
      </c>
      <c r="AI231" s="3">
        <v>1.5731999999999999E-4</v>
      </c>
      <c r="AJ231" s="3">
        <v>-1.5731999999999999E-4</v>
      </c>
      <c r="AK231" s="3">
        <v>0</v>
      </c>
      <c r="AL231" t="s">
        <v>1426</v>
      </c>
      <c r="AM231" s="3">
        <v>0.04</v>
      </c>
      <c r="AN231" s="3">
        <v>0.15</v>
      </c>
      <c r="AO231" s="3">
        <v>-0.04</v>
      </c>
      <c r="AP231" s="3">
        <v>0</v>
      </c>
      <c r="AY231" s="3">
        <v>0</v>
      </c>
      <c r="AZ231" t="s">
        <v>8304</v>
      </c>
      <c r="BA231" t="s">
        <v>7962</v>
      </c>
      <c r="BB231" s="3">
        <v>2900</v>
      </c>
      <c r="BC231" s="3">
        <v>100</v>
      </c>
      <c r="BD231" s="3">
        <v>-100</v>
      </c>
      <c r="BE231" s="3">
        <v>0</v>
      </c>
      <c r="BF231" s="3">
        <v>0.14099999999999999</v>
      </c>
      <c r="BG231" s="3">
        <v>2.1000000000000001E-2</v>
      </c>
      <c r="BH231" s="3">
        <v>-2.1000000000000001E-2</v>
      </c>
      <c r="BI231" s="3">
        <v>0</v>
      </c>
      <c r="BJ231" s="3">
        <v>0.1221</v>
      </c>
      <c r="BK231" s="3">
        <v>2.2000000000000001E-3</v>
      </c>
      <c r="BL231" s="3">
        <v>-2.2000000000000001E-3</v>
      </c>
      <c r="BM231" s="3">
        <v>0</v>
      </c>
      <c r="BW231" t="s">
        <v>7936</v>
      </c>
      <c r="BX231" t="s">
        <v>8298</v>
      </c>
      <c r="BY231" s="3">
        <v>217.39346570000001</v>
      </c>
      <c r="BZ231" t="s">
        <v>8299</v>
      </c>
      <c r="CA231" s="3">
        <v>-62.676182099999998</v>
      </c>
      <c r="CB231" s="3">
        <v>1.3011900000000001</v>
      </c>
      <c r="CC231" s="3">
        <v>3.4000000000000002E-4</v>
      </c>
      <c r="CD231" s="3">
        <v>-3.5E-4</v>
      </c>
      <c r="CE231" s="3">
        <v>11.01</v>
      </c>
      <c r="CF231" s="3">
        <v>0.1</v>
      </c>
      <c r="CG231" s="3">
        <v>-0.1</v>
      </c>
      <c r="CH231" s="3">
        <v>4.3840000000000003</v>
      </c>
      <c r="CI231" s="3">
        <v>3.3000000000000002E-2</v>
      </c>
      <c r="CJ231" s="3">
        <v>-3.3000000000000002E-2</v>
      </c>
      <c r="CK231" s="3">
        <v>8.9536099999999994</v>
      </c>
      <c r="CL231" s="3">
        <v>9.1799999999999998E-4</v>
      </c>
      <c r="CM231" s="3">
        <v>-9.1799999999999998E-4</v>
      </c>
      <c r="CN231" t="s">
        <v>1461</v>
      </c>
      <c r="CO231" t="s">
        <v>8306</v>
      </c>
      <c r="CP231" t="s">
        <v>1461</v>
      </c>
    </row>
    <row r="232" spans="1:94" x14ac:dyDescent="0.45">
      <c r="A232" t="s">
        <v>1030</v>
      </c>
      <c r="B232">
        <v>1</v>
      </c>
      <c r="C232" t="s">
        <v>1028</v>
      </c>
      <c r="D232" t="s">
        <v>1031</v>
      </c>
      <c r="E232" s="3">
        <v>1</v>
      </c>
      <c r="F232" s="3">
        <v>2</v>
      </c>
      <c r="G232" s="3">
        <v>1</v>
      </c>
      <c r="H232" t="s">
        <v>1641</v>
      </c>
      <c r="I232" s="3">
        <v>2012</v>
      </c>
      <c r="J232" t="s">
        <v>8311</v>
      </c>
      <c r="K232" t="s">
        <v>1429</v>
      </c>
      <c r="L232" s="3">
        <v>1</v>
      </c>
      <c r="M232" t="s">
        <v>8312</v>
      </c>
      <c r="N232" s="3">
        <v>4343.5</v>
      </c>
      <c r="O232" s="3">
        <v>36.5</v>
      </c>
      <c r="P232" s="3">
        <v>-36.5</v>
      </c>
      <c r="Q232" s="3">
        <v>0</v>
      </c>
      <c r="R232" s="3">
        <v>5.3</v>
      </c>
      <c r="S232" s="3">
        <v>0.6</v>
      </c>
      <c r="T232" s="3">
        <v>-0.6</v>
      </c>
      <c r="U232" s="3">
        <v>0</v>
      </c>
      <c r="AD232" s="3">
        <v>1334.886</v>
      </c>
      <c r="AE232" s="3">
        <v>127.13200000000001</v>
      </c>
      <c r="AF232" s="3">
        <v>-127.13200000000001</v>
      </c>
      <c r="AG232" s="3">
        <v>0</v>
      </c>
      <c r="AH232" s="3">
        <v>4.2</v>
      </c>
      <c r="AI232" s="3">
        <v>0.4</v>
      </c>
      <c r="AJ232" s="3">
        <v>-0.4</v>
      </c>
      <c r="AK232" s="3">
        <v>0</v>
      </c>
      <c r="AL232" t="s">
        <v>1426</v>
      </c>
      <c r="AM232" s="3">
        <v>0</v>
      </c>
      <c r="AP232" s="3">
        <v>0</v>
      </c>
      <c r="AY232" s="3">
        <v>0</v>
      </c>
      <c r="AZ232" t="s">
        <v>8312</v>
      </c>
      <c r="BA232" t="s">
        <v>8313</v>
      </c>
      <c r="BJ232" s="3">
        <v>0.44</v>
      </c>
      <c r="BM232" s="3">
        <v>0</v>
      </c>
      <c r="BW232" t="s">
        <v>7936</v>
      </c>
      <c r="BX232" t="s">
        <v>8314</v>
      </c>
      <c r="BY232" s="3">
        <v>65.273375599999994</v>
      </c>
      <c r="BZ232" t="s">
        <v>8315</v>
      </c>
      <c r="CA232" s="3">
        <v>-48.654260100000002</v>
      </c>
      <c r="CB232" s="3">
        <v>21.191600000000001</v>
      </c>
      <c r="CC232" s="3">
        <v>1.0999999999999999E-2</v>
      </c>
      <c r="CD232" s="3">
        <v>-1.0999999999999999E-2</v>
      </c>
      <c r="CE232" s="3">
        <v>14.379</v>
      </c>
      <c r="CF232" s="3">
        <v>8.9999999999999993E-3</v>
      </c>
      <c r="CG232" s="3">
        <v>-8.9999999999999993E-3</v>
      </c>
      <c r="CH232" s="3">
        <v>9.8520000000000003</v>
      </c>
      <c r="CI232" s="3">
        <v>2.5000000000000001E-2</v>
      </c>
      <c r="CJ232" s="3">
        <v>-2.5000000000000001E-2</v>
      </c>
      <c r="CK232" s="3">
        <v>13.6576</v>
      </c>
      <c r="CL232" s="3">
        <v>5.3799999999999996E-4</v>
      </c>
      <c r="CM232" s="3">
        <v>-5.3799999999999996E-4</v>
      </c>
      <c r="CN232" t="s">
        <v>1644</v>
      </c>
      <c r="CO232" t="s">
        <v>8134</v>
      </c>
      <c r="CP232" t="s">
        <v>8264</v>
      </c>
    </row>
    <row r="233" spans="1:94" x14ac:dyDescent="0.45">
      <c r="A233" t="s">
        <v>144</v>
      </c>
      <c r="B233">
        <v>1</v>
      </c>
      <c r="C233" t="s">
        <v>143</v>
      </c>
      <c r="D233" t="s">
        <v>142</v>
      </c>
      <c r="E233" s="3">
        <v>1</v>
      </c>
      <c r="F233" s="3">
        <v>1</v>
      </c>
      <c r="G233" s="3">
        <v>1</v>
      </c>
      <c r="H233" t="s">
        <v>1427</v>
      </c>
      <c r="I233" s="3">
        <v>2017</v>
      </c>
      <c r="J233" t="s">
        <v>7966</v>
      </c>
      <c r="K233" t="s">
        <v>1429</v>
      </c>
      <c r="L233" s="3">
        <v>0</v>
      </c>
      <c r="M233" t="s">
        <v>8316</v>
      </c>
      <c r="N233" s="3">
        <v>9.8658000000000001</v>
      </c>
      <c r="O233" s="3">
        <v>7.0000000000000001E-3</v>
      </c>
      <c r="P233" s="3">
        <v>-7.0000000000000001E-3</v>
      </c>
      <c r="Q233" s="3">
        <v>0</v>
      </c>
      <c r="R233" s="3">
        <v>4.9599999999999998E-2</v>
      </c>
      <c r="S233" s="3">
        <v>1.6999999999999999E-3</v>
      </c>
      <c r="T233" s="3">
        <v>-1.6999999999999999E-3</v>
      </c>
      <c r="U233" s="3">
        <v>0</v>
      </c>
      <c r="AD233" s="3">
        <v>1.4</v>
      </c>
      <c r="AE233" s="3">
        <v>0.21</v>
      </c>
      <c r="AF233" s="3">
        <v>-0.21</v>
      </c>
      <c r="AG233" s="3">
        <v>0</v>
      </c>
      <c r="AH233" s="3">
        <v>4.40487E-3</v>
      </c>
      <c r="AI233" s="3">
        <v>6.6073E-4</v>
      </c>
      <c r="AJ233" s="3">
        <v>-6.6073E-4</v>
      </c>
      <c r="AK233" s="3">
        <v>0</v>
      </c>
      <c r="AL233" t="s">
        <v>1426</v>
      </c>
      <c r="AM233" s="3">
        <v>0.11600000000000001</v>
      </c>
      <c r="AN233" s="3">
        <v>9.7000000000000003E-2</v>
      </c>
      <c r="AO233" s="3">
        <v>-9.7000000000000003E-2</v>
      </c>
      <c r="AP233" s="3">
        <v>0</v>
      </c>
      <c r="AQ233" s="3">
        <v>1.38</v>
      </c>
      <c r="AT233" s="3">
        <v>0</v>
      </c>
      <c r="AU233" s="3">
        <v>301</v>
      </c>
      <c r="AX233" s="3">
        <v>0</v>
      </c>
      <c r="AY233" s="3">
        <v>0</v>
      </c>
      <c r="AZ233" t="s">
        <v>8316</v>
      </c>
      <c r="BA233" t="s">
        <v>304</v>
      </c>
      <c r="BB233" s="3">
        <v>3192</v>
      </c>
      <c r="BC233" s="3">
        <v>60</v>
      </c>
      <c r="BD233" s="3">
        <v>-60</v>
      </c>
      <c r="BE233" s="3">
        <v>0</v>
      </c>
      <c r="BF233" s="3">
        <v>0.19670000000000001</v>
      </c>
      <c r="BG233" s="3">
        <v>7.7000000000000002E-3</v>
      </c>
      <c r="BH233" s="3">
        <v>-7.7000000000000002E-3</v>
      </c>
      <c r="BI233" s="3">
        <v>0</v>
      </c>
      <c r="BJ233" s="3">
        <v>0.16800000000000001</v>
      </c>
      <c r="BK233" s="3">
        <v>1.7000000000000001E-2</v>
      </c>
      <c r="BL233" s="3">
        <v>-1.7000000000000001E-2</v>
      </c>
      <c r="BM233" s="3">
        <v>0</v>
      </c>
      <c r="BN233" s="3">
        <v>-0.02</v>
      </c>
      <c r="BO233" s="3">
        <v>0.08</v>
      </c>
      <c r="BP233" s="3">
        <v>-0.08</v>
      </c>
      <c r="BQ233" s="3">
        <v>0</v>
      </c>
      <c r="BR233" t="s">
        <v>7983</v>
      </c>
      <c r="BW233" t="s">
        <v>7936</v>
      </c>
      <c r="BX233" t="s">
        <v>8317</v>
      </c>
      <c r="BY233" s="3">
        <v>176.93760359999999</v>
      </c>
      <c r="BZ233" t="s">
        <v>8318</v>
      </c>
      <c r="CA233" s="3">
        <v>0.79928980000000005</v>
      </c>
      <c r="CB233" s="3">
        <v>3.3745400000000001</v>
      </c>
      <c r="CC233" s="3">
        <v>8.0500000000000005E-4</v>
      </c>
      <c r="CD233" s="3">
        <v>-8.0500000000000005E-4</v>
      </c>
      <c r="CE233" s="3">
        <v>11.12</v>
      </c>
      <c r="CF233" s="3">
        <v>0.1</v>
      </c>
      <c r="CG233" s="3">
        <v>-0.1</v>
      </c>
      <c r="CH233" s="3">
        <v>5.6539999999999999</v>
      </c>
      <c r="CI233" s="3">
        <v>2.4E-2</v>
      </c>
      <c r="CJ233" s="3">
        <v>-2.4E-2</v>
      </c>
      <c r="CK233" s="3">
        <v>9.5906699999999994</v>
      </c>
      <c r="CL233" s="3">
        <v>1.1199999999999999E-3</v>
      </c>
      <c r="CM233" s="3">
        <v>-1.1199999999999999E-3</v>
      </c>
      <c r="CN233" t="s">
        <v>1647</v>
      </c>
      <c r="CO233" t="s">
        <v>8319</v>
      </c>
      <c r="CP233" t="s">
        <v>8320</v>
      </c>
    </row>
    <row r="234" spans="1:94" x14ac:dyDescent="0.45">
      <c r="A234" t="s">
        <v>303</v>
      </c>
      <c r="B234">
        <v>1</v>
      </c>
      <c r="C234" t="s">
        <v>1648</v>
      </c>
      <c r="D234" t="s">
        <v>301</v>
      </c>
      <c r="E234" s="3">
        <v>1</v>
      </c>
      <c r="F234" s="3">
        <v>1</v>
      </c>
      <c r="G234" s="3">
        <v>3</v>
      </c>
      <c r="H234" t="s">
        <v>1427</v>
      </c>
      <c r="I234" s="3">
        <v>2015</v>
      </c>
      <c r="J234" t="s">
        <v>7966</v>
      </c>
      <c r="K234" t="s">
        <v>1429</v>
      </c>
      <c r="L234" s="3">
        <v>0</v>
      </c>
      <c r="M234" t="s">
        <v>8016</v>
      </c>
      <c r="N234" s="3">
        <v>4.8868999999999998</v>
      </c>
      <c r="O234" s="3">
        <v>5.0000000000000001E-4</v>
      </c>
      <c r="P234" s="3">
        <v>-5.0000000000000001E-4</v>
      </c>
      <c r="Q234" s="3">
        <v>0</v>
      </c>
      <c r="R234" s="3">
        <v>3.7499999999999999E-2</v>
      </c>
      <c r="S234" s="3">
        <v>1.1999999999999999E-3</v>
      </c>
      <c r="T234" s="3">
        <v>-1.2999999999999999E-3</v>
      </c>
      <c r="U234" s="3">
        <v>0</v>
      </c>
      <c r="AD234" s="3">
        <v>1.91</v>
      </c>
      <c r="AE234" s="3">
        <v>0.26</v>
      </c>
      <c r="AF234" s="3">
        <v>-0.25</v>
      </c>
      <c r="AG234" s="3">
        <v>0</v>
      </c>
      <c r="AH234" s="3">
        <v>6.0095000000000001E-3</v>
      </c>
      <c r="AI234" s="3">
        <v>8.1804999999999996E-4</v>
      </c>
      <c r="AJ234" s="3">
        <v>-7.8658000000000005E-4</v>
      </c>
      <c r="AK234" s="3">
        <v>0</v>
      </c>
      <c r="AL234" t="s">
        <v>1426</v>
      </c>
      <c r="AM234" s="3">
        <v>0.15</v>
      </c>
      <c r="AN234" s="3">
        <v>0.13</v>
      </c>
      <c r="AO234" s="3">
        <v>-0.1</v>
      </c>
      <c r="AP234" s="3">
        <v>0</v>
      </c>
      <c r="AQ234" s="3">
        <v>7.34</v>
      </c>
      <c r="AT234" s="3">
        <v>0</v>
      </c>
      <c r="AY234" s="3">
        <v>0</v>
      </c>
      <c r="AZ234" t="s">
        <v>8016</v>
      </c>
      <c r="BA234" t="s">
        <v>638</v>
      </c>
      <c r="BB234" s="3">
        <v>3342</v>
      </c>
      <c r="BC234" s="3">
        <v>49</v>
      </c>
      <c r="BD234" s="3">
        <v>-49</v>
      </c>
      <c r="BE234" s="3">
        <v>0</v>
      </c>
      <c r="BF234" s="3">
        <v>0.307</v>
      </c>
      <c r="BG234" s="3">
        <v>2.7E-2</v>
      </c>
      <c r="BH234" s="3">
        <v>-2.7E-2</v>
      </c>
      <c r="BI234" s="3">
        <v>0</v>
      </c>
      <c r="BJ234" s="3">
        <v>0.29399999999999998</v>
      </c>
      <c r="BM234" s="3">
        <v>0</v>
      </c>
      <c r="BN234" s="3">
        <v>-0.09</v>
      </c>
      <c r="BO234" s="3">
        <v>0.09</v>
      </c>
      <c r="BP234" s="3">
        <v>-0.09</v>
      </c>
      <c r="BQ234" s="3">
        <v>0</v>
      </c>
      <c r="BR234" t="s">
        <v>7935</v>
      </c>
      <c r="BW234" t="s">
        <v>7936</v>
      </c>
      <c r="BX234" t="s">
        <v>8321</v>
      </c>
      <c r="BY234" s="3">
        <v>247.57482759999999</v>
      </c>
      <c r="BZ234" t="s">
        <v>8322</v>
      </c>
      <c r="CA234" s="3">
        <v>-12.6676866</v>
      </c>
      <c r="CB234" s="3">
        <v>4.3059200000000004</v>
      </c>
      <c r="CC234" s="3">
        <v>1.1800000000000001E-3</v>
      </c>
      <c r="CD234" s="3">
        <v>-1.1800000000000001E-3</v>
      </c>
      <c r="CE234" s="3">
        <v>10.1</v>
      </c>
      <c r="CF234" s="3">
        <v>0.1</v>
      </c>
      <c r="CG234" s="3">
        <v>-0.1</v>
      </c>
      <c r="CH234" s="3">
        <v>5.0750000000000002</v>
      </c>
      <c r="CI234" s="3">
        <v>2.4E-2</v>
      </c>
      <c r="CJ234" s="3">
        <v>-2.4E-2</v>
      </c>
      <c r="CK234" s="3">
        <v>8.7944399999999998</v>
      </c>
      <c r="CL234" s="3">
        <v>7.4100000000000001E-4</v>
      </c>
      <c r="CM234" s="3">
        <v>-7.4100000000000001E-4</v>
      </c>
      <c r="CN234" t="s">
        <v>1483</v>
      </c>
      <c r="CO234" t="s">
        <v>8019</v>
      </c>
      <c r="CP234" t="s">
        <v>8020</v>
      </c>
    </row>
    <row r="235" spans="1:94" x14ac:dyDescent="0.45">
      <c r="A235" t="s">
        <v>303</v>
      </c>
      <c r="B235">
        <v>0</v>
      </c>
      <c r="C235" t="s">
        <v>1648</v>
      </c>
      <c r="D235" t="s">
        <v>301</v>
      </c>
      <c r="E235" s="3">
        <v>0</v>
      </c>
      <c r="F235" s="3">
        <v>1</v>
      </c>
      <c r="G235" s="3">
        <v>3</v>
      </c>
      <c r="H235" t="s">
        <v>1427</v>
      </c>
      <c r="I235" s="3">
        <v>2015</v>
      </c>
      <c r="J235" t="s">
        <v>7966</v>
      </c>
      <c r="K235" t="s">
        <v>1429</v>
      </c>
      <c r="L235" s="3">
        <v>0</v>
      </c>
      <c r="M235" t="s">
        <v>8323</v>
      </c>
      <c r="N235" s="3">
        <v>4.8875999999999999</v>
      </c>
      <c r="O235" s="3">
        <v>1.4E-3</v>
      </c>
      <c r="P235" s="3">
        <v>-1.4E-3</v>
      </c>
      <c r="Q235" s="3">
        <v>0</v>
      </c>
      <c r="R235" s="3">
        <v>3.5508999999999999E-2</v>
      </c>
      <c r="S235" s="3">
        <v>6.9999999999999999E-6</v>
      </c>
      <c r="T235" s="3">
        <v>-6.9999999999999999E-6</v>
      </c>
      <c r="U235" s="3">
        <v>0</v>
      </c>
      <c r="AD235" s="3">
        <v>1.36</v>
      </c>
      <c r="AE235" s="3">
        <v>0.23</v>
      </c>
      <c r="AF235" s="3">
        <v>-0.23</v>
      </c>
      <c r="AG235" s="3">
        <v>0</v>
      </c>
      <c r="AH235" s="3">
        <v>4.2790199999999997E-3</v>
      </c>
      <c r="AI235" s="3">
        <v>7.2365999999999999E-4</v>
      </c>
      <c r="AJ235" s="3">
        <v>-7.2365999999999999E-4</v>
      </c>
      <c r="AK235" s="3">
        <v>0</v>
      </c>
      <c r="AL235" t="s">
        <v>1426</v>
      </c>
      <c r="AM235" s="3">
        <v>0</v>
      </c>
      <c r="AP235" s="3">
        <v>0</v>
      </c>
      <c r="AY235" s="3">
        <v>0</v>
      </c>
      <c r="AZ235" t="s">
        <v>8323</v>
      </c>
      <c r="BA235" t="s">
        <v>8324</v>
      </c>
      <c r="BB235" s="3">
        <v>3393</v>
      </c>
      <c r="BE235" s="3">
        <v>0</v>
      </c>
      <c r="BJ235" s="3">
        <v>0.25</v>
      </c>
      <c r="BM235" s="3">
        <v>0</v>
      </c>
      <c r="BW235" t="s">
        <v>7936</v>
      </c>
      <c r="BX235" t="s">
        <v>8321</v>
      </c>
      <c r="BY235" s="3">
        <v>247.57482759999999</v>
      </c>
      <c r="BZ235" t="s">
        <v>8322</v>
      </c>
      <c r="CA235" s="3">
        <v>-12.6676866</v>
      </c>
      <c r="CB235" s="3">
        <v>4.3059200000000004</v>
      </c>
      <c r="CC235" s="3">
        <v>1.1800000000000001E-3</v>
      </c>
      <c r="CD235" s="3">
        <v>-1.1800000000000001E-3</v>
      </c>
      <c r="CE235" s="3">
        <v>10.1</v>
      </c>
      <c r="CF235" s="3">
        <v>0.1</v>
      </c>
      <c r="CG235" s="3">
        <v>-0.1</v>
      </c>
      <c r="CH235" s="3">
        <v>5.0750000000000002</v>
      </c>
      <c r="CI235" s="3">
        <v>2.4E-2</v>
      </c>
      <c r="CJ235" s="3">
        <v>-2.4E-2</v>
      </c>
      <c r="CK235" s="3">
        <v>8.7944399999999998</v>
      </c>
      <c r="CL235" s="3">
        <v>7.4100000000000001E-4</v>
      </c>
      <c r="CM235" s="3">
        <v>-7.4100000000000001E-4</v>
      </c>
      <c r="CN235" t="s">
        <v>1483</v>
      </c>
      <c r="CO235" t="s">
        <v>8325</v>
      </c>
      <c r="CP235" t="s">
        <v>8326</v>
      </c>
    </row>
    <row r="236" spans="1:94" x14ac:dyDescent="0.45">
      <c r="A236" t="s">
        <v>303</v>
      </c>
      <c r="B236">
        <v>0</v>
      </c>
      <c r="C236" t="s">
        <v>1649</v>
      </c>
      <c r="D236" t="s">
        <v>301</v>
      </c>
      <c r="E236" s="3">
        <v>0</v>
      </c>
      <c r="F236" s="3">
        <v>1</v>
      </c>
      <c r="G236" s="3">
        <v>3</v>
      </c>
      <c r="H236" t="s">
        <v>1427</v>
      </c>
      <c r="I236" s="3">
        <v>2015</v>
      </c>
      <c r="J236" t="s">
        <v>7966</v>
      </c>
      <c r="K236" t="s">
        <v>1429</v>
      </c>
      <c r="L236" s="3">
        <v>0</v>
      </c>
      <c r="M236" t="s">
        <v>8323</v>
      </c>
      <c r="N236" s="3">
        <v>17.867000000000001</v>
      </c>
      <c r="O236" s="3">
        <v>1.0999999999999999E-2</v>
      </c>
      <c r="P236" s="3">
        <v>-1.0999999999999999E-2</v>
      </c>
      <c r="Q236" s="3">
        <v>0</v>
      </c>
      <c r="R236" s="3">
        <v>8.4269999999999998E-2</v>
      </c>
      <c r="S236" s="3">
        <v>4.0000000000000003E-5</v>
      </c>
      <c r="T236" s="3">
        <v>-4.0000000000000003E-5</v>
      </c>
      <c r="U236" s="3">
        <v>0</v>
      </c>
      <c r="AD236" s="3">
        <v>4.25</v>
      </c>
      <c r="AE236" s="3">
        <v>0.37</v>
      </c>
      <c r="AF236" s="3">
        <v>-0.37</v>
      </c>
      <c r="AG236" s="3">
        <v>0</v>
      </c>
      <c r="AH236" s="3">
        <v>1.3371930000000001E-2</v>
      </c>
      <c r="AI236" s="3">
        <v>1.1641399999999999E-3</v>
      </c>
      <c r="AJ236" s="3">
        <v>-1.1641399999999999E-3</v>
      </c>
      <c r="AK236" s="3">
        <v>0</v>
      </c>
      <c r="AL236" t="s">
        <v>1426</v>
      </c>
      <c r="AM236" s="3">
        <v>0.19</v>
      </c>
      <c r="AN236" s="3">
        <v>0.13</v>
      </c>
      <c r="AO236" s="3">
        <v>-0.13</v>
      </c>
      <c r="AP236" s="3">
        <v>0</v>
      </c>
      <c r="AY236" s="3">
        <v>0</v>
      </c>
      <c r="AZ236" t="s">
        <v>8323</v>
      </c>
      <c r="BA236" t="s">
        <v>8324</v>
      </c>
      <c r="BB236" s="3">
        <v>3393</v>
      </c>
      <c r="BE236" s="3">
        <v>0</v>
      </c>
      <c r="BJ236" s="3">
        <v>0.25</v>
      </c>
      <c r="BM236" s="3">
        <v>0</v>
      </c>
      <c r="BW236" t="s">
        <v>7936</v>
      </c>
      <c r="BX236" t="s">
        <v>8321</v>
      </c>
      <c r="BY236" s="3">
        <v>247.57482759999999</v>
      </c>
      <c r="BZ236" t="s">
        <v>8322</v>
      </c>
      <c r="CA236" s="3">
        <v>-12.6676866</v>
      </c>
      <c r="CB236" s="3">
        <v>4.3059200000000004</v>
      </c>
      <c r="CC236" s="3">
        <v>1.1800000000000001E-3</v>
      </c>
      <c r="CD236" s="3">
        <v>-1.1800000000000001E-3</v>
      </c>
      <c r="CE236" s="3">
        <v>10.1</v>
      </c>
      <c r="CF236" s="3">
        <v>0.1</v>
      </c>
      <c r="CG236" s="3">
        <v>-0.1</v>
      </c>
      <c r="CH236" s="3">
        <v>5.0750000000000002</v>
      </c>
      <c r="CI236" s="3">
        <v>2.4E-2</v>
      </c>
      <c r="CJ236" s="3">
        <v>-2.4E-2</v>
      </c>
      <c r="CK236" s="3">
        <v>8.7944399999999998</v>
      </c>
      <c r="CL236" s="3">
        <v>7.4100000000000001E-4</v>
      </c>
      <c r="CM236" s="3">
        <v>-7.4100000000000001E-4</v>
      </c>
      <c r="CN236" t="s">
        <v>1483</v>
      </c>
      <c r="CO236" t="s">
        <v>8325</v>
      </c>
      <c r="CP236" t="s">
        <v>8326</v>
      </c>
    </row>
    <row r="237" spans="1:94" x14ac:dyDescent="0.45">
      <c r="A237" t="s">
        <v>303</v>
      </c>
      <c r="B237">
        <v>1</v>
      </c>
      <c r="C237" t="s">
        <v>1649</v>
      </c>
      <c r="D237" t="s">
        <v>301</v>
      </c>
      <c r="E237" s="3">
        <v>1</v>
      </c>
      <c r="F237" s="3">
        <v>1</v>
      </c>
      <c r="G237" s="3">
        <v>3</v>
      </c>
      <c r="H237" t="s">
        <v>1427</v>
      </c>
      <c r="I237" s="3">
        <v>2015</v>
      </c>
      <c r="J237" t="s">
        <v>7966</v>
      </c>
      <c r="K237" t="s">
        <v>1429</v>
      </c>
      <c r="L237" s="3">
        <v>0</v>
      </c>
      <c r="M237" t="s">
        <v>8016</v>
      </c>
      <c r="N237" s="3">
        <v>17.8719</v>
      </c>
      <c r="O237" s="3">
        <v>5.8999999999999999E-3</v>
      </c>
      <c r="P237" s="3">
        <v>-5.8999999999999999E-3</v>
      </c>
      <c r="Q237" s="3">
        <v>0</v>
      </c>
      <c r="R237" s="3">
        <v>8.8999999999999996E-2</v>
      </c>
      <c r="S237" s="3">
        <v>2.8999999999999998E-3</v>
      </c>
      <c r="T237" s="3">
        <v>-3.0999999999999999E-3</v>
      </c>
      <c r="U237" s="3">
        <v>0</v>
      </c>
      <c r="AD237" s="3">
        <v>3.41</v>
      </c>
      <c r="AE237" s="3">
        <v>0.43</v>
      </c>
      <c r="AF237" s="3">
        <v>-0.41</v>
      </c>
      <c r="AG237" s="3">
        <v>0</v>
      </c>
      <c r="AH237" s="3">
        <v>1.0729010000000001E-2</v>
      </c>
      <c r="AI237" s="3">
        <v>1.3529200000000001E-3</v>
      </c>
      <c r="AJ237" s="3">
        <v>-1.2899999999999999E-3</v>
      </c>
      <c r="AK237" s="3">
        <v>0</v>
      </c>
      <c r="AL237" t="s">
        <v>1426</v>
      </c>
      <c r="AM237" s="3">
        <v>0.11</v>
      </c>
      <c r="AN237" s="3">
        <v>0.1</v>
      </c>
      <c r="AO237" s="3">
        <v>-7.0000000000000007E-2</v>
      </c>
      <c r="AP237" s="3">
        <v>0</v>
      </c>
      <c r="AQ237" s="3">
        <v>1.3</v>
      </c>
      <c r="AT237" s="3">
        <v>0</v>
      </c>
      <c r="AY237" s="3">
        <v>0</v>
      </c>
      <c r="AZ237" t="s">
        <v>8016</v>
      </c>
      <c r="BA237" t="s">
        <v>638</v>
      </c>
      <c r="BB237" s="3">
        <v>3342</v>
      </c>
      <c r="BC237" s="3">
        <v>49</v>
      </c>
      <c r="BD237" s="3">
        <v>-49</v>
      </c>
      <c r="BE237" s="3">
        <v>0</v>
      </c>
      <c r="BF237" s="3">
        <v>0.307</v>
      </c>
      <c r="BG237" s="3">
        <v>2.7E-2</v>
      </c>
      <c r="BH237" s="3">
        <v>-2.7E-2</v>
      </c>
      <c r="BI237" s="3">
        <v>0</v>
      </c>
      <c r="BJ237" s="3">
        <v>0.29399999999999998</v>
      </c>
      <c r="BM237" s="3">
        <v>0</v>
      </c>
      <c r="BN237" s="3">
        <v>-0.09</v>
      </c>
      <c r="BO237" s="3">
        <v>0.09</v>
      </c>
      <c r="BP237" s="3">
        <v>-0.09</v>
      </c>
      <c r="BQ237" s="3">
        <v>0</v>
      </c>
      <c r="BR237" t="s">
        <v>7935</v>
      </c>
      <c r="BW237" t="s">
        <v>7936</v>
      </c>
      <c r="BX237" t="s">
        <v>8321</v>
      </c>
      <c r="BY237" s="3">
        <v>247.57482759999999</v>
      </c>
      <c r="BZ237" t="s">
        <v>8322</v>
      </c>
      <c r="CA237" s="3">
        <v>-12.6676866</v>
      </c>
      <c r="CB237" s="3">
        <v>4.3059200000000004</v>
      </c>
      <c r="CC237" s="3">
        <v>1.1800000000000001E-3</v>
      </c>
      <c r="CD237" s="3">
        <v>-1.1800000000000001E-3</v>
      </c>
      <c r="CE237" s="3">
        <v>10.1</v>
      </c>
      <c r="CF237" s="3">
        <v>0.1</v>
      </c>
      <c r="CG237" s="3">
        <v>-0.1</v>
      </c>
      <c r="CH237" s="3">
        <v>5.0750000000000002</v>
      </c>
      <c r="CI237" s="3">
        <v>2.4E-2</v>
      </c>
      <c r="CJ237" s="3">
        <v>-2.4E-2</v>
      </c>
      <c r="CK237" s="3">
        <v>8.7944399999999998</v>
      </c>
      <c r="CL237" s="3">
        <v>7.4100000000000001E-4</v>
      </c>
      <c r="CM237" s="3">
        <v>-7.4100000000000001E-4</v>
      </c>
      <c r="CN237" t="s">
        <v>1483</v>
      </c>
      <c r="CO237" t="s">
        <v>8019</v>
      </c>
      <c r="CP237" t="s">
        <v>8020</v>
      </c>
    </row>
    <row r="238" spans="1:94" x14ac:dyDescent="0.45">
      <c r="A238" t="s">
        <v>303</v>
      </c>
      <c r="B238">
        <v>0</v>
      </c>
      <c r="C238" t="s">
        <v>1650</v>
      </c>
      <c r="D238" t="s">
        <v>301</v>
      </c>
      <c r="E238" s="3">
        <v>0</v>
      </c>
      <c r="F238" s="3">
        <v>1</v>
      </c>
      <c r="G238" s="3">
        <v>3</v>
      </c>
      <c r="H238" t="s">
        <v>1427</v>
      </c>
      <c r="I238" s="3">
        <v>2015</v>
      </c>
      <c r="J238" t="s">
        <v>7966</v>
      </c>
      <c r="K238" t="s">
        <v>1429</v>
      </c>
      <c r="L238" s="3">
        <v>0</v>
      </c>
      <c r="M238" t="s">
        <v>8323</v>
      </c>
      <c r="N238" s="3">
        <v>67.27</v>
      </c>
      <c r="O238" s="3">
        <v>0.12</v>
      </c>
      <c r="P238" s="3">
        <v>-0.12</v>
      </c>
      <c r="Q238" s="3">
        <v>0</v>
      </c>
      <c r="R238" s="3">
        <v>0.2039</v>
      </c>
      <c r="S238" s="3">
        <v>2.0000000000000001E-4</v>
      </c>
      <c r="T238" s="3">
        <v>-2.0000000000000001E-4</v>
      </c>
      <c r="U238" s="3">
        <v>0</v>
      </c>
      <c r="AD238" s="3">
        <v>5.21</v>
      </c>
      <c r="AE238" s="3">
        <v>0.68</v>
      </c>
      <c r="AF238" s="3">
        <v>-0.68</v>
      </c>
      <c r="AG238" s="3">
        <v>0</v>
      </c>
      <c r="AH238" s="3">
        <v>1.639241E-2</v>
      </c>
      <c r="AI238" s="3">
        <v>2.1395099999999998E-3</v>
      </c>
      <c r="AJ238" s="3">
        <v>-2.1395099999999998E-3</v>
      </c>
      <c r="AK238" s="3">
        <v>0</v>
      </c>
      <c r="AL238" t="s">
        <v>1426</v>
      </c>
      <c r="AM238" s="3">
        <v>0.32</v>
      </c>
      <c r="AN238" s="3">
        <v>0.16</v>
      </c>
      <c r="AO238" s="3">
        <v>-0.16</v>
      </c>
      <c r="AP238" s="3">
        <v>0</v>
      </c>
      <c r="AY238" s="3">
        <v>0</v>
      </c>
      <c r="AZ238" t="s">
        <v>8323</v>
      </c>
      <c r="BA238" t="s">
        <v>8324</v>
      </c>
      <c r="BB238" s="3">
        <v>3393</v>
      </c>
      <c r="BE238" s="3">
        <v>0</v>
      </c>
      <c r="BJ238" s="3">
        <v>0.25</v>
      </c>
      <c r="BM238" s="3">
        <v>0</v>
      </c>
      <c r="BW238" t="s">
        <v>7936</v>
      </c>
      <c r="BX238" t="s">
        <v>8321</v>
      </c>
      <c r="BY238" s="3">
        <v>247.57482759999999</v>
      </c>
      <c r="BZ238" t="s">
        <v>8322</v>
      </c>
      <c r="CA238" s="3">
        <v>-12.6676866</v>
      </c>
      <c r="CB238" s="3">
        <v>4.3059200000000004</v>
      </c>
      <c r="CC238" s="3">
        <v>1.1800000000000001E-3</v>
      </c>
      <c r="CD238" s="3">
        <v>-1.1800000000000001E-3</v>
      </c>
      <c r="CE238" s="3">
        <v>10.1</v>
      </c>
      <c r="CF238" s="3">
        <v>0.1</v>
      </c>
      <c r="CG238" s="3">
        <v>-0.1</v>
      </c>
      <c r="CH238" s="3">
        <v>5.0750000000000002</v>
      </c>
      <c r="CI238" s="3">
        <v>2.4E-2</v>
      </c>
      <c r="CJ238" s="3">
        <v>-2.4E-2</v>
      </c>
      <c r="CK238" s="3">
        <v>8.7944399999999998</v>
      </c>
      <c r="CL238" s="3">
        <v>7.4100000000000001E-4</v>
      </c>
      <c r="CM238" s="3">
        <v>-7.4100000000000001E-4</v>
      </c>
      <c r="CN238" t="s">
        <v>1483</v>
      </c>
      <c r="CO238" t="s">
        <v>8325</v>
      </c>
      <c r="CP238" t="s">
        <v>8326</v>
      </c>
    </row>
    <row r="239" spans="1:94" x14ac:dyDescent="0.45">
      <c r="A239" t="s">
        <v>303</v>
      </c>
      <c r="B239">
        <v>1</v>
      </c>
      <c r="C239" t="s">
        <v>1650</v>
      </c>
      <c r="D239" t="s">
        <v>301</v>
      </c>
      <c r="E239" s="3">
        <v>1</v>
      </c>
      <c r="F239" s="3">
        <v>1</v>
      </c>
      <c r="G239" s="3">
        <v>3</v>
      </c>
      <c r="H239" t="s">
        <v>1427</v>
      </c>
      <c r="I239" s="3">
        <v>2015</v>
      </c>
      <c r="J239" t="s">
        <v>7966</v>
      </c>
      <c r="K239" t="s">
        <v>1429</v>
      </c>
      <c r="L239" s="3">
        <v>0</v>
      </c>
      <c r="M239" t="s">
        <v>8016</v>
      </c>
      <c r="N239" s="3">
        <v>217.21</v>
      </c>
      <c r="O239" s="3">
        <v>0.55000000000000004</v>
      </c>
      <c r="P239" s="3">
        <v>-0.52</v>
      </c>
      <c r="Q239" s="3">
        <v>0</v>
      </c>
      <c r="R239" s="3">
        <v>0.47</v>
      </c>
      <c r="S239" s="3">
        <v>1.4999999999999999E-2</v>
      </c>
      <c r="T239" s="3">
        <v>-1.7000000000000001E-2</v>
      </c>
      <c r="U239" s="3">
        <v>0</v>
      </c>
      <c r="AD239" s="3">
        <v>7.7</v>
      </c>
      <c r="AE239" s="3">
        <v>1.1200000000000001</v>
      </c>
      <c r="AF239" s="3">
        <v>-1.06</v>
      </c>
      <c r="AG239" s="3">
        <v>0</v>
      </c>
      <c r="AH239" s="3">
        <v>2.4226790000000002E-2</v>
      </c>
      <c r="AI239" s="3">
        <v>3.5238999999999999E-3</v>
      </c>
      <c r="AJ239" s="3">
        <v>-3.33512E-3</v>
      </c>
      <c r="AK239" s="3">
        <v>0</v>
      </c>
      <c r="AL239" t="s">
        <v>1426</v>
      </c>
      <c r="AM239" s="3">
        <v>0.55000000000000004</v>
      </c>
      <c r="AN239" s="3">
        <v>0.08</v>
      </c>
      <c r="AO239" s="3">
        <v>-0.09</v>
      </c>
      <c r="AP239" s="3">
        <v>0</v>
      </c>
      <c r="AQ239" s="3">
        <v>0.06</v>
      </c>
      <c r="AT239" s="3">
        <v>0</v>
      </c>
      <c r="AY239" s="3">
        <v>0</v>
      </c>
      <c r="AZ239" t="s">
        <v>8016</v>
      </c>
      <c r="BA239" t="s">
        <v>638</v>
      </c>
      <c r="BB239" s="3">
        <v>3342</v>
      </c>
      <c r="BC239" s="3">
        <v>49</v>
      </c>
      <c r="BD239" s="3">
        <v>-49</v>
      </c>
      <c r="BE239" s="3">
        <v>0</v>
      </c>
      <c r="BF239" s="3">
        <v>0.307</v>
      </c>
      <c r="BG239" s="3">
        <v>2.7E-2</v>
      </c>
      <c r="BH239" s="3">
        <v>-2.7E-2</v>
      </c>
      <c r="BI239" s="3">
        <v>0</v>
      </c>
      <c r="BJ239" s="3">
        <v>0.29399999999999998</v>
      </c>
      <c r="BM239" s="3">
        <v>0</v>
      </c>
      <c r="BN239" s="3">
        <v>-0.09</v>
      </c>
      <c r="BO239" s="3">
        <v>0.09</v>
      </c>
      <c r="BP239" s="3">
        <v>-0.09</v>
      </c>
      <c r="BQ239" s="3">
        <v>0</v>
      </c>
      <c r="BR239" t="s">
        <v>7935</v>
      </c>
      <c r="BW239" t="s">
        <v>7936</v>
      </c>
      <c r="BX239" t="s">
        <v>8321</v>
      </c>
      <c r="BY239" s="3">
        <v>247.57482759999999</v>
      </c>
      <c r="BZ239" t="s">
        <v>8322</v>
      </c>
      <c r="CA239" s="3">
        <v>-12.6676866</v>
      </c>
      <c r="CB239" s="3">
        <v>4.3059200000000004</v>
      </c>
      <c r="CC239" s="3">
        <v>1.1800000000000001E-3</v>
      </c>
      <c r="CD239" s="3">
        <v>-1.1800000000000001E-3</v>
      </c>
      <c r="CE239" s="3">
        <v>10.1</v>
      </c>
      <c r="CF239" s="3">
        <v>0.1</v>
      </c>
      <c r="CG239" s="3">
        <v>-0.1</v>
      </c>
      <c r="CH239" s="3">
        <v>5.0750000000000002</v>
      </c>
      <c r="CI239" s="3">
        <v>2.4E-2</v>
      </c>
      <c r="CJ239" s="3">
        <v>-2.4E-2</v>
      </c>
      <c r="CK239" s="3">
        <v>8.7944399999999998</v>
      </c>
      <c r="CL239" s="3">
        <v>7.4100000000000001E-4</v>
      </c>
      <c r="CM239" s="3">
        <v>-7.4100000000000001E-4</v>
      </c>
      <c r="CN239" t="s">
        <v>1483</v>
      </c>
      <c r="CO239" t="s">
        <v>8019</v>
      </c>
      <c r="CP239" t="s">
        <v>8020</v>
      </c>
    </row>
    <row r="240" spans="1:94" x14ac:dyDescent="0.45">
      <c r="A240" t="s">
        <v>234</v>
      </c>
      <c r="B240">
        <v>1</v>
      </c>
      <c r="C240" t="s">
        <v>1651</v>
      </c>
      <c r="D240" t="s">
        <v>235</v>
      </c>
      <c r="E240" s="3">
        <v>1</v>
      </c>
      <c r="F240" s="3">
        <v>1</v>
      </c>
      <c r="G240" s="3">
        <v>3</v>
      </c>
      <c r="H240" t="s">
        <v>1427</v>
      </c>
      <c r="I240" s="3">
        <v>2017</v>
      </c>
      <c r="J240" t="s">
        <v>7966</v>
      </c>
      <c r="K240" t="s">
        <v>1429</v>
      </c>
      <c r="L240" s="3">
        <v>0</v>
      </c>
      <c r="M240" t="s">
        <v>8327</v>
      </c>
      <c r="N240" s="3">
        <v>2.0208699999999999</v>
      </c>
      <c r="O240" s="3">
        <v>6.9999999999999994E-5</v>
      </c>
      <c r="P240" s="3">
        <v>-9.0000000000000006E-5</v>
      </c>
      <c r="Q240" s="3">
        <v>0</v>
      </c>
      <c r="R240" s="3">
        <v>1.634E-2</v>
      </c>
      <c r="S240" s="3">
        <v>3.5E-4</v>
      </c>
      <c r="T240" s="3">
        <v>-4.0999999999999999E-4</v>
      </c>
      <c r="U240" s="3">
        <v>0</v>
      </c>
      <c r="AD240" s="3">
        <v>0.7</v>
      </c>
      <c r="AE240" s="3">
        <v>0.09</v>
      </c>
      <c r="AF240" s="3">
        <v>-0.08</v>
      </c>
      <c r="AG240" s="3">
        <v>0</v>
      </c>
      <c r="AH240" s="3">
        <v>2.2024499999999999E-3</v>
      </c>
      <c r="AI240" s="3">
        <v>2.8317000000000001E-4</v>
      </c>
      <c r="AJ240" s="3">
        <v>-2.5170999999999999E-4</v>
      </c>
      <c r="AK240" s="3">
        <v>0</v>
      </c>
      <c r="AL240" t="s">
        <v>1426</v>
      </c>
      <c r="AM240" s="3">
        <v>0.06</v>
      </c>
      <c r="AN240" s="3">
        <v>0.06</v>
      </c>
      <c r="AO240" s="3">
        <v>-0.04</v>
      </c>
      <c r="AP240" s="3">
        <v>0</v>
      </c>
      <c r="AQ240" s="3">
        <v>8.2100000000000009</v>
      </c>
      <c r="AR240" s="3">
        <v>0.16</v>
      </c>
      <c r="AS240" s="3">
        <v>-0.15</v>
      </c>
      <c r="AT240" s="3">
        <v>0</v>
      </c>
      <c r="AU240" s="3">
        <v>471.2</v>
      </c>
      <c r="AV240" s="3">
        <v>2.2000000000000002</v>
      </c>
      <c r="AW240" s="3">
        <v>-2.1</v>
      </c>
      <c r="AX240" s="3">
        <v>0</v>
      </c>
      <c r="AY240" s="3">
        <v>0</v>
      </c>
      <c r="AZ240" t="s">
        <v>8327</v>
      </c>
      <c r="BA240" t="s">
        <v>8076</v>
      </c>
      <c r="BB240" s="3">
        <v>3151</v>
      </c>
      <c r="BC240" s="3">
        <v>51</v>
      </c>
      <c r="BD240" s="3">
        <v>-51</v>
      </c>
      <c r="BE240" s="3">
        <v>0</v>
      </c>
      <c r="BF240" s="3">
        <v>0.157</v>
      </c>
      <c r="BG240" s="3">
        <v>5.0000000000000001E-3</v>
      </c>
      <c r="BH240" s="3">
        <v>-5.0000000000000001E-3</v>
      </c>
      <c r="BI240" s="3">
        <v>0</v>
      </c>
      <c r="BJ240" s="3">
        <v>0.14199999999999999</v>
      </c>
      <c r="BK240" s="3">
        <v>0.01</v>
      </c>
      <c r="BL240" s="3">
        <v>-0.01</v>
      </c>
      <c r="BM240" s="3">
        <v>0</v>
      </c>
      <c r="BN240" s="3">
        <v>-0.18</v>
      </c>
      <c r="BO240" s="3">
        <v>0.16</v>
      </c>
      <c r="BP240" s="3">
        <v>-0.16</v>
      </c>
      <c r="BQ240" s="3">
        <v>0</v>
      </c>
      <c r="BR240" t="s">
        <v>7935</v>
      </c>
      <c r="BS240" s="3">
        <v>5.17</v>
      </c>
      <c r="BT240" s="3">
        <v>7.0000000000000007E-2</v>
      </c>
      <c r="BU240" s="3">
        <v>-7.0000000000000007E-2</v>
      </c>
      <c r="BV240" s="3">
        <v>0</v>
      </c>
      <c r="BW240" t="s">
        <v>7936</v>
      </c>
      <c r="BX240" t="s">
        <v>8328</v>
      </c>
      <c r="BY240" s="3">
        <v>18.133079200000001</v>
      </c>
      <c r="BZ240" t="s">
        <v>8329</v>
      </c>
      <c r="CA240" s="3">
        <v>-16.996243400000001</v>
      </c>
      <c r="CB240" s="3">
        <v>3.7120700000000002</v>
      </c>
      <c r="CC240" s="3">
        <v>1.09E-3</v>
      </c>
      <c r="CD240" s="3">
        <v>-1.09E-3</v>
      </c>
      <c r="CK240" s="3">
        <v>10.429399999999999</v>
      </c>
      <c r="CL240" s="3">
        <v>5.7600000000000001E-4</v>
      </c>
      <c r="CM240" s="3">
        <v>-5.7600000000000001E-4</v>
      </c>
      <c r="CN240" t="s">
        <v>1654</v>
      </c>
      <c r="CO240" t="s">
        <v>8330</v>
      </c>
      <c r="CP240" t="s">
        <v>1654</v>
      </c>
    </row>
    <row r="241" spans="1:94" x14ac:dyDescent="0.45">
      <c r="A241" t="s">
        <v>234</v>
      </c>
      <c r="B241">
        <v>0</v>
      </c>
      <c r="C241" t="s">
        <v>1651</v>
      </c>
      <c r="D241" t="s">
        <v>235</v>
      </c>
      <c r="E241" s="3">
        <v>0</v>
      </c>
      <c r="F241" s="3">
        <v>1</v>
      </c>
      <c r="G241" s="3">
        <v>3</v>
      </c>
      <c r="H241" t="s">
        <v>1427</v>
      </c>
      <c r="I241" s="3">
        <v>2017</v>
      </c>
      <c r="J241" t="s">
        <v>7966</v>
      </c>
      <c r="K241" t="s">
        <v>1429</v>
      </c>
      <c r="L241" s="3">
        <v>0</v>
      </c>
      <c r="M241" t="s">
        <v>8331</v>
      </c>
      <c r="N241" s="3">
        <v>1.9689000000000001</v>
      </c>
      <c r="O241" s="3">
        <v>4.0000000000000002E-4</v>
      </c>
      <c r="P241" s="3">
        <v>-4.0000000000000002E-4</v>
      </c>
      <c r="Q241" s="3">
        <v>0</v>
      </c>
      <c r="R241" s="3">
        <v>1.5599999999999999E-2</v>
      </c>
      <c r="S241" s="3">
        <v>4.0000000000000002E-4</v>
      </c>
      <c r="T241" s="3">
        <v>-4.0000000000000002E-4</v>
      </c>
      <c r="U241" s="3">
        <v>0</v>
      </c>
      <c r="AD241" s="3">
        <v>0.65</v>
      </c>
      <c r="AE241" s="3">
        <v>0.15</v>
      </c>
      <c r="AF241" s="3">
        <v>-0.15</v>
      </c>
      <c r="AG241" s="3">
        <v>0</v>
      </c>
      <c r="AH241" s="3">
        <v>2.0451200000000001E-3</v>
      </c>
      <c r="AI241" s="3">
        <v>4.7195000000000001E-4</v>
      </c>
      <c r="AJ241" s="3">
        <v>-4.7195000000000001E-4</v>
      </c>
      <c r="AK241" s="3">
        <v>0</v>
      </c>
      <c r="AL241" t="s">
        <v>1426</v>
      </c>
      <c r="AM241" s="3">
        <v>0.03</v>
      </c>
      <c r="AN241" s="3">
        <v>0.4</v>
      </c>
      <c r="AO241" s="3">
        <v>-0.03</v>
      </c>
      <c r="AP241" s="3">
        <v>0</v>
      </c>
      <c r="AY241" s="3">
        <v>0</v>
      </c>
      <c r="AZ241" t="s">
        <v>8331</v>
      </c>
      <c r="BA241" t="s">
        <v>8025</v>
      </c>
      <c r="BF241" s="3">
        <v>0.16900000000000001</v>
      </c>
      <c r="BG241" s="3">
        <v>1E-3</v>
      </c>
      <c r="BH241" s="3">
        <v>-1E-3</v>
      </c>
      <c r="BI241" s="3">
        <v>0</v>
      </c>
      <c r="BJ241" s="3">
        <v>0.13</v>
      </c>
      <c r="BK241" s="3">
        <v>0.01</v>
      </c>
      <c r="BL241" s="3">
        <v>-0.01</v>
      </c>
      <c r="BM241" s="3">
        <v>0</v>
      </c>
      <c r="BW241" t="s">
        <v>7936</v>
      </c>
      <c r="BX241" t="s">
        <v>8328</v>
      </c>
      <c r="BY241" s="3">
        <v>18.133079200000001</v>
      </c>
      <c r="BZ241" t="s">
        <v>8329</v>
      </c>
      <c r="CA241" s="3">
        <v>-16.996243400000001</v>
      </c>
      <c r="CB241" s="3">
        <v>3.7120700000000002</v>
      </c>
      <c r="CC241" s="3">
        <v>1.09E-3</v>
      </c>
      <c r="CD241" s="3">
        <v>-1.09E-3</v>
      </c>
      <c r="CK241" s="3">
        <v>10.429399999999999</v>
      </c>
      <c r="CL241" s="3">
        <v>5.7600000000000001E-4</v>
      </c>
      <c r="CM241" s="3">
        <v>-5.7600000000000001E-4</v>
      </c>
      <c r="CN241" t="s">
        <v>8332</v>
      </c>
      <c r="CO241" t="s">
        <v>7995</v>
      </c>
      <c r="CP241" t="s">
        <v>8333</v>
      </c>
    </row>
    <row r="242" spans="1:94" x14ac:dyDescent="0.45">
      <c r="A242" t="s">
        <v>234</v>
      </c>
      <c r="B242">
        <v>0</v>
      </c>
      <c r="C242" t="s">
        <v>1651</v>
      </c>
      <c r="D242" t="s">
        <v>235</v>
      </c>
      <c r="E242" s="3">
        <v>0</v>
      </c>
      <c r="F242" s="3">
        <v>1</v>
      </c>
      <c r="G242" s="3">
        <v>3</v>
      </c>
      <c r="H242" t="s">
        <v>1427</v>
      </c>
      <c r="I242" s="3">
        <v>2017</v>
      </c>
      <c r="J242" t="s">
        <v>7966</v>
      </c>
      <c r="K242" t="s">
        <v>1429</v>
      </c>
      <c r="L242" s="3">
        <v>0</v>
      </c>
      <c r="M242" t="s">
        <v>8334</v>
      </c>
      <c r="N242" s="3">
        <v>1.9687600000000001</v>
      </c>
      <c r="O242" s="3">
        <v>2.1000000000000001E-4</v>
      </c>
      <c r="P242" s="3">
        <v>-2.1000000000000001E-4</v>
      </c>
      <c r="Q242" s="3">
        <v>0</v>
      </c>
      <c r="R242" s="3">
        <v>1.5570000000000001E-2</v>
      </c>
      <c r="S242" s="3">
        <v>5.1999999999999995E-4</v>
      </c>
      <c r="T242" s="3">
        <v>-5.1999999999999995E-4</v>
      </c>
      <c r="U242" s="3">
        <v>0</v>
      </c>
      <c r="AD242" s="3">
        <v>0.75</v>
      </c>
      <c r="AE242" s="3">
        <v>0.13</v>
      </c>
      <c r="AF242" s="3">
        <v>-0.13</v>
      </c>
      <c r="AG242" s="3">
        <v>0</v>
      </c>
      <c r="AH242" s="3">
        <v>2.3597499999999999E-3</v>
      </c>
      <c r="AI242" s="3">
        <v>4.0902000000000001E-4</v>
      </c>
      <c r="AJ242" s="3">
        <v>-4.0902000000000001E-4</v>
      </c>
      <c r="AK242" s="3">
        <v>0</v>
      </c>
      <c r="AL242" t="s">
        <v>1426</v>
      </c>
      <c r="AM242" s="3">
        <v>0</v>
      </c>
      <c r="AN242" s="3">
        <v>0.12</v>
      </c>
      <c r="AO242" s="3">
        <v>-0.12</v>
      </c>
      <c r="AP242" s="3">
        <v>0</v>
      </c>
      <c r="AY242" s="3">
        <v>0</v>
      </c>
      <c r="AZ242" t="s">
        <v>8334</v>
      </c>
      <c r="BA242" t="s">
        <v>299</v>
      </c>
      <c r="BB242" s="3">
        <v>3056</v>
      </c>
      <c r="BC242" s="3">
        <v>60</v>
      </c>
      <c r="BD242" s="3">
        <v>-60</v>
      </c>
      <c r="BE242" s="3">
        <v>0</v>
      </c>
      <c r="BF242" s="3">
        <v>0.16800000000000001</v>
      </c>
      <c r="BG242" s="3">
        <v>8.9999999999999993E-3</v>
      </c>
      <c r="BH242" s="3">
        <v>-8.9999999999999993E-3</v>
      </c>
      <c r="BI242" s="3">
        <v>0</v>
      </c>
      <c r="BJ242" s="3">
        <v>0.13</v>
      </c>
      <c r="BK242" s="3">
        <v>1.2999999999999999E-2</v>
      </c>
      <c r="BL242" s="3">
        <v>-1.2999999999999999E-2</v>
      </c>
      <c r="BM242" s="3">
        <v>0</v>
      </c>
      <c r="BN242" s="3">
        <v>-0.26</v>
      </c>
      <c r="BO242" s="3">
        <v>0.08</v>
      </c>
      <c r="BP242" s="3">
        <v>-0.08</v>
      </c>
      <c r="BQ242" s="3">
        <v>0</v>
      </c>
      <c r="BR242" t="s">
        <v>7935</v>
      </c>
      <c r="BW242" t="s">
        <v>7936</v>
      </c>
      <c r="BX242" t="s">
        <v>8328</v>
      </c>
      <c r="BY242" s="3">
        <v>18.133079200000001</v>
      </c>
      <c r="BZ242" t="s">
        <v>8329</v>
      </c>
      <c r="CA242" s="3">
        <v>-16.996243400000001</v>
      </c>
      <c r="CB242" s="3">
        <v>3.7120700000000002</v>
      </c>
      <c r="CC242" s="3">
        <v>1.09E-3</v>
      </c>
      <c r="CD242" s="3">
        <v>-1.09E-3</v>
      </c>
      <c r="CK242" s="3">
        <v>10.429399999999999</v>
      </c>
      <c r="CL242" s="3">
        <v>5.7600000000000001E-4</v>
      </c>
      <c r="CM242" s="3">
        <v>-5.7600000000000001E-4</v>
      </c>
      <c r="CN242" t="s">
        <v>8335</v>
      </c>
      <c r="CO242" t="s">
        <v>8128</v>
      </c>
      <c r="CP242" t="s">
        <v>8336</v>
      </c>
    </row>
    <row r="243" spans="1:94" x14ac:dyDescent="0.45">
      <c r="A243" t="s">
        <v>234</v>
      </c>
      <c r="B243">
        <v>0</v>
      </c>
      <c r="C243" t="s">
        <v>1655</v>
      </c>
      <c r="D243" t="s">
        <v>235</v>
      </c>
      <c r="E243" s="3">
        <v>0</v>
      </c>
      <c r="F243" s="3">
        <v>1</v>
      </c>
      <c r="G243" s="3">
        <v>3</v>
      </c>
      <c r="H243" t="s">
        <v>1427</v>
      </c>
      <c r="I243" s="3">
        <v>2017</v>
      </c>
      <c r="J243" t="s">
        <v>7966</v>
      </c>
      <c r="K243" t="s">
        <v>1429</v>
      </c>
      <c r="L243" s="3">
        <v>0</v>
      </c>
      <c r="M243" t="s">
        <v>8331</v>
      </c>
      <c r="N243" s="3">
        <v>0.75214999999999999</v>
      </c>
      <c r="O243" s="3">
        <v>1.0000000000000001E-5</v>
      </c>
      <c r="P243" s="3">
        <v>-1.0000000000000001E-5</v>
      </c>
      <c r="Q243" s="3">
        <v>0</v>
      </c>
      <c r="R243" s="3">
        <v>8.2000000000000007E-3</v>
      </c>
      <c r="S243" s="3">
        <v>2.0000000000000001E-4</v>
      </c>
      <c r="T243" s="3">
        <v>-2.0000000000000001E-4</v>
      </c>
      <c r="U243" s="3">
        <v>0</v>
      </c>
      <c r="AD243" s="3">
        <v>0.57999999999999996</v>
      </c>
      <c r="AE243" s="3">
        <v>0.11</v>
      </c>
      <c r="AF243" s="3">
        <v>-0.11</v>
      </c>
      <c r="AG243" s="3">
        <v>0</v>
      </c>
      <c r="AH243" s="3">
        <v>1.8248699999999999E-3</v>
      </c>
      <c r="AI243" s="3">
        <v>3.4610000000000001E-4</v>
      </c>
      <c r="AJ243" s="3">
        <v>-3.4610000000000001E-4</v>
      </c>
      <c r="AK243" s="3">
        <v>0</v>
      </c>
      <c r="AL243" t="s">
        <v>1426</v>
      </c>
      <c r="AM243" s="3">
        <v>0.05</v>
      </c>
      <c r="AN243" s="3">
        <v>0.35</v>
      </c>
      <c r="AO243" s="3">
        <v>-0.05</v>
      </c>
      <c r="AP243" s="3">
        <v>0</v>
      </c>
      <c r="AY243" s="3">
        <v>0</v>
      </c>
      <c r="AZ243" t="s">
        <v>8331</v>
      </c>
      <c r="BA243" t="s">
        <v>8025</v>
      </c>
      <c r="BF243" s="3">
        <v>0.16900000000000001</v>
      </c>
      <c r="BG243" s="3">
        <v>1E-3</v>
      </c>
      <c r="BH243" s="3">
        <v>-1E-3</v>
      </c>
      <c r="BI243" s="3">
        <v>0</v>
      </c>
      <c r="BJ243" s="3">
        <v>0.13</v>
      </c>
      <c r="BK243" s="3">
        <v>0.01</v>
      </c>
      <c r="BL243" s="3">
        <v>-0.01</v>
      </c>
      <c r="BM243" s="3">
        <v>0</v>
      </c>
      <c r="BW243" t="s">
        <v>7936</v>
      </c>
      <c r="BX243" t="s">
        <v>8328</v>
      </c>
      <c r="BY243" s="3">
        <v>18.133079200000001</v>
      </c>
      <c r="BZ243" t="s">
        <v>8329</v>
      </c>
      <c r="CA243" s="3">
        <v>-16.996243400000001</v>
      </c>
      <c r="CB243" s="3">
        <v>3.7120700000000002</v>
      </c>
      <c r="CC243" s="3">
        <v>1.09E-3</v>
      </c>
      <c r="CD243" s="3">
        <v>-1.09E-3</v>
      </c>
      <c r="CK243" s="3">
        <v>10.429399999999999</v>
      </c>
      <c r="CL243" s="3">
        <v>5.7600000000000001E-4</v>
      </c>
      <c r="CM243" s="3">
        <v>-5.7600000000000001E-4</v>
      </c>
      <c r="CN243" t="s">
        <v>8332</v>
      </c>
      <c r="CO243" t="s">
        <v>7995</v>
      </c>
      <c r="CP243" t="s">
        <v>8333</v>
      </c>
    </row>
    <row r="244" spans="1:94" x14ac:dyDescent="0.45">
      <c r="A244" t="s">
        <v>234</v>
      </c>
      <c r="B244">
        <v>1</v>
      </c>
      <c r="C244" t="s">
        <v>1655</v>
      </c>
      <c r="D244" t="s">
        <v>235</v>
      </c>
      <c r="E244" s="3">
        <v>1</v>
      </c>
      <c r="F244" s="3">
        <v>1</v>
      </c>
      <c r="G244" s="3">
        <v>3</v>
      </c>
      <c r="H244" t="s">
        <v>1427</v>
      </c>
      <c r="I244" s="3">
        <v>2017</v>
      </c>
      <c r="J244" t="s">
        <v>7966</v>
      </c>
      <c r="K244" t="s">
        <v>1429</v>
      </c>
      <c r="L244" s="3">
        <v>0</v>
      </c>
      <c r="M244" t="s">
        <v>8327</v>
      </c>
      <c r="N244" s="3">
        <v>3.0598900000000002</v>
      </c>
      <c r="O244" s="3">
        <v>1E-4</v>
      </c>
      <c r="P244" s="3">
        <v>-1E-4</v>
      </c>
      <c r="Q244" s="3">
        <v>0</v>
      </c>
      <c r="R244" s="3">
        <v>2.1559999999999999E-2</v>
      </c>
      <c r="S244" s="3">
        <v>4.6000000000000001E-4</v>
      </c>
      <c r="T244" s="3">
        <v>-5.4000000000000001E-4</v>
      </c>
      <c r="U244" s="3">
        <v>0</v>
      </c>
      <c r="AD244" s="3">
        <v>1.1399999999999999</v>
      </c>
      <c r="AE244" s="3">
        <v>0.11</v>
      </c>
      <c r="AF244" s="3">
        <v>-0.1</v>
      </c>
      <c r="AG244" s="3">
        <v>0</v>
      </c>
      <c r="AH244" s="3">
        <v>3.58684E-3</v>
      </c>
      <c r="AI244" s="3">
        <v>3.4610000000000001E-4</v>
      </c>
      <c r="AJ244" s="3">
        <v>-3.1463999999999998E-4</v>
      </c>
      <c r="AK244" s="3">
        <v>0</v>
      </c>
      <c r="AL244" t="s">
        <v>1426</v>
      </c>
      <c r="AM244" s="3">
        <v>0</v>
      </c>
      <c r="AP244" s="3">
        <v>0</v>
      </c>
      <c r="AQ244" s="3">
        <v>4.72</v>
      </c>
      <c r="AR244" s="3">
        <v>0.09</v>
      </c>
      <c r="AS244" s="3">
        <v>-0.09</v>
      </c>
      <c r="AT244" s="3">
        <v>0</v>
      </c>
      <c r="AU244" s="3">
        <v>410.3</v>
      </c>
      <c r="AV244" s="3">
        <v>2</v>
      </c>
      <c r="AW244" s="3">
        <v>-1.9</v>
      </c>
      <c r="AX244" s="3">
        <v>0</v>
      </c>
      <c r="AY244" s="3">
        <v>0</v>
      </c>
      <c r="AZ244" t="s">
        <v>8327</v>
      </c>
      <c r="BA244" t="s">
        <v>8076</v>
      </c>
      <c r="BB244" s="3">
        <v>3151</v>
      </c>
      <c r="BC244" s="3">
        <v>51</v>
      </c>
      <c r="BD244" s="3">
        <v>-51</v>
      </c>
      <c r="BE244" s="3">
        <v>0</v>
      </c>
      <c r="BF244" s="3">
        <v>0.157</v>
      </c>
      <c r="BG244" s="3">
        <v>5.0000000000000001E-3</v>
      </c>
      <c r="BH244" s="3">
        <v>-5.0000000000000001E-3</v>
      </c>
      <c r="BI244" s="3">
        <v>0</v>
      </c>
      <c r="BJ244" s="3">
        <v>0.14199999999999999</v>
      </c>
      <c r="BK244" s="3">
        <v>0.01</v>
      </c>
      <c r="BL244" s="3">
        <v>-0.01</v>
      </c>
      <c r="BM244" s="3">
        <v>0</v>
      </c>
      <c r="BN244" s="3">
        <v>-0.18</v>
      </c>
      <c r="BO244" s="3">
        <v>0.16</v>
      </c>
      <c r="BP244" s="3">
        <v>-0.16</v>
      </c>
      <c r="BQ244" s="3">
        <v>0</v>
      </c>
      <c r="BR244" t="s">
        <v>7935</v>
      </c>
      <c r="BS244" s="3">
        <v>5.17</v>
      </c>
      <c r="BT244" s="3">
        <v>7.0000000000000007E-2</v>
      </c>
      <c r="BU244" s="3">
        <v>-7.0000000000000007E-2</v>
      </c>
      <c r="BV244" s="3">
        <v>0</v>
      </c>
      <c r="BW244" t="s">
        <v>7936</v>
      </c>
      <c r="BX244" t="s">
        <v>8328</v>
      </c>
      <c r="BY244" s="3">
        <v>18.133079200000001</v>
      </c>
      <c r="BZ244" t="s">
        <v>8329</v>
      </c>
      <c r="CA244" s="3">
        <v>-16.996243400000001</v>
      </c>
      <c r="CB244" s="3">
        <v>3.7120700000000002</v>
      </c>
      <c r="CC244" s="3">
        <v>1.09E-3</v>
      </c>
      <c r="CD244" s="3">
        <v>-1.09E-3</v>
      </c>
      <c r="CK244" s="3">
        <v>10.429399999999999</v>
      </c>
      <c r="CL244" s="3">
        <v>5.7600000000000001E-4</v>
      </c>
      <c r="CM244" s="3">
        <v>-5.7600000000000001E-4</v>
      </c>
      <c r="CN244" t="s">
        <v>1654</v>
      </c>
      <c r="CO244" t="s">
        <v>8330</v>
      </c>
      <c r="CP244" t="s">
        <v>1654</v>
      </c>
    </row>
    <row r="245" spans="1:94" x14ac:dyDescent="0.45">
      <c r="A245" t="s">
        <v>234</v>
      </c>
      <c r="B245">
        <v>0</v>
      </c>
      <c r="C245" t="s">
        <v>1655</v>
      </c>
      <c r="D245" t="s">
        <v>235</v>
      </c>
      <c r="E245" s="3">
        <v>0</v>
      </c>
      <c r="F245" s="3">
        <v>1</v>
      </c>
      <c r="G245" s="3">
        <v>3</v>
      </c>
      <c r="H245" t="s">
        <v>1427</v>
      </c>
      <c r="I245" s="3">
        <v>2017</v>
      </c>
      <c r="J245" t="s">
        <v>7966</v>
      </c>
      <c r="K245" t="s">
        <v>1429</v>
      </c>
      <c r="L245" s="3">
        <v>0</v>
      </c>
      <c r="M245" t="s">
        <v>8334</v>
      </c>
      <c r="N245" s="3">
        <v>3.0600800000000001</v>
      </c>
      <c r="O245" s="3">
        <v>2.2000000000000001E-4</v>
      </c>
      <c r="P245" s="3">
        <v>-2.2000000000000001E-4</v>
      </c>
      <c r="Q245" s="3">
        <v>0</v>
      </c>
      <c r="R245" s="3">
        <v>2.0899999999999998E-2</v>
      </c>
      <c r="S245" s="3">
        <v>6.9999999999999999E-4</v>
      </c>
      <c r="T245" s="3">
        <v>-6.9999999999999999E-4</v>
      </c>
      <c r="U245" s="3">
        <v>0</v>
      </c>
      <c r="AD245" s="3">
        <v>0.98</v>
      </c>
      <c r="AE245" s="3">
        <v>0.14000000000000001</v>
      </c>
      <c r="AF245" s="3">
        <v>-0.14000000000000001</v>
      </c>
      <c r="AG245" s="3">
        <v>0</v>
      </c>
      <c r="AH245" s="3">
        <v>3.08341E-3</v>
      </c>
      <c r="AI245" s="3">
        <v>4.4048999999999998E-4</v>
      </c>
      <c r="AJ245" s="3">
        <v>-4.4048999999999998E-4</v>
      </c>
      <c r="AK245" s="3">
        <v>0</v>
      </c>
      <c r="AL245" t="s">
        <v>1426</v>
      </c>
      <c r="AM245" s="3">
        <v>0.04</v>
      </c>
      <c r="AN245" s="3">
        <v>0.11</v>
      </c>
      <c r="AO245" s="3">
        <v>-0.11</v>
      </c>
      <c r="AP245" s="3">
        <v>0</v>
      </c>
      <c r="AY245" s="3">
        <v>0</v>
      </c>
      <c r="AZ245" t="s">
        <v>8334</v>
      </c>
      <c r="BA245" t="s">
        <v>299</v>
      </c>
      <c r="BB245" s="3">
        <v>3056</v>
      </c>
      <c r="BC245" s="3">
        <v>60</v>
      </c>
      <c r="BD245" s="3">
        <v>-60</v>
      </c>
      <c r="BE245" s="3">
        <v>0</v>
      </c>
      <c r="BF245" s="3">
        <v>0.16800000000000001</v>
      </c>
      <c r="BG245" s="3">
        <v>8.9999999999999993E-3</v>
      </c>
      <c r="BH245" s="3">
        <v>-8.9999999999999993E-3</v>
      </c>
      <c r="BI245" s="3">
        <v>0</v>
      </c>
      <c r="BJ245" s="3">
        <v>0.13</v>
      </c>
      <c r="BK245" s="3">
        <v>1.2999999999999999E-2</v>
      </c>
      <c r="BL245" s="3">
        <v>-1.2999999999999999E-2</v>
      </c>
      <c r="BM245" s="3">
        <v>0</v>
      </c>
      <c r="BN245" s="3">
        <v>-0.26</v>
      </c>
      <c r="BO245" s="3">
        <v>0.08</v>
      </c>
      <c r="BP245" s="3">
        <v>-0.08</v>
      </c>
      <c r="BQ245" s="3">
        <v>0</v>
      </c>
      <c r="BR245" t="s">
        <v>7935</v>
      </c>
      <c r="BW245" t="s">
        <v>7936</v>
      </c>
      <c r="BX245" t="s">
        <v>8328</v>
      </c>
      <c r="BY245" s="3">
        <v>18.133079200000001</v>
      </c>
      <c r="BZ245" t="s">
        <v>8329</v>
      </c>
      <c r="CA245" s="3">
        <v>-16.996243400000001</v>
      </c>
      <c r="CB245" s="3">
        <v>3.7120700000000002</v>
      </c>
      <c r="CC245" s="3">
        <v>1.09E-3</v>
      </c>
      <c r="CD245" s="3">
        <v>-1.09E-3</v>
      </c>
      <c r="CK245" s="3">
        <v>10.429399999999999</v>
      </c>
      <c r="CL245" s="3">
        <v>5.7600000000000001E-4</v>
      </c>
      <c r="CM245" s="3">
        <v>-5.7600000000000001E-4</v>
      </c>
      <c r="CN245" t="s">
        <v>8335</v>
      </c>
      <c r="CO245" t="s">
        <v>8128</v>
      </c>
      <c r="CP245" t="s">
        <v>8336</v>
      </c>
    </row>
    <row r="246" spans="1:94" x14ac:dyDescent="0.45">
      <c r="A246" t="s">
        <v>234</v>
      </c>
      <c r="B246">
        <v>0</v>
      </c>
      <c r="C246" t="s">
        <v>1656</v>
      </c>
      <c r="D246" t="s">
        <v>235</v>
      </c>
      <c r="E246" s="3">
        <v>0</v>
      </c>
      <c r="F246" s="3">
        <v>1</v>
      </c>
      <c r="G246" s="3">
        <v>3</v>
      </c>
      <c r="H246" t="s">
        <v>1427</v>
      </c>
      <c r="I246" s="3">
        <v>2017</v>
      </c>
      <c r="J246" t="s">
        <v>7966</v>
      </c>
      <c r="K246" t="s">
        <v>1429</v>
      </c>
      <c r="L246" s="3">
        <v>0</v>
      </c>
      <c r="M246" t="s">
        <v>8331</v>
      </c>
      <c r="N246" s="3">
        <v>4.6567999999999996</v>
      </c>
      <c r="O246" s="3">
        <v>4.0000000000000002E-4</v>
      </c>
      <c r="P246" s="3">
        <v>-4.0000000000000002E-4</v>
      </c>
      <c r="Q246" s="3">
        <v>0</v>
      </c>
      <c r="R246" s="3">
        <v>2.76E-2</v>
      </c>
      <c r="S246" s="3">
        <v>6.9999999999999999E-4</v>
      </c>
      <c r="T246" s="3">
        <v>-6.9999999999999999E-4</v>
      </c>
      <c r="U246" s="3">
        <v>0</v>
      </c>
      <c r="AD246" s="3">
        <v>1.21</v>
      </c>
      <c r="AE246" s="3">
        <v>0.2</v>
      </c>
      <c r="AF246" s="3">
        <v>-0.2</v>
      </c>
      <c r="AG246" s="3">
        <v>0</v>
      </c>
      <c r="AH246" s="3">
        <v>3.8070700000000001E-3</v>
      </c>
      <c r="AI246" s="3">
        <v>6.2927000000000002E-4</v>
      </c>
      <c r="AJ246" s="3">
        <v>-6.2927000000000002E-4</v>
      </c>
      <c r="AK246" s="3">
        <v>0</v>
      </c>
      <c r="AL246" t="s">
        <v>1426</v>
      </c>
      <c r="AM246" s="3">
        <v>0.02</v>
      </c>
      <c r="AN246" s="3">
        <v>0.25</v>
      </c>
      <c r="AO246" s="3">
        <v>-0.02</v>
      </c>
      <c r="AP246" s="3">
        <v>0</v>
      </c>
      <c r="AY246" s="3">
        <v>0</v>
      </c>
      <c r="AZ246" t="s">
        <v>8331</v>
      </c>
      <c r="BA246" t="s">
        <v>8025</v>
      </c>
      <c r="BF246" s="3">
        <v>0.16900000000000001</v>
      </c>
      <c r="BG246" s="3">
        <v>1E-3</v>
      </c>
      <c r="BH246" s="3">
        <v>-1E-3</v>
      </c>
      <c r="BI246" s="3">
        <v>0</v>
      </c>
      <c r="BJ246" s="3">
        <v>0.13</v>
      </c>
      <c r="BK246" s="3">
        <v>0.01</v>
      </c>
      <c r="BL246" s="3">
        <v>-0.01</v>
      </c>
      <c r="BM246" s="3">
        <v>0</v>
      </c>
      <c r="BW246" t="s">
        <v>7936</v>
      </c>
      <c r="BX246" t="s">
        <v>8328</v>
      </c>
      <c r="BY246" s="3">
        <v>18.133079200000001</v>
      </c>
      <c r="BZ246" t="s">
        <v>8329</v>
      </c>
      <c r="CA246" s="3">
        <v>-16.996243400000001</v>
      </c>
      <c r="CB246" s="3">
        <v>3.7120700000000002</v>
      </c>
      <c r="CC246" s="3">
        <v>1.09E-3</v>
      </c>
      <c r="CD246" s="3">
        <v>-1.09E-3</v>
      </c>
      <c r="CK246" s="3">
        <v>10.429399999999999</v>
      </c>
      <c r="CL246" s="3">
        <v>5.7600000000000001E-4</v>
      </c>
      <c r="CM246" s="3">
        <v>-5.7600000000000001E-4</v>
      </c>
      <c r="CN246" t="s">
        <v>8332</v>
      </c>
      <c r="CO246" t="s">
        <v>7995</v>
      </c>
      <c r="CP246" t="s">
        <v>8333</v>
      </c>
    </row>
    <row r="247" spans="1:94" x14ac:dyDescent="0.45">
      <c r="A247" t="s">
        <v>234</v>
      </c>
      <c r="B247">
        <v>1</v>
      </c>
      <c r="C247" t="s">
        <v>1656</v>
      </c>
      <c r="D247" t="s">
        <v>235</v>
      </c>
      <c r="E247" s="3">
        <v>1</v>
      </c>
      <c r="F247" s="3">
        <v>1</v>
      </c>
      <c r="G247" s="3">
        <v>3</v>
      </c>
      <c r="H247" t="s">
        <v>1427</v>
      </c>
      <c r="I247" s="3">
        <v>2017</v>
      </c>
      <c r="J247" t="s">
        <v>7966</v>
      </c>
      <c r="K247" t="s">
        <v>1429</v>
      </c>
      <c r="L247" s="3">
        <v>0</v>
      </c>
      <c r="M247" t="s">
        <v>8327</v>
      </c>
      <c r="N247" s="3">
        <v>4.6562599999999996</v>
      </c>
      <c r="O247" s="3">
        <v>2.7999999999999998E-4</v>
      </c>
      <c r="P247" s="3">
        <v>-2.9E-4</v>
      </c>
      <c r="Q247" s="3">
        <v>0</v>
      </c>
      <c r="R247" s="3">
        <v>2.8510000000000001E-2</v>
      </c>
      <c r="S247" s="3">
        <v>6.0999999999999997E-4</v>
      </c>
      <c r="T247" s="3">
        <v>-7.1000000000000002E-4</v>
      </c>
      <c r="U247" s="3">
        <v>0</v>
      </c>
      <c r="AD247" s="3">
        <v>1.0900000000000001</v>
      </c>
      <c r="AE247" s="3">
        <v>0.12</v>
      </c>
      <c r="AF247" s="3">
        <v>-0.12</v>
      </c>
      <c r="AG247" s="3">
        <v>0</v>
      </c>
      <c r="AH247" s="3">
        <v>3.4295200000000001E-3</v>
      </c>
      <c r="AI247" s="3">
        <v>3.7755999999999998E-4</v>
      </c>
      <c r="AJ247" s="3">
        <v>-3.7755999999999998E-4</v>
      </c>
      <c r="AK247" s="3">
        <v>0</v>
      </c>
      <c r="AL247" t="s">
        <v>1426</v>
      </c>
      <c r="AM247" s="3">
        <v>7.0000000000000007E-2</v>
      </c>
      <c r="AN247" s="3">
        <v>0.04</v>
      </c>
      <c r="AO247" s="3">
        <v>-0.05</v>
      </c>
      <c r="AP247" s="3">
        <v>0</v>
      </c>
      <c r="AQ247" s="3">
        <v>2.7</v>
      </c>
      <c r="AR247" s="3">
        <v>0.05</v>
      </c>
      <c r="AS247" s="3">
        <v>-0.05</v>
      </c>
      <c r="AT247" s="3">
        <v>0</v>
      </c>
      <c r="AU247" s="3">
        <v>356.7</v>
      </c>
      <c r="AV247" s="3">
        <v>1.7</v>
      </c>
      <c r="AW247" s="3">
        <v>-1.6</v>
      </c>
      <c r="AX247" s="3">
        <v>0</v>
      </c>
      <c r="AY247" s="3">
        <v>0</v>
      </c>
      <c r="AZ247" t="s">
        <v>8327</v>
      </c>
      <c r="BA247" t="s">
        <v>8076</v>
      </c>
      <c r="BB247" s="3">
        <v>3151</v>
      </c>
      <c r="BC247" s="3">
        <v>51</v>
      </c>
      <c r="BD247" s="3">
        <v>-51</v>
      </c>
      <c r="BE247" s="3">
        <v>0</v>
      </c>
      <c r="BF247" s="3">
        <v>0.157</v>
      </c>
      <c r="BG247" s="3">
        <v>5.0000000000000001E-3</v>
      </c>
      <c r="BH247" s="3">
        <v>-5.0000000000000001E-3</v>
      </c>
      <c r="BI247" s="3">
        <v>0</v>
      </c>
      <c r="BJ247" s="3">
        <v>0.14199999999999999</v>
      </c>
      <c r="BK247" s="3">
        <v>0.01</v>
      </c>
      <c r="BL247" s="3">
        <v>-0.01</v>
      </c>
      <c r="BM247" s="3">
        <v>0</v>
      </c>
      <c r="BN247" s="3">
        <v>-0.18</v>
      </c>
      <c r="BO247" s="3">
        <v>0.16</v>
      </c>
      <c r="BP247" s="3">
        <v>-0.16</v>
      </c>
      <c r="BQ247" s="3">
        <v>0</v>
      </c>
      <c r="BR247" t="s">
        <v>7935</v>
      </c>
      <c r="BS247" s="3">
        <v>5.17</v>
      </c>
      <c r="BT247" s="3">
        <v>7.0000000000000007E-2</v>
      </c>
      <c r="BU247" s="3">
        <v>-7.0000000000000007E-2</v>
      </c>
      <c r="BV247" s="3">
        <v>0</v>
      </c>
      <c r="BW247" t="s">
        <v>7936</v>
      </c>
      <c r="BX247" t="s">
        <v>8328</v>
      </c>
      <c r="BY247" s="3">
        <v>18.133079200000001</v>
      </c>
      <c r="BZ247" t="s">
        <v>8329</v>
      </c>
      <c r="CA247" s="3">
        <v>-16.996243400000001</v>
      </c>
      <c r="CB247" s="3">
        <v>3.7120700000000002</v>
      </c>
      <c r="CC247" s="3">
        <v>1.09E-3</v>
      </c>
      <c r="CD247" s="3">
        <v>-1.09E-3</v>
      </c>
      <c r="CK247" s="3">
        <v>10.429399999999999</v>
      </c>
      <c r="CL247" s="3">
        <v>5.7600000000000001E-4</v>
      </c>
      <c r="CM247" s="3">
        <v>-5.7600000000000001E-4</v>
      </c>
      <c r="CN247" t="s">
        <v>1654</v>
      </c>
      <c r="CO247" t="s">
        <v>8330</v>
      </c>
      <c r="CP247" t="s">
        <v>1654</v>
      </c>
    </row>
    <row r="248" spans="1:94" x14ac:dyDescent="0.45">
      <c r="A248" t="s">
        <v>234</v>
      </c>
      <c r="B248">
        <v>0</v>
      </c>
      <c r="C248" t="s">
        <v>1656</v>
      </c>
      <c r="D248" t="s">
        <v>235</v>
      </c>
      <c r="E248" s="3">
        <v>0</v>
      </c>
      <c r="F248" s="3">
        <v>1</v>
      </c>
      <c r="G248" s="3">
        <v>3</v>
      </c>
      <c r="H248" t="s">
        <v>1427</v>
      </c>
      <c r="I248" s="3">
        <v>2017</v>
      </c>
      <c r="J248" t="s">
        <v>7966</v>
      </c>
      <c r="K248" t="s">
        <v>1429</v>
      </c>
      <c r="L248" s="3">
        <v>0</v>
      </c>
      <c r="M248" t="s">
        <v>8334</v>
      </c>
      <c r="N248" s="3">
        <v>4.6562700000000001</v>
      </c>
      <c r="O248" s="3">
        <v>4.2000000000000002E-4</v>
      </c>
      <c r="P248" s="3">
        <v>-4.2000000000000002E-4</v>
      </c>
      <c r="Q248" s="3">
        <v>0</v>
      </c>
      <c r="R248" s="3">
        <v>2.7640000000000001E-2</v>
      </c>
      <c r="S248" s="3">
        <v>9.3000000000000005E-4</v>
      </c>
      <c r="T248" s="3">
        <v>-9.3000000000000005E-4</v>
      </c>
      <c r="U248" s="3">
        <v>0</v>
      </c>
      <c r="AD248" s="3">
        <v>1.1399999999999999</v>
      </c>
      <c r="AE248" s="3">
        <v>0.17</v>
      </c>
      <c r="AF248" s="3">
        <v>-0.17</v>
      </c>
      <c r="AG248" s="3">
        <v>0</v>
      </c>
      <c r="AH248" s="3">
        <v>3.5868200000000001E-3</v>
      </c>
      <c r="AI248" s="3">
        <v>5.3487999999999995E-4</v>
      </c>
      <c r="AJ248" s="3">
        <v>-5.3487999999999995E-4</v>
      </c>
      <c r="AK248" s="3">
        <v>0</v>
      </c>
      <c r="AL248" t="s">
        <v>1426</v>
      </c>
      <c r="AM248" s="3">
        <v>0.129</v>
      </c>
      <c r="AN248" s="3">
        <v>9.6000000000000002E-2</v>
      </c>
      <c r="AO248" s="3">
        <v>-9.6000000000000002E-2</v>
      </c>
      <c r="AP248" s="3">
        <v>0</v>
      </c>
      <c r="AY248" s="3">
        <v>0</v>
      </c>
      <c r="AZ248" t="s">
        <v>8334</v>
      </c>
      <c r="BA248" t="s">
        <v>299</v>
      </c>
      <c r="BB248" s="3">
        <v>3056</v>
      </c>
      <c r="BC248" s="3">
        <v>60</v>
      </c>
      <c r="BD248" s="3">
        <v>-60</v>
      </c>
      <c r="BE248" s="3">
        <v>0</v>
      </c>
      <c r="BF248" s="3">
        <v>0.16800000000000001</v>
      </c>
      <c r="BG248" s="3">
        <v>8.9999999999999993E-3</v>
      </c>
      <c r="BH248" s="3">
        <v>-8.9999999999999993E-3</v>
      </c>
      <c r="BI248" s="3">
        <v>0</v>
      </c>
      <c r="BJ248" s="3">
        <v>0.13</v>
      </c>
      <c r="BK248" s="3">
        <v>1.2999999999999999E-2</v>
      </c>
      <c r="BL248" s="3">
        <v>-1.2999999999999999E-2</v>
      </c>
      <c r="BM248" s="3">
        <v>0</v>
      </c>
      <c r="BN248" s="3">
        <v>-0.26</v>
      </c>
      <c r="BO248" s="3">
        <v>0.08</v>
      </c>
      <c r="BP248" s="3">
        <v>-0.08</v>
      </c>
      <c r="BQ248" s="3">
        <v>0</v>
      </c>
      <c r="BR248" t="s">
        <v>7935</v>
      </c>
      <c r="BW248" t="s">
        <v>7936</v>
      </c>
      <c r="BX248" t="s">
        <v>8328</v>
      </c>
      <c r="BY248" s="3">
        <v>18.133079200000001</v>
      </c>
      <c r="BZ248" t="s">
        <v>8329</v>
      </c>
      <c r="CA248" s="3">
        <v>-16.996243400000001</v>
      </c>
      <c r="CB248" s="3">
        <v>3.7120700000000002</v>
      </c>
      <c r="CC248" s="3">
        <v>1.09E-3</v>
      </c>
      <c r="CD248" s="3">
        <v>-1.09E-3</v>
      </c>
      <c r="CK248" s="3">
        <v>10.429399999999999</v>
      </c>
      <c r="CL248" s="3">
        <v>5.7600000000000001E-4</v>
      </c>
      <c r="CM248" s="3">
        <v>-5.7600000000000001E-4</v>
      </c>
      <c r="CN248" t="s">
        <v>8335</v>
      </c>
      <c r="CO248" t="s">
        <v>8128</v>
      </c>
      <c r="CP248" t="s">
        <v>8336</v>
      </c>
    </row>
    <row r="249" spans="1:94" x14ac:dyDescent="0.45">
      <c r="A249" t="s">
        <v>124</v>
      </c>
      <c r="B249">
        <v>1</v>
      </c>
      <c r="C249" t="s">
        <v>123</v>
      </c>
      <c r="D249" t="s">
        <v>125</v>
      </c>
      <c r="E249" s="3">
        <v>1</v>
      </c>
      <c r="F249" s="3">
        <v>1</v>
      </c>
      <c r="G249" s="3">
        <v>1</v>
      </c>
      <c r="H249" t="s">
        <v>1427</v>
      </c>
      <c r="I249" s="3">
        <v>2000</v>
      </c>
      <c r="J249" t="s">
        <v>7932</v>
      </c>
      <c r="K249" t="s">
        <v>1429</v>
      </c>
      <c r="L249" s="3">
        <v>0</v>
      </c>
      <c r="M249" t="s">
        <v>8337</v>
      </c>
      <c r="N249" s="3">
        <v>2680</v>
      </c>
      <c r="O249" s="3">
        <v>30</v>
      </c>
      <c r="P249" s="3">
        <v>-30</v>
      </c>
      <c r="Q249" s="3">
        <v>0</v>
      </c>
      <c r="R249" s="3">
        <v>3.53</v>
      </c>
      <c r="S249" s="3">
        <v>0.04</v>
      </c>
      <c r="T249" s="3">
        <v>-0.04</v>
      </c>
      <c r="U249" s="3">
        <v>0</v>
      </c>
      <c r="AD249" s="3">
        <v>317.82840700000003</v>
      </c>
      <c r="AE249" s="3">
        <v>31.782840700000001</v>
      </c>
      <c r="AF249" s="3">
        <v>-31.782840700000001</v>
      </c>
      <c r="AG249" s="3">
        <v>0</v>
      </c>
      <c r="AH249" s="3">
        <v>1</v>
      </c>
      <c r="AI249" s="3">
        <v>0.1</v>
      </c>
      <c r="AJ249" s="3">
        <v>-0.1</v>
      </c>
      <c r="AK249" s="3">
        <v>0</v>
      </c>
      <c r="AL249" t="s">
        <v>1453</v>
      </c>
      <c r="AM249" s="3">
        <v>0.06</v>
      </c>
      <c r="AN249" s="3">
        <v>0.06</v>
      </c>
      <c r="AO249" s="3">
        <v>-0.04</v>
      </c>
      <c r="AP249" s="3">
        <v>0</v>
      </c>
      <c r="AY249" s="3">
        <v>0</v>
      </c>
      <c r="AZ249" t="s">
        <v>8337</v>
      </c>
      <c r="BJ249" s="3">
        <v>0.82</v>
      </c>
      <c r="BK249" s="3">
        <v>0.02</v>
      </c>
      <c r="BL249" s="3">
        <v>-0.02</v>
      </c>
      <c r="BM249" s="3">
        <v>0</v>
      </c>
      <c r="BW249" t="s">
        <v>7936</v>
      </c>
      <c r="BX249" t="s">
        <v>8338</v>
      </c>
      <c r="BY249" s="3">
        <v>53.228430600000003</v>
      </c>
      <c r="BZ249" t="s">
        <v>8339</v>
      </c>
      <c r="CA249" s="3">
        <v>-9.4581715000000006</v>
      </c>
      <c r="CB249" s="3">
        <v>3.2025999999999999</v>
      </c>
      <c r="CC249" s="3">
        <v>4.8300000000000001E-3</v>
      </c>
      <c r="CD249" s="3">
        <v>-4.8300000000000001E-3</v>
      </c>
      <c r="CE249" s="3">
        <v>3.7154799999999999</v>
      </c>
      <c r="CF249" s="3">
        <v>2.3E-2</v>
      </c>
      <c r="CG249" s="3">
        <v>-2.3E-2</v>
      </c>
      <c r="CH249" s="3">
        <v>1.776</v>
      </c>
      <c r="CI249" s="3">
        <v>0.28599999999999998</v>
      </c>
      <c r="CJ249" s="3">
        <v>-0.28599999999999998</v>
      </c>
      <c r="CK249" s="3">
        <v>3.4771899999999998</v>
      </c>
      <c r="CL249" s="3">
        <v>5.5450999999999999E-3</v>
      </c>
      <c r="CM249" s="3">
        <v>-5.5450999999999999E-3</v>
      </c>
      <c r="CN249" t="s">
        <v>1659</v>
      </c>
      <c r="CO249" t="s">
        <v>7941</v>
      </c>
      <c r="CP249" t="s">
        <v>1659</v>
      </c>
    </row>
    <row r="250" spans="1:94" x14ac:dyDescent="0.45">
      <c r="A250" t="s">
        <v>124</v>
      </c>
      <c r="B250">
        <v>0</v>
      </c>
      <c r="C250" t="s">
        <v>123</v>
      </c>
      <c r="D250" t="s">
        <v>125</v>
      </c>
      <c r="E250" s="3">
        <v>0</v>
      </c>
      <c r="F250" s="3">
        <v>1</v>
      </c>
      <c r="G250" s="3">
        <v>1</v>
      </c>
      <c r="H250" t="s">
        <v>1427</v>
      </c>
      <c r="I250" s="3">
        <v>2000</v>
      </c>
      <c r="J250" t="s">
        <v>7932</v>
      </c>
      <c r="K250" t="s">
        <v>1429</v>
      </c>
      <c r="L250" s="3">
        <v>0</v>
      </c>
      <c r="M250" t="s">
        <v>8340</v>
      </c>
      <c r="N250" s="3">
        <v>2690</v>
      </c>
      <c r="O250" s="3">
        <v>30</v>
      </c>
      <c r="P250" s="3">
        <v>-30</v>
      </c>
      <c r="Q250" s="3">
        <v>0</v>
      </c>
      <c r="AD250" s="3">
        <v>247.9074</v>
      </c>
      <c r="AE250" s="3">
        <v>120.7754</v>
      </c>
      <c r="AF250" s="3">
        <v>-38.139600000000002</v>
      </c>
      <c r="AG250" s="3">
        <v>0</v>
      </c>
      <c r="AH250" s="3">
        <v>0.78</v>
      </c>
      <c r="AI250" s="3">
        <v>0.38</v>
      </c>
      <c r="AJ250" s="3">
        <v>-0.12</v>
      </c>
      <c r="AK250" s="3">
        <v>0</v>
      </c>
      <c r="AL250" t="s">
        <v>1453</v>
      </c>
      <c r="AM250" s="3">
        <v>7.0000000000000007E-2</v>
      </c>
      <c r="AN250" s="3">
        <v>0.06</v>
      </c>
      <c r="AO250" s="3">
        <v>-0.05</v>
      </c>
      <c r="AP250" s="3">
        <v>0</v>
      </c>
      <c r="AY250" s="3">
        <v>0</v>
      </c>
      <c r="AZ250" t="s">
        <v>8340</v>
      </c>
      <c r="BJ250" s="3">
        <v>0.78100000000000003</v>
      </c>
      <c r="BK250" s="3">
        <v>5.0000000000000001E-3</v>
      </c>
      <c r="BL250" s="3">
        <v>-5.0000000000000001E-3</v>
      </c>
      <c r="BM250" s="3">
        <v>0</v>
      </c>
      <c r="BW250" t="s">
        <v>7936</v>
      </c>
      <c r="BX250" t="s">
        <v>8338</v>
      </c>
      <c r="BY250" s="3">
        <v>53.228430600000003</v>
      </c>
      <c r="BZ250" t="s">
        <v>8339</v>
      </c>
      <c r="CA250" s="3">
        <v>-9.4581715000000006</v>
      </c>
      <c r="CB250" s="3">
        <v>3.2025999999999999</v>
      </c>
      <c r="CC250" s="3">
        <v>4.8300000000000001E-3</v>
      </c>
      <c r="CD250" s="3">
        <v>-4.8300000000000001E-3</v>
      </c>
      <c r="CE250" s="3">
        <v>3.7154799999999999</v>
      </c>
      <c r="CF250" s="3">
        <v>2.3E-2</v>
      </c>
      <c r="CG250" s="3">
        <v>-2.3E-2</v>
      </c>
      <c r="CH250" s="3">
        <v>1.776</v>
      </c>
      <c r="CI250" s="3">
        <v>0.28599999999999998</v>
      </c>
      <c r="CJ250" s="3">
        <v>-0.28599999999999998</v>
      </c>
      <c r="CK250" s="3">
        <v>3.4771899999999998</v>
      </c>
      <c r="CL250" s="3">
        <v>5.5450999999999999E-3</v>
      </c>
      <c r="CM250" s="3">
        <v>-5.5450999999999999E-3</v>
      </c>
      <c r="CN250" t="s">
        <v>1556</v>
      </c>
      <c r="CO250" t="s">
        <v>8341</v>
      </c>
      <c r="CP250" t="s">
        <v>8154</v>
      </c>
    </row>
    <row r="251" spans="1:94" x14ac:dyDescent="0.45">
      <c r="A251" t="s">
        <v>124</v>
      </c>
      <c r="B251">
        <v>0</v>
      </c>
      <c r="C251" t="s">
        <v>123</v>
      </c>
      <c r="D251" t="s">
        <v>125</v>
      </c>
      <c r="E251" s="3">
        <v>0</v>
      </c>
      <c r="F251" s="3">
        <v>1</v>
      </c>
      <c r="G251" s="3">
        <v>1</v>
      </c>
      <c r="H251" t="s">
        <v>1427</v>
      </c>
      <c r="I251" s="3">
        <v>2000</v>
      </c>
      <c r="J251" t="s">
        <v>7932</v>
      </c>
      <c r="K251" t="s">
        <v>1429</v>
      </c>
      <c r="L251" s="3">
        <v>0</v>
      </c>
      <c r="M251" t="s">
        <v>7942</v>
      </c>
      <c r="N251" s="3">
        <v>2650</v>
      </c>
      <c r="O251" s="3">
        <v>21</v>
      </c>
      <c r="P251" s="3">
        <v>-21</v>
      </c>
      <c r="Q251" s="3">
        <v>0</v>
      </c>
      <c r="R251" s="3">
        <v>3.5</v>
      </c>
      <c r="S251" s="3">
        <v>3.9E-2</v>
      </c>
      <c r="T251" s="3">
        <v>-3.9E-2</v>
      </c>
      <c r="U251" s="3">
        <v>0</v>
      </c>
      <c r="AD251" s="3">
        <v>206.90629296</v>
      </c>
      <c r="AE251" s="3">
        <v>12.07747947</v>
      </c>
      <c r="AF251" s="3">
        <v>-12.39530787</v>
      </c>
      <c r="AG251" s="3">
        <v>0</v>
      </c>
      <c r="AH251" s="3">
        <v>0.65100000000000002</v>
      </c>
      <c r="AI251" s="3">
        <v>3.7999999999999999E-2</v>
      </c>
      <c r="AJ251" s="3">
        <v>-3.9E-2</v>
      </c>
      <c r="AK251" s="3">
        <v>0</v>
      </c>
      <c r="AL251" t="s">
        <v>1426</v>
      </c>
      <c r="AM251" s="3">
        <v>4.3999999999999997E-2</v>
      </c>
      <c r="AN251" s="3">
        <v>4.7E-2</v>
      </c>
      <c r="AO251" s="3">
        <v>-3.1E-2</v>
      </c>
      <c r="AP251" s="3">
        <v>0</v>
      </c>
      <c r="AY251" s="3">
        <v>0</v>
      </c>
      <c r="AZ251" t="s">
        <v>7942</v>
      </c>
      <c r="BB251" s="3">
        <v>5020.38</v>
      </c>
      <c r="BC251" s="3">
        <v>57.69</v>
      </c>
      <c r="BD251" s="3">
        <v>-57.69</v>
      </c>
      <c r="BE251" s="3">
        <v>0</v>
      </c>
      <c r="BF251" s="3">
        <v>0.75910599999999995</v>
      </c>
      <c r="BG251" s="3">
        <v>1.1816E-2</v>
      </c>
      <c r="BH251" s="3">
        <v>-1.1816E-2</v>
      </c>
      <c r="BI251" s="3">
        <v>0</v>
      </c>
      <c r="BJ251" s="3">
        <v>0.81459499999999996</v>
      </c>
      <c r="BK251" s="3">
        <v>2.4152E-2</v>
      </c>
      <c r="BL251" s="3">
        <v>-2.4152E-2</v>
      </c>
      <c r="BM251" s="3">
        <v>0</v>
      </c>
      <c r="BN251" s="3">
        <v>-4.3900000000000002E-2</v>
      </c>
      <c r="BO251" s="3">
        <v>5.8299999999999998E-2</v>
      </c>
      <c r="BP251" s="3">
        <v>-5.8299999999999998E-2</v>
      </c>
      <c r="BQ251" s="3">
        <v>0</v>
      </c>
      <c r="BR251" t="s">
        <v>7935</v>
      </c>
      <c r="BS251" s="3">
        <v>4.5900999999999996</v>
      </c>
      <c r="BT251" s="3">
        <v>1.8239999999999999E-2</v>
      </c>
      <c r="BU251" s="3">
        <v>-1.8239999999999999E-2</v>
      </c>
      <c r="BV251" s="3">
        <v>0</v>
      </c>
      <c r="BW251" t="s">
        <v>7936</v>
      </c>
      <c r="BX251" t="s">
        <v>8338</v>
      </c>
      <c r="BY251" s="3">
        <v>53.228430600000003</v>
      </c>
      <c r="BZ251" t="s">
        <v>8339</v>
      </c>
      <c r="CA251" s="3">
        <v>-9.4581715000000006</v>
      </c>
      <c r="CB251" s="3">
        <v>3.2025999999999999</v>
      </c>
      <c r="CC251" s="3">
        <v>4.8300000000000001E-3</v>
      </c>
      <c r="CD251" s="3">
        <v>-4.8300000000000001E-3</v>
      </c>
      <c r="CE251" s="3">
        <v>3.7154799999999999</v>
      </c>
      <c r="CF251" s="3">
        <v>2.3E-2</v>
      </c>
      <c r="CG251" s="3">
        <v>-2.3E-2</v>
      </c>
      <c r="CH251" s="3">
        <v>1.776</v>
      </c>
      <c r="CI251" s="3">
        <v>0.28599999999999998</v>
      </c>
      <c r="CJ251" s="3">
        <v>-0.28599999999999998</v>
      </c>
      <c r="CK251" s="3">
        <v>3.4771899999999998</v>
      </c>
      <c r="CL251" s="3">
        <v>5.5450999999999999E-3</v>
      </c>
      <c r="CM251" s="3">
        <v>-5.5450999999999999E-3</v>
      </c>
      <c r="CN251" t="s">
        <v>7943</v>
      </c>
      <c r="CO251" t="s">
        <v>7944</v>
      </c>
      <c r="CP251" t="s">
        <v>7943</v>
      </c>
    </row>
    <row r="252" spans="1:94" x14ac:dyDescent="0.45">
      <c r="A252" t="s">
        <v>124</v>
      </c>
      <c r="B252">
        <v>0</v>
      </c>
      <c r="C252" t="s">
        <v>123</v>
      </c>
      <c r="D252" t="s">
        <v>125</v>
      </c>
      <c r="E252" s="3">
        <v>0</v>
      </c>
      <c r="F252" s="3">
        <v>1</v>
      </c>
      <c r="G252" s="3">
        <v>1</v>
      </c>
      <c r="H252" t="s">
        <v>1427</v>
      </c>
      <c r="I252" s="3">
        <v>2000</v>
      </c>
      <c r="J252" t="s">
        <v>7932</v>
      </c>
      <c r="K252" t="s">
        <v>1429</v>
      </c>
      <c r="L252" s="3">
        <v>0</v>
      </c>
      <c r="M252" t="s">
        <v>7940</v>
      </c>
      <c r="N252" s="3">
        <v>2686</v>
      </c>
      <c r="O252" s="3">
        <v>19</v>
      </c>
      <c r="P252" s="3">
        <v>-18</v>
      </c>
      <c r="Q252" s="3">
        <v>0</v>
      </c>
      <c r="R252" s="3">
        <v>3.39</v>
      </c>
      <c r="S252" s="3">
        <v>6.4000000000000001E-2</v>
      </c>
      <c r="T252" s="3">
        <v>-6.6000000000000003E-2</v>
      </c>
      <c r="U252" s="3">
        <v>0</v>
      </c>
      <c r="AD252" s="3">
        <v>186</v>
      </c>
      <c r="AE252" s="3">
        <v>12</v>
      </c>
      <c r="AF252" s="3">
        <v>-12</v>
      </c>
      <c r="AG252" s="3">
        <v>0</v>
      </c>
      <c r="AH252" s="3">
        <v>0.58522145000000003</v>
      </c>
      <c r="AI252" s="3">
        <v>3.775622E-2</v>
      </c>
      <c r="AJ252" s="3">
        <v>-3.775622E-2</v>
      </c>
      <c r="AK252" s="3">
        <v>0</v>
      </c>
      <c r="AL252" t="s">
        <v>1426</v>
      </c>
      <c r="AM252" s="3">
        <v>8.7999999999999995E-2</v>
      </c>
      <c r="AN252" s="3">
        <v>4.8000000000000001E-2</v>
      </c>
      <c r="AO252" s="3">
        <v>-4.8000000000000001E-2</v>
      </c>
      <c r="AP252" s="3">
        <v>0</v>
      </c>
      <c r="AY252" s="3">
        <v>0</v>
      </c>
      <c r="AZ252" t="s">
        <v>7940</v>
      </c>
      <c r="BB252" s="3">
        <v>5098</v>
      </c>
      <c r="BE252" s="3">
        <v>0</v>
      </c>
      <c r="BW252" t="s">
        <v>7936</v>
      </c>
      <c r="BX252" t="s">
        <v>8338</v>
      </c>
      <c r="BY252" s="3">
        <v>53.228430600000003</v>
      </c>
      <c r="BZ252" t="s">
        <v>8339</v>
      </c>
      <c r="CA252" s="3">
        <v>-9.4581715000000006</v>
      </c>
      <c r="CB252" s="3">
        <v>3.2025999999999999</v>
      </c>
      <c r="CC252" s="3">
        <v>4.8300000000000001E-3</v>
      </c>
      <c r="CD252" s="3">
        <v>-4.8300000000000001E-3</v>
      </c>
      <c r="CE252" s="3">
        <v>3.7154799999999999</v>
      </c>
      <c r="CF252" s="3">
        <v>2.3E-2</v>
      </c>
      <c r="CG252" s="3">
        <v>-2.3E-2</v>
      </c>
      <c r="CH252" s="3">
        <v>1.776</v>
      </c>
      <c r="CI252" s="3">
        <v>0.28599999999999998</v>
      </c>
      <c r="CJ252" s="3">
        <v>-0.28599999999999998</v>
      </c>
      <c r="CK252" s="3">
        <v>3.4771899999999998</v>
      </c>
      <c r="CL252" s="3">
        <v>5.5450999999999999E-3</v>
      </c>
      <c r="CM252" s="3">
        <v>-5.5450999999999999E-3</v>
      </c>
      <c r="CN252" t="s">
        <v>1513</v>
      </c>
      <c r="CO252" t="s">
        <v>7941</v>
      </c>
      <c r="CP252" t="s">
        <v>1513</v>
      </c>
    </row>
    <row r="253" spans="1:94" x14ac:dyDescent="0.45">
      <c r="A253" t="s">
        <v>124</v>
      </c>
      <c r="B253">
        <v>0</v>
      </c>
      <c r="C253" t="s">
        <v>123</v>
      </c>
      <c r="D253" t="s">
        <v>125</v>
      </c>
      <c r="E253" s="3">
        <v>0</v>
      </c>
      <c r="F253" s="3">
        <v>1</v>
      </c>
      <c r="G253" s="3">
        <v>1</v>
      </c>
      <c r="H253" t="s">
        <v>1427</v>
      </c>
      <c r="I253" s="3">
        <v>2000</v>
      </c>
      <c r="J253" t="s">
        <v>7932</v>
      </c>
      <c r="K253" t="s">
        <v>1429</v>
      </c>
      <c r="L253" s="3">
        <v>0</v>
      </c>
      <c r="M253" t="s">
        <v>8342</v>
      </c>
      <c r="N253" s="3">
        <v>2671</v>
      </c>
      <c r="O253" s="3">
        <v>17</v>
      </c>
      <c r="P253" s="3">
        <v>-23</v>
      </c>
      <c r="Q253" s="3">
        <v>0</v>
      </c>
      <c r="R253" s="3">
        <v>3.53</v>
      </c>
      <c r="S253" s="3">
        <v>0.03</v>
      </c>
      <c r="T253" s="3">
        <v>-0.04</v>
      </c>
      <c r="U253" s="3">
        <v>0</v>
      </c>
      <c r="AD253" s="3">
        <v>209.76674861999999</v>
      </c>
      <c r="AE253" s="3">
        <v>38.139408840000002</v>
      </c>
      <c r="AF253" s="3">
        <v>-28.604556630000001</v>
      </c>
      <c r="AG253" s="3">
        <v>0</v>
      </c>
      <c r="AH253" s="3">
        <v>0.66</v>
      </c>
      <c r="AI253" s="3">
        <v>0.12</v>
      </c>
      <c r="AJ253" s="3">
        <v>-0.09</v>
      </c>
      <c r="AK253" s="3">
        <v>0</v>
      </c>
      <c r="AL253" t="s">
        <v>1453</v>
      </c>
      <c r="AM253" s="3">
        <v>7.0000000000000007E-2</v>
      </c>
      <c r="AN253" s="3">
        <v>7.0000000000000007E-2</v>
      </c>
      <c r="AO253" s="3">
        <v>-0.05</v>
      </c>
      <c r="AP253" s="3">
        <v>0</v>
      </c>
      <c r="AY253" s="3">
        <v>0</v>
      </c>
      <c r="AZ253" t="s">
        <v>8342</v>
      </c>
      <c r="BA253" t="s">
        <v>1044</v>
      </c>
      <c r="BJ253" s="3">
        <v>0.82</v>
      </c>
      <c r="BK253" s="3">
        <v>0.02</v>
      </c>
      <c r="BL253" s="3">
        <v>-0.02</v>
      </c>
      <c r="BM253" s="3">
        <v>0</v>
      </c>
      <c r="BW253" t="s">
        <v>7936</v>
      </c>
      <c r="BX253" t="s">
        <v>8338</v>
      </c>
      <c r="BY253" s="3">
        <v>53.228430600000003</v>
      </c>
      <c r="BZ253" t="s">
        <v>8339</v>
      </c>
      <c r="CA253" s="3">
        <v>-9.4581715000000006</v>
      </c>
      <c r="CB253" s="3">
        <v>3.2025999999999999</v>
      </c>
      <c r="CC253" s="3">
        <v>4.8300000000000001E-3</v>
      </c>
      <c r="CD253" s="3">
        <v>-4.8300000000000001E-3</v>
      </c>
      <c r="CE253" s="3">
        <v>3.7154799999999999</v>
      </c>
      <c r="CF253" s="3">
        <v>2.3E-2</v>
      </c>
      <c r="CG253" s="3">
        <v>-2.3E-2</v>
      </c>
      <c r="CH253" s="3">
        <v>1.776</v>
      </c>
      <c r="CI253" s="3">
        <v>0.28599999999999998</v>
      </c>
      <c r="CJ253" s="3">
        <v>-0.28599999999999998</v>
      </c>
      <c r="CK253" s="3">
        <v>3.4771899999999998</v>
      </c>
      <c r="CL253" s="3">
        <v>5.5450999999999999E-3</v>
      </c>
      <c r="CM253" s="3">
        <v>-5.5450999999999999E-3</v>
      </c>
      <c r="CN253" t="s">
        <v>8343</v>
      </c>
      <c r="CO253" t="s">
        <v>8344</v>
      </c>
      <c r="CP253" t="s">
        <v>8343</v>
      </c>
    </row>
    <row r="254" spans="1:94" x14ac:dyDescent="0.45">
      <c r="A254" t="s">
        <v>124</v>
      </c>
      <c r="B254">
        <v>0</v>
      </c>
      <c r="C254" t="s">
        <v>123</v>
      </c>
      <c r="D254" t="s">
        <v>125</v>
      </c>
      <c r="E254" s="3">
        <v>0</v>
      </c>
      <c r="F254" s="3">
        <v>1</v>
      </c>
      <c r="G254" s="3">
        <v>1</v>
      </c>
      <c r="H254" t="s">
        <v>1427</v>
      </c>
      <c r="I254" s="3">
        <v>2000</v>
      </c>
      <c r="J254" t="s">
        <v>7932</v>
      </c>
      <c r="K254" t="s">
        <v>1429</v>
      </c>
      <c r="L254" s="3">
        <v>0</v>
      </c>
      <c r="M254" t="s">
        <v>8345</v>
      </c>
      <c r="N254" s="3">
        <v>2502.1</v>
      </c>
      <c r="O254" s="3">
        <v>20.100000000000001</v>
      </c>
      <c r="P254" s="3">
        <v>-20.100000000000001</v>
      </c>
      <c r="Q254" s="3">
        <v>0</v>
      </c>
      <c r="R254" s="3">
        <v>3.4</v>
      </c>
      <c r="U254" s="3">
        <v>0</v>
      </c>
      <c r="AD254" s="3">
        <v>540.31100000000004</v>
      </c>
      <c r="AG254" s="3">
        <v>0</v>
      </c>
      <c r="AH254" s="3">
        <v>1.7</v>
      </c>
      <c r="AK254" s="3">
        <v>0</v>
      </c>
      <c r="AL254" t="s">
        <v>1453</v>
      </c>
      <c r="AM254" s="3">
        <v>0.60799999999999998</v>
      </c>
      <c r="AN254" s="3">
        <v>4.1000000000000002E-2</v>
      </c>
      <c r="AO254" s="3">
        <v>-4.1000000000000002E-2</v>
      </c>
      <c r="AP254" s="3">
        <v>0</v>
      </c>
      <c r="AY254" s="3">
        <v>0</v>
      </c>
      <c r="AZ254" t="s">
        <v>8345</v>
      </c>
      <c r="BJ254" s="3">
        <v>0.85</v>
      </c>
      <c r="BM254" s="3">
        <v>0</v>
      </c>
      <c r="BW254" t="s">
        <v>7936</v>
      </c>
      <c r="BX254" t="s">
        <v>8338</v>
      </c>
      <c r="BY254" s="3">
        <v>53.228430600000003</v>
      </c>
      <c r="BZ254" t="s">
        <v>8339</v>
      </c>
      <c r="CA254" s="3">
        <v>-9.4581715000000006</v>
      </c>
      <c r="CB254" s="3">
        <v>3.2025999999999999</v>
      </c>
      <c r="CC254" s="3">
        <v>4.8300000000000001E-3</v>
      </c>
      <c r="CD254" s="3">
        <v>-4.8300000000000001E-3</v>
      </c>
      <c r="CE254" s="3">
        <v>3.7154799999999999</v>
      </c>
      <c r="CF254" s="3">
        <v>2.3E-2</v>
      </c>
      <c r="CG254" s="3">
        <v>-2.3E-2</v>
      </c>
      <c r="CH254" s="3">
        <v>1.776</v>
      </c>
      <c r="CI254" s="3">
        <v>0.28599999999999998</v>
      </c>
      <c r="CJ254" s="3">
        <v>-0.28599999999999998</v>
      </c>
      <c r="CK254" s="3">
        <v>3.4771899999999998</v>
      </c>
      <c r="CL254" s="3">
        <v>5.5450999999999999E-3</v>
      </c>
      <c r="CM254" s="3">
        <v>-5.5450999999999999E-3</v>
      </c>
      <c r="CN254" t="s">
        <v>1556</v>
      </c>
      <c r="CO254" t="s">
        <v>8346</v>
      </c>
      <c r="CP254" t="s">
        <v>8347</v>
      </c>
    </row>
    <row r="255" spans="1:94" x14ac:dyDescent="0.45">
      <c r="A255" t="s">
        <v>124</v>
      </c>
      <c r="B255">
        <v>0</v>
      </c>
      <c r="C255" t="s">
        <v>123</v>
      </c>
      <c r="D255" t="s">
        <v>125</v>
      </c>
      <c r="E255" s="3">
        <v>0</v>
      </c>
      <c r="F255" s="3">
        <v>1</v>
      </c>
      <c r="G255" s="3">
        <v>1</v>
      </c>
      <c r="H255" t="s">
        <v>1427</v>
      </c>
      <c r="I255" s="3">
        <v>2000</v>
      </c>
      <c r="J255" t="s">
        <v>7932</v>
      </c>
      <c r="K255" t="s">
        <v>1429</v>
      </c>
      <c r="L255" s="3">
        <v>0</v>
      </c>
      <c r="M255" t="s">
        <v>8348</v>
      </c>
      <c r="N255" s="3">
        <v>2502</v>
      </c>
      <c r="O255" s="3">
        <v>10</v>
      </c>
      <c r="P255" s="3">
        <v>-10</v>
      </c>
      <c r="Q255" s="3">
        <v>0</v>
      </c>
      <c r="R255" s="3">
        <v>3.39</v>
      </c>
      <c r="S255" s="3">
        <v>0.36</v>
      </c>
      <c r="T255" s="3">
        <v>-0.36</v>
      </c>
      <c r="U255" s="3">
        <v>0</v>
      </c>
      <c r="AD255" s="3">
        <v>492.63650000000001</v>
      </c>
      <c r="AE255" s="3">
        <v>76.279200000000003</v>
      </c>
      <c r="AF255" s="3">
        <v>-76.279200000000003</v>
      </c>
      <c r="AG255" s="3">
        <v>0</v>
      </c>
      <c r="AH255" s="3">
        <v>1.55</v>
      </c>
      <c r="AI255" s="3">
        <v>0.24</v>
      </c>
      <c r="AJ255" s="3">
        <v>-0.24</v>
      </c>
      <c r="AK255" s="3">
        <v>0</v>
      </c>
      <c r="AL255" t="s">
        <v>1453</v>
      </c>
      <c r="AM255" s="3">
        <v>0.70199999999999996</v>
      </c>
      <c r="AN255" s="3">
        <v>3.9E-2</v>
      </c>
      <c r="AO255" s="3">
        <v>-3.9E-2</v>
      </c>
      <c r="AP255" s="3">
        <v>0</v>
      </c>
      <c r="AY255" s="3">
        <v>0</v>
      </c>
      <c r="AZ255" t="s">
        <v>8348</v>
      </c>
      <c r="BJ255" s="3">
        <v>0.83</v>
      </c>
      <c r="BK255" s="3">
        <v>0.05</v>
      </c>
      <c r="BL255" s="3">
        <v>-0.05</v>
      </c>
      <c r="BM255" s="3">
        <v>0</v>
      </c>
      <c r="BN255" s="3">
        <v>-0.13</v>
      </c>
      <c r="BO255" s="3">
        <v>0.04</v>
      </c>
      <c r="BP255" s="3">
        <v>-0.04</v>
      </c>
      <c r="BQ255" s="3">
        <v>0</v>
      </c>
      <c r="BR255" t="s">
        <v>7935</v>
      </c>
      <c r="BW255" t="s">
        <v>7936</v>
      </c>
      <c r="BX255" t="s">
        <v>8338</v>
      </c>
      <c r="BY255" s="3">
        <v>53.228430600000003</v>
      </c>
      <c r="BZ255" t="s">
        <v>8339</v>
      </c>
      <c r="CA255" s="3">
        <v>-9.4581715000000006</v>
      </c>
      <c r="CB255" s="3">
        <v>3.2025999999999999</v>
      </c>
      <c r="CC255" s="3">
        <v>4.8300000000000001E-3</v>
      </c>
      <c r="CD255" s="3">
        <v>-4.8300000000000001E-3</v>
      </c>
      <c r="CE255" s="3">
        <v>3.7154799999999999</v>
      </c>
      <c r="CF255" s="3">
        <v>2.3E-2</v>
      </c>
      <c r="CG255" s="3">
        <v>-2.3E-2</v>
      </c>
      <c r="CH255" s="3">
        <v>1.776</v>
      </c>
      <c r="CI255" s="3">
        <v>0.28599999999999998</v>
      </c>
      <c r="CJ255" s="3">
        <v>-0.28599999999999998</v>
      </c>
      <c r="CK255" s="3">
        <v>3.4771899999999998</v>
      </c>
      <c r="CL255" s="3">
        <v>5.5450999999999999E-3</v>
      </c>
      <c r="CM255" s="3">
        <v>-5.5450999999999999E-3</v>
      </c>
      <c r="CN255" t="s">
        <v>1556</v>
      </c>
      <c r="CO255" t="s">
        <v>8349</v>
      </c>
      <c r="CP255" t="s">
        <v>8347</v>
      </c>
    </row>
    <row r="256" spans="1:94" x14ac:dyDescent="0.45">
      <c r="A256" t="s">
        <v>211</v>
      </c>
      <c r="B256">
        <v>1</v>
      </c>
      <c r="C256" t="s">
        <v>210</v>
      </c>
      <c r="D256" t="s">
        <v>212</v>
      </c>
      <c r="E256" s="3">
        <v>1</v>
      </c>
      <c r="F256" s="3">
        <v>3</v>
      </c>
      <c r="G256" s="3">
        <v>1</v>
      </c>
      <c r="H256" t="s">
        <v>1427</v>
      </c>
      <c r="I256" s="3">
        <v>2019</v>
      </c>
      <c r="J256" t="s">
        <v>7966</v>
      </c>
      <c r="K256" t="s">
        <v>1429</v>
      </c>
      <c r="L256" s="3">
        <v>0</v>
      </c>
      <c r="M256" t="s">
        <v>8350</v>
      </c>
      <c r="N256" s="3">
        <v>25450</v>
      </c>
      <c r="O256" s="3">
        <v>4387</v>
      </c>
      <c r="P256" s="3">
        <v>-3302</v>
      </c>
      <c r="Q256" s="3">
        <v>0</v>
      </c>
      <c r="R256" s="3">
        <v>15.76</v>
      </c>
      <c r="S256" s="3">
        <v>1.73</v>
      </c>
      <c r="T256" s="3">
        <v>-1.39</v>
      </c>
      <c r="U256" s="3">
        <v>0</v>
      </c>
      <c r="AD256" s="3">
        <v>2065.8846454999998</v>
      </c>
      <c r="AE256" s="3">
        <v>228.83645304000001</v>
      </c>
      <c r="AF256" s="3">
        <v>-187.51876013</v>
      </c>
      <c r="AG256" s="3">
        <v>0</v>
      </c>
      <c r="AH256" s="3">
        <v>6.5</v>
      </c>
      <c r="AI256" s="3">
        <v>0.72</v>
      </c>
      <c r="AJ256" s="3">
        <v>-0.59</v>
      </c>
      <c r="AK256" s="3">
        <v>0</v>
      </c>
      <c r="AL256" t="s">
        <v>1453</v>
      </c>
      <c r="AM256" s="3">
        <v>0.25</v>
      </c>
      <c r="AN256" s="3">
        <v>0.09</v>
      </c>
      <c r="AO256" s="3">
        <v>-0.09</v>
      </c>
      <c r="AP256" s="3">
        <v>0</v>
      </c>
      <c r="AY256" s="3">
        <v>0</v>
      </c>
      <c r="AZ256" t="s">
        <v>8350</v>
      </c>
      <c r="BA256" t="s">
        <v>793</v>
      </c>
      <c r="BB256" s="3">
        <v>4700</v>
      </c>
      <c r="BC256" s="3">
        <v>65</v>
      </c>
      <c r="BD256" s="3">
        <v>-65</v>
      </c>
      <c r="BE256" s="3">
        <v>0</v>
      </c>
      <c r="BF256" s="3">
        <v>0.71299999999999997</v>
      </c>
      <c r="BG256" s="3">
        <v>6.0000000000000001E-3</v>
      </c>
      <c r="BH256" s="3">
        <v>-6.0000000000000001E-3</v>
      </c>
      <c r="BI256" s="3">
        <v>0</v>
      </c>
      <c r="BJ256" s="3">
        <v>0.8</v>
      </c>
      <c r="BK256" s="3">
        <v>0.02</v>
      </c>
      <c r="BL256" s="3">
        <v>-0.02</v>
      </c>
      <c r="BM256" s="3">
        <v>0</v>
      </c>
      <c r="BN256" s="3">
        <v>-0.17</v>
      </c>
      <c r="BO256" s="3">
        <v>0.03</v>
      </c>
      <c r="BP256" s="3">
        <v>-0.03</v>
      </c>
      <c r="BQ256" s="3">
        <v>0</v>
      </c>
      <c r="BR256" t="s">
        <v>7935</v>
      </c>
      <c r="BW256" t="s">
        <v>7936</v>
      </c>
      <c r="BX256" t="s">
        <v>8351</v>
      </c>
      <c r="BY256" s="3">
        <v>330.87140210000001</v>
      </c>
      <c r="BZ256" t="s">
        <v>8352</v>
      </c>
      <c r="CA256" s="3">
        <v>-56.796902299999999</v>
      </c>
      <c r="CB256" s="3">
        <v>3.6385700000000001</v>
      </c>
      <c r="CC256" s="3">
        <v>3.3300000000000001E-3</v>
      </c>
      <c r="CD256" s="3">
        <v>-3.3300000000000001E-3</v>
      </c>
      <c r="CE256" s="3">
        <v>4.6900000000000004</v>
      </c>
      <c r="CF256" s="3">
        <v>0.03</v>
      </c>
      <c r="CG256" s="3">
        <v>-0.03</v>
      </c>
      <c r="CH256" s="3">
        <v>2.2370000000000001</v>
      </c>
      <c r="CI256" s="3">
        <v>0.24</v>
      </c>
      <c r="CJ256" s="3">
        <v>-0.24</v>
      </c>
      <c r="CK256" s="3">
        <v>4.3456200000000003</v>
      </c>
      <c r="CL256" s="3">
        <v>7.3740000000000003E-3</v>
      </c>
      <c r="CM256" s="3">
        <v>-7.3740000000000003E-3</v>
      </c>
      <c r="CN256" t="s">
        <v>1662</v>
      </c>
      <c r="CO256" t="s">
        <v>8353</v>
      </c>
      <c r="CP256" t="s">
        <v>1662</v>
      </c>
    </row>
    <row r="257" spans="1:94" x14ac:dyDescent="0.45">
      <c r="A257" t="s">
        <v>211</v>
      </c>
      <c r="B257">
        <v>0</v>
      </c>
      <c r="C257" t="s">
        <v>210</v>
      </c>
      <c r="D257" t="s">
        <v>212</v>
      </c>
      <c r="E257" s="3">
        <v>0</v>
      </c>
      <c r="F257" s="3">
        <v>3</v>
      </c>
      <c r="G257" s="3">
        <v>1</v>
      </c>
      <c r="H257" t="s">
        <v>1427</v>
      </c>
      <c r="I257" s="3">
        <v>2019</v>
      </c>
      <c r="J257" t="s">
        <v>7966</v>
      </c>
      <c r="K257" t="s">
        <v>1429</v>
      </c>
      <c r="L257" s="3">
        <v>0</v>
      </c>
      <c r="M257" t="s">
        <v>8354</v>
      </c>
      <c r="R257" s="3">
        <v>28.4</v>
      </c>
      <c r="S257" s="3">
        <v>10</v>
      </c>
      <c r="T257" s="3">
        <v>-7.2</v>
      </c>
      <c r="U257" s="3">
        <v>0</v>
      </c>
      <c r="AD257" s="3">
        <v>2005.4972481699999</v>
      </c>
      <c r="AE257" s="3">
        <v>190.69704419999999</v>
      </c>
      <c r="AF257" s="3">
        <v>-177.98390792000001</v>
      </c>
      <c r="AG257" s="3">
        <v>0</v>
      </c>
      <c r="AH257" s="3">
        <v>6.31</v>
      </c>
      <c r="AI257" s="3">
        <v>0.6</v>
      </c>
      <c r="AJ257" s="3">
        <v>-0.56000000000000005</v>
      </c>
      <c r="AK257" s="3">
        <v>0</v>
      </c>
      <c r="AL257" t="s">
        <v>1453</v>
      </c>
      <c r="AM257" s="3">
        <v>0.4</v>
      </c>
      <c r="AN257" s="3">
        <v>0.15</v>
      </c>
      <c r="AO257" s="3">
        <v>-0.18</v>
      </c>
      <c r="AP257" s="3">
        <v>0</v>
      </c>
      <c r="AU257" s="3">
        <v>275</v>
      </c>
      <c r="AX257" s="3">
        <v>0</v>
      </c>
      <c r="AY257" s="3">
        <v>0</v>
      </c>
      <c r="AZ257" t="s">
        <v>8354</v>
      </c>
      <c r="BA257" t="s">
        <v>793</v>
      </c>
      <c r="BB257" s="3">
        <v>4760</v>
      </c>
      <c r="BC257" s="3">
        <v>15</v>
      </c>
      <c r="BD257" s="3">
        <v>-15</v>
      </c>
      <c r="BE257" s="3">
        <v>0</v>
      </c>
      <c r="BF257" s="3">
        <v>0.67900000000000005</v>
      </c>
      <c r="BG257" s="3">
        <v>4.0000000000000001E-3</v>
      </c>
      <c r="BH257" s="3">
        <v>-4.0000000000000001E-3</v>
      </c>
      <c r="BI257" s="3">
        <v>0</v>
      </c>
      <c r="BJ257" s="3">
        <v>0.76</v>
      </c>
      <c r="BK257" s="3">
        <v>0.04</v>
      </c>
      <c r="BL257" s="3">
        <v>-0.04</v>
      </c>
      <c r="BM257" s="3">
        <v>0</v>
      </c>
      <c r="BN257" s="3">
        <v>0.22</v>
      </c>
      <c r="BO257" s="3">
        <v>0.12</v>
      </c>
      <c r="BP257" s="3">
        <v>-0.12</v>
      </c>
      <c r="BQ257" s="3">
        <v>0</v>
      </c>
      <c r="BR257" t="s">
        <v>7935</v>
      </c>
      <c r="BS257" s="3">
        <v>5.25</v>
      </c>
      <c r="BT257" s="3">
        <v>0.18</v>
      </c>
      <c r="BU257" s="3">
        <v>-0.34</v>
      </c>
      <c r="BV257" s="3">
        <v>0</v>
      </c>
      <c r="BW257" t="s">
        <v>7936</v>
      </c>
      <c r="BX257" t="s">
        <v>8351</v>
      </c>
      <c r="BY257" s="3">
        <v>330.87140210000001</v>
      </c>
      <c r="BZ257" t="s">
        <v>8352</v>
      </c>
      <c r="CA257" s="3">
        <v>-56.796902299999999</v>
      </c>
      <c r="CB257" s="3">
        <v>3.6385700000000001</v>
      </c>
      <c r="CC257" s="3">
        <v>3.3300000000000001E-3</v>
      </c>
      <c r="CD257" s="3">
        <v>-3.3300000000000001E-3</v>
      </c>
      <c r="CE257" s="3">
        <v>4.6900000000000004</v>
      </c>
      <c r="CF257" s="3">
        <v>0.03</v>
      </c>
      <c r="CG257" s="3">
        <v>-0.03</v>
      </c>
      <c r="CH257" s="3">
        <v>2.2370000000000001</v>
      </c>
      <c r="CI257" s="3">
        <v>0.24</v>
      </c>
      <c r="CJ257" s="3">
        <v>-0.24</v>
      </c>
      <c r="CK257" s="3">
        <v>4.3456200000000003</v>
      </c>
      <c r="CL257" s="3">
        <v>7.3740000000000003E-3</v>
      </c>
      <c r="CM257" s="3">
        <v>-7.3740000000000003E-3</v>
      </c>
      <c r="CN257" t="s">
        <v>8355</v>
      </c>
      <c r="CO257" t="s">
        <v>8356</v>
      </c>
      <c r="CP257" t="s">
        <v>8355</v>
      </c>
    </row>
    <row r="258" spans="1:94" x14ac:dyDescent="0.45">
      <c r="A258" t="s">
        <v>211</v>
      </c>
      <c r="B258">
        <v>0</v>
      </c>
      <c r="C258" t="s">
        <v>210</v>
      </c>
      <c r="D258" t="s">
        <v>212</v>
      </c>
      <c r="E258" s="3">
        <v>0</v>
      </c>
      <c r="F258" s="3">
        <v>3</v>
      </c>
      <c r="G258" s="3">
        <v>1</v>
      </c>
      <c r="H258" t="s">
        <v>1427</v>
      </c>
      <c r="I258" s="3">
        <v>2019</v>
      </c>
      <c r="J258" t="s">
        <v>7966</v>
      </c>
      <c r="K258" t="s">
        <v>1429</v>
      </c>
      <c r="L258" s="3">
        <v>0</v>
      </c>
      <c r="M258" t="s">
        <v>8357</v>
      </c>
      <c r="N258" s="3">
        <v>39400</v>
      </c>
      <c r="O258" s="3">
        <v>18000</v>
      </c>
      <c r="P258" s="3">
        <v>-9100</v>
      </c>
      <c r="Q258" s="3">
        <v>0</v>
      </c>
      <c r="R258" s="3">
        <v>20.9</v>
      </c>
      <c r="S258" s="3">
        <v>5.8</v>
      </c>
      <c r="T258" s="3">
        <v>-3.3</v>
      </c>
      <c r="U258" s="3">
        <v>0</v>
      </c>
      <c r="AD258" s="3">
        <v>2425.0307454099998</v>
      </c>
      <c r="AE258" s="3">
        <v>232.01473711</v>
      </c>
      <c r="AF258" s="3">
        <v>-222.4798849</v>
      </c>
      <c r="AG258" s="3">
        <v>0</v>
      </c>
      <c r="AH258" s="3">
        <v>7.63</v>
      </c>
      <c r="AI258" s="3">
        <v>0.73</v>
      </c>
      <c r="AJ258" s="3">
        <v>-0.7</v>
      </c>
      <c r="AK258" s="3">
        <v>0</v>
      </c>
      <c r="AL258" t="s">
        <v>1453</v>
      </c>
      <c r="AM258" s="3">
        <v>0.24399999999999999</v>
      </c>
      <c r="AN258" s="3">
        <v>0.11</v>
      </c>
      <c r="AO258" s="3">
        <v>-8.3000000000000004E-2</v>
      </c>
      <c r="AP258" s="3">
        <v>0</v>
      </c>
      <c r="AY258" s="3">
        <v>0</v>
      </c>
      <c r="AZ258" t="s">
        <v>8357</v>
      </c>
      <c r="BJ258" s="3">
        <v>0.78100000000000003</v>
      </c>
      <c r="BK258" s="3">
        <v>3.5999999999999997E-2</v>
      </c>
      <c r="BL258" s="3">
        <v>-3.6999999999999998E-2</v>
      </c>
      <c r="BM258" s="3">
        <v>0</v>
      </c>
      <c r="BW258" t="s">
        <v>7936</v>
      </c>
      <c r="BX258" t="s">
        <v>8351</v>
      </c>
      <c r="BY258" s="3">
        <v>330.87140210000001</v>
      </c>
      <c r="BZ258" t="s">
        <v>8352</v>
      </c>
      <c r="CA258" s="3">
        <v>-56.796902299999999</v>
      </c>
      <c r="CB258" s="3">
        <v>3.6385700000000001</v>
      </c>
      <c r="CC258" s="3">
        <v>3.3300000000000001E-3</v>
      </c>
      <c r="CD258" s="3">
        <v>-3.3300000000000001E-3</v>
      </c>
      <c r="CE258" s="3">
        <v>4.6900000000000004</v>
      </c>
      <c r="CF258" s="3">
        <v>0.03</v>
      </c>
      <c r="CG258" s="3">
        <v>-0.03</v>
      </c>
      <c r="CH258" s="3">
        <v>2.2370000000000001</v>
      </c>
      <c r="CI258" s="3">
        <v>0.24</v>
      </c>
      <c r="CJ258" s="3">
        <v>-0.24</v>
      </c>
      <c r="CK258" s="3">
        <v>4.3456200000000003</v>
      </c>
      <c r="CL258" s="3">
        <v>7.3740000000000003E-3</v>
      </c>
      <c r="CM258" s="3">
        <v>-7.3740000000000003E-3</v>
      </c>
      <c r="CN258" t="s">
        <v>8358</v>
      </c>
      <c r="CO258" t="s">
        <v>8212</v>
      </c>
      <c r="CP258" t="s">
        <v>8358</v>
      </c>
    </row>
    <row r="259" spans="1:94" x14ac:dyDescent="0.45">
      <c r="A259" t="s">
        <v>211</v>
      </c>
      <c r="B259">
        <v>0</v>
      </c>
      <c r="C259" t="s">
        <v>210</v>
      </c>
      <c r="D259" t="s">
        <v>212</v>
      </c>
      <c r="E259" s="3">
        <v>0</v>
      </c>
      <c r="F259" s="3">
        <v>3</v>
      </c>
      <c r="G259" s="3">
        <v>1</v>
      </c>
      <c r="H259" t="s">
        <v>1427</v>
      </c>
      <c r="I259" s="3">
        <v>2019</v>
      </c>
      <c r="J259" t="s">
        <v>7966</v>
      </c>
      <c r="K259" t="s">
        <v>1429</v>
      </c>
      <c r="L259" s="3">
        <v>0</v>
      </c>
      <c r="M259" t="s">
        <v>8359</v>
      </c>
      <c r="N259" s="3">
        <v>16510</v>
      </c>
      <c r="O259" s="3">
        <v>2100</v>
      </c>
      <c r="P259" s="3">
        <v>-1740</v>
      </c>
      <c r="Q259" s="3">
        <v>0</v>
      </c>
      <c r="R259" s="3">
        <v>11.55</v>
      </c>
      <c r="S259" s="3">
        <v>0.98</v>
      </c>
      <c r="T259" s="3">
        <v>-0.86</v>
      </c>
      <c r="U259" s="3">
        <v>0</v>
      </c>
      <c r="AD259" s="3">
        <v>1032.9475</v>
      </c>
      <c r="AE259" s="3">
        <v>123.9537</v>
      </c>
      <c r="AF259" s="3">
        <v>-206.58949999999999</v>
      </c>
      <c r="AG259" s="3">
        <v>0</v>
      </c>
      <c r="AH259" s="3">
        <v>3.25</v>
      </c>
      <c r="AI259" s="3">
        <v>0.39</v>
      </c>
      <c r="AJ259" s="3">
        <v>-0.65</v>
      </c>
      <c r="AK259" s="3">
        <v>0</v>
      </c>
      <c r="AL259" t="s">
        <v>1453</v>
      </c>
      <c r="AM259" s="3">
        <v>0.26</v>
      </c>
      <c r="AN259" s="3">
        <v>7.0000000000000007E-2</v>
      </c>
      <c r="AO259" s="3">
        <v>-0.03</v>
      </c>
      <c r="AP259" s="3">
        <v>0</v>
      </c>
      <c r="AY259" s="3">
        <v>0</v>
      </c>
      <c r="AZ259" t="s">
        <v>8359</v>
      </c>
      <c r="BA259" t="s">
        <v>1044</v>
      </c>
      <c r="BJ259" s="3">
        <v>0.754</v>
      </c>
      <c r="BK259" s="3">
        <v>4.2999999999999997E-2</v>
      </c>
      <c r="BL259" s="3">
        <v>-4.2999999999999997E-2</v>
      </c>
      <c r="BM259" s="3">
        <v>0</v>
      </c>
      <c r="BW259" t="s">
        <v>7936</v>
      </c>
      <c r="BX259" t="s">
        <v>8351</v>
      </c>
      <c r="BY259" s="3">
        <v>330.87140210000001</v>
      </c>
      <c r="BZ259" t="s">
        <v>8352</v>
      </c>
      <c r="CA259" s="3">
        <v>-56.796902299999999</v>
      </c>
      <c r="CB259" s="3">
        <v>3.6385700000000001</v>
      </c>
      <c r="CC259" s="3">
        <v>3.3300000000000001E-3</v>
      </c>
      <c r="CD259" s="3">
        <v>-3.3300000000000001E-3</v>
      </c>
      <c r="CE259" s="3">
        <v>4.6900000000000004</v>
      </c>
      <c r="CF259" s="3">
        <v>0.03</v>
      </c>
      <c r="CG259" s="3">
        <v>-0.03</v>
      </c>
      <c r="CH259" s="3">
        <v>2.2370000000000001</v>
      </c>
      <c r="CI259" s="3">
        <v>0.24</v>
      </c>
      <c r="CJ259" s="3">
        <v>-0.24</v>
      </c>
      <c r="CK259" s="3">
        <v>4.3456200000000003</v>
      </c>
      <c r="CL259" s="3">
        <v>7.3740000000000003E-3</v>
      </c>
      <c r="CM259" s="3">
        <v>-7.3740000000000003E-3</v>
      </c>
      <c r="CN259" t="s">
        <v>8360</v>
      </c>
      <c r="CO259" t="s">
        <v>8361</v>
      </c>
      <c r="CP259" t="s">
        <v>8362</v>
      </c>
    </row>
    <row r="260" spans="1:94" x14ac:dyDescent="0.45">
      <c r="A260" t="s">
        <v>224</v>
      </c>
      <c r="B260">
        <v>1</v>
      </c>
      <c r="C260" t="s">
        <v>1663</v>
      </c>
      <c r="D260" t="s">
        <v>225</v>
      </c>
      <c r="E260" s="3">
        <v>1</v>
      </c>
      <c r="F260" s="3">
        <v>1</v>
      </c>
      <c r="G260" s="3">
        <v>3</v>
      </c>
      <c r="H260" t="s">
        <v>1427</v>
      </c>
      <c r="I260" s="3">
        <v>2017</v>
      </c>
      <c r="J260" t="s">
        <v>7932</v>
      </c>
      <c r="K260" t="s">
        <v>1429</v>
      </c>
      <c r="L260" s="3">
        <v>1</v>
      </c>
      <c r="M260" t="s">
        <v>8363</v>
      </c>
      <c r="N260" s="3">
        <v>636.13</v>
      </c>
      <c r="O260" s="3">
        <v>11.7</v>
      </c>
      <c r="P260" s="3">
        <v>-47.69</v>
      </c>
      <c r="Q260" s="3">
        <v>0</v>
      </c>
      <c r="R260" s="3">
        <v>1.3340000000000001</v>
      </c>
      <c r="S260" s="3">
        <v>1.7000000000000001E-2</v>
      </c>
      <c r="T260" s="3">
        <v>-4.3999999999999997E-2</v>
      </c>
      <c r="U260" s="3">
        <v>0</v>
      </c>
      <c r="AD260" s="3">
        <v>3.93</v>
      </c>
      <c r="AE260" s="3">
        <v>1.05</v>
      </c>
      <c r="AF260" s="3">
        <v>-1.37</v>
      </c>
      <c r="AG260" s="3">
        <v>0</v>
      </c>
      <c r="AH260" s="3">
        <v>1.23651E-2</v>
      </c>
      <c r="AI260" s="3">
        <v>3.30365E-3</v>
      </c>
      <c r="AJ260" s="3">
        <v>-4.3104800000000002E-3</v>
      </c>
      <c r="AK260" s="3">
        <v>0</v>
      </c>
      <c r="AL260" t="s">
        <v>1426</v>
      </c>
      <c r="AM260" s="3">
        <v>0.16</v>
      </c>
      <c r="AN260" s="3">
        <v>7.0000000000000007E-2</v>
      </c>
      <c r="AO260" s="3">
        <v>-0.16</v>
      </c>
      <c r="AP260" s="3">
        <v>0</v>
      </c>
      <c r="AY260" s="3">
        <v>0</v>
      </c>
      <c r="AZ260" t="s">
        <v>8363</v>
      </c>
      <c r="BJ260" s="3">
        <v>0.78300000000000003</v>
      </c>
      <c r="BK260" s="3">
        <v>1.2E-2</v>
      </c>
      <c r="BL260" s="3">
        <v>-1.2E-2</v>
      </c>
      <c r="BM260" s="3">
        <v>0</v>
      </c>
      <c r="BW260" t="s">
        <v>7936</v>
      </c>
      <c r="BX260" t="s">
        <v>8364</v>
      </c>
      <c r="BY260" s="3">
        <v>26.009302900000002</v>
      </c>
      <c r="BZ260" t="s">
        <v>8365</v>
      </c>
      <c r="CA260" s="3">
        <v>-15.933798700000001</v>
      </c>
      <c r="CB260" s="3">
        <v>3.60304</v>
      </c>
      <c r="CC260" s="3">
        <v>6.7799999999999996E-3</v>
      </c>
      <c r="CD260" s="3">
        <v>-6.7499999999999999E-3</v>
      </c>
      <c r="CE260" s="3">
        <v>3.49607</v>
      </c>
      <c r="CF260" s="3">
        <v>2.3E-2</v>
      </c>
      <c r="CG260" s="3">
        <v>-2.3E-2</v>
      </c>
      <c r="CH260" s="3">
        <v>1.794</v>
      </c>
      <c r="CI260" s="3">
        <v>0.27400000000000002</v>
      </c>
      <c r="CJ260" s="3">
        <v>-0.27400000000000002</v>
      </c>
      <c r="CK260" s="3">
        <v>3.2485400000000002</v>
      </c>
      <c r="CL260" s="3">
        <v>1.03988E-2</v>
      </c>
      <c r="CM260" s="3">
        <v>-1.03988E-2</v>
      </c>
      <c r="CN260" t="s">
        <v>1665</v>
      </c>
      <c r="CO260" t="s">
        <v>8366</v>
      </c>
      <c r="CP260" t="s">
        <v>8367</v>
      </c>
    </row>
    <row r="261" spans="1:94" x14ac:dyDescent="0.45">
      <c r="A261" t="s">
        <v>224</v>
      </c>
      <c r="B261">
        <v>1</v>
      </c>
      <c r="C261" t="s">
        <v>1666</v>
      </c>
      <c r="D261" t="s">
        <v>225</v>
      </c>
      <c r="E261" s="3">
        <v>1</v>
      </c>
      <c r="F261" s="3">
        <v>1</v>
      </c>
      <c r="G261" s="3">
        <v>3</v>
      </c>
      <c r="H261" t="s">
        <v>1427</v>
      </c>
      <c r="I261" s="3">
        <v>2017</v>
      </c>
      <c r="J261" t="s">
        <v>7932</v>
      </c>
      <c r="K261" t="s">
        <v>1429</v>
      </c>
      <c r="L261" s="3">
        <v>1</v>
      </c>
      <c r="M261" t="s">
        <v>8363</v>
      </c>
      <c r="N261" s="3">
        <v>20</v>
      </c>
      <c r="O261" s="3">
        <v>0.02</v>
      </c>
      <c r="P261" s="3">
        <v>-0.01</v>
      </c>
      <c r="Q261" s="3">
        <v>0</v>
      </c>
      <c r="R261" s="3">
        <v>0.13300000000000001</v>
      </c>
      <c r="S261" s="3">
        <v>1E-3</v>
      </c>
      <c r="T261" s="3">
        <v>-2E-3</v>
      </c>
      <c r="U261" s="3">
        <v>0</v>
      </c>
      <c r="AD261" s="3">
        <v>1.75</v>
      </c>
      <c r="AE261" s="3">
        <v>0.25</v>
      </c>
      <c r="AF261" s="3">
        <v>-0.4</v>
      </c>
      <c r="AG261" s="3">
        <v>0</v>
      </c>
      <c r="AH261" s="3">
        <v>5.5060899999999999E-3</v>
      </c>
      <c r="AI261" s="3">
        <v>7.8658000000000005E-4</v>
      </c>
      <c r="AJ261" s="3">
        <v>-1.2585299999999999E-3</v>
      </c>
      <c r="AK261" s="3">
        <v>0</v>
      </c>
      <c r="AL261" t="s">
        <v>1426</v>
      </c>
      <c r="AM261" s="3">
        <v>0.06</v>
      </c>
      <c r="AN261" s="3">
        <v>0.13</v>
      </c>
      <c r="AO261" s="3">
        <v>-0.06</v>
      </c>
      <c r="AP261" s="3">
        <v>0</v>
      </c>
      <c r="AY261" s="3">
        <v>0</v>
      </c>
      <c r="AZ261" t="s">
        <v>8363</v>
      </c>
      <c r="BJ261" s="3">
        <v>0.78300000000000003</v>
      </c>
      <c r="BK261" s="3">
        <v>1.2E-2</v>
      </c>
      <c r="BL261" s="3">
        <v>-1.2E-2</v>
      </c>
      <c r="BM261" s="3">
        <v>0</v>
      </c>
      <c r="BW261" t="s">
        <v>7936</v>
      </c>
      <c r="BX261" t="s">
        <v>8364</v>
      </c>
      <c r="BY261" s="3">
        <v>26.009302900000002</v>
      </c>
      <c r="BZ261" t="s">
        <v>8365</v>
      </c>
      <c r="CA261" s="3">
        <v>-15.933798700000001</v>
      </c>
      <c r="CB261" s="3">
        <v>3.60304</v>
      </c>
      <c r="CC261" s="3">
        <v>6.7799999999999996E-3</v>
      </c>
      <c r="CD261" s="3">
        <v>-6.7499999999999999E-3</v>
      </c>
      <c r="CE261" s="3">
        <v>3.49607</v>
      </c>
      <c r="CF261" s="3">
        <v>2.3E-2</v>
      </c>
      <c r="CG261" s="3">
        <v>-2.3E-2</v>
      </c>
      <c r="CH261" s="3">
        <v>1.794</v>
      </c>
      <c r="CI261" s="3">
        <v>0.27400000000000002</v>
      </c>
      <c r="CJ261" s="3">
        <v>-0.27400000000000002</v>
      </c>
      <c r="CK261" s="3">
        <v>3.2485400000000002</v>
      </c>
      <c r="CL261" s="3">
        <v>1.03988E-2</v>
      </c>
      <c r="CM261" s="3">
        <v>-1.03988E-2</v>
      </c>
      <c r="CN261" t="s">
        <v>1665</v>
      </c>
      <c r="CO261" t="s">
        <v>8366</v>
      </c>
      <c r="CP261" t="s">
        <v>8367</v>
      </c>
    </row>
    <row r="262" spans="1:94" x14ac:dyDescent="0.45">
      <c r="A262" t="s">
        <v>224</v>
      </c>
      <c r="B262">
        <v>1</v>
      </c>
      <c r="C262" t="s">
        <v>1667</v>
      </c>
      <c r="D262" t="s">
        <v>225</v>
      </c>
      <c r="E262" s="3">
        <v>1</v>
      </c>
      <c r="F262" s="3">
        <v>1</v>
      </c>
      <c r="G262" s="3">
        <v>3</v>
      </c>
      <c r="H262" t="s">
        <v>1427</v>
      </c>
      <c r="I262" s="3">
        <v>2017</v>
      </c>
      <c r="J262" t="s">
        <v>7932</v>
      </c>
      <c r="K262" t="s">
        <v>1429</v>
      </c>
      <c r="L262" s="3">
        <v>1</v>
      </c>
      <c r="M262" t="s">
        <v>8363</v>
      </c>
      <c r="N262" s="3">
        <v>49.41</v>
      </c>
      <c r="O262" s="3">
        <v>0.08</v>
      </c>
      <c r="P262" s="3">
        <v>-0.1</v>
      </c>
      <c r="Q262" s="3">
        <v>0</v>
      </c>
      <c r="R262" s="3">
        <v>0.24299999999999999</v>
      </c>
      <c r="S262" s="3">
        <v>3.0000000000000001E-3</v>
      </c>
      <c r="T262" s="3">
        <v>-3.0000000000000001E-3</v>
      </c>
      <c r="U262" s="3">
        <v>0</v>
      </c>
      <c r="AD262" s="3">
        <v>1.83</v>
      </c>
      <c r="AE262" s="3">
        <v>0.68</v>
      </c>
      <c r="AF262" s="3">
        <v>-0.26</v>
      </c>
      <c r="AG262" s="3">
        <v>0</v>
      </c>
      <c r="AH262" s="3">
        <v>5.7578000000000004E-3</v>
      </c>
      <c r="AI262" s="3">
        <v>2.1395099999999998E-3</v>
      </c>
      <c r="AJ262" s="3">
        <v>-8.1804999999999996E-4</v>
      </c>
      <c r="AK262" s="3">
        <v>0</v>
      </c>
      <c r="AL262" t="s">
        <v>1426</v>
      </c>
      <c r="AM262" s="3">
        <v>0.23</v>
      </c>
      <c r="AN262" s="3">
        <v>0.16</v>
      </c>
      <c r="AO262" s="3">
        <v>-0.15</v>
      </c>
      <c r="AP262" s="3">
        <v>0</v>
      </c>
      <c r="AY262" s="3">
        <v>0</v>
      </c>
      <c r="AZ262" t="s">
        <v>8363</v>
      </c>
      <c r="BJ262" s="3">
        <v>0.78300000000000003</v>
      </c>
      <c r="BK262" s="3">
        <v>1.2E-2</v>
      </c>
      <c r="BL262" s="3">
        <v>-1.2E-2</v>
      </c>
      <c r="BM262" s="3">
        <v>0</v>
      </c>
      <c r="BW262" t="s">
        <v>7936</v>
      </c>
      <c r="BX262" t="s">
        <v>8364</v>
      </c>
      <c r="BY262" s="3">
        <v>26.009302900000002</v>
      </c>
      <c r="BZ262" t="s">
        <v>8365</v>
      </c>
      <c r="CA262" s="3">
        <v>-15.933798700000001</v>
      </c>
      <c r="CB262" s="3">
        <v>3.60304</v>
      </c>
      <c r="CC262" s="3">
        <v>6.7799999999999996E-3</v>
      </c>
      <c r="CD262" s="3">
        <v>-6.7499999999999999E-3</v>
      </c>
      <c r="CE262" s="3">
        <v>3.49607</v>
      </c>
      <c r="CF262" s="3">
        <v>2.3E-2</v>
      </c>
      <c r="CG262" s="3">
        <v>-2.3E-2</v>
      </c>
      <c r="CH262" s="3">
        <v>1.794</v>
      </c>
      <c r="CI262" s="3">
        <v>0.27400000000000002</v>
      </c>
      <c r="CJ262" s="3">
        <v>-0.27400000000000002</v>
      </c>
      <c r="CK262" s="3">
        <v>3.2485400000000002</v>
      </c>
      <c r="CL262" s="3">
        <v>1.03988E-2</v>
      </c>
      <c r="CM262" s="3">
        <v>-1.03988E-2</v>
      </c>
      <c r="CN262" t="s">
        <v>1665</v>
      </c>
      <c r="CO262" t="s">
        <v>8366</v>
      </c>
      <c r="CP262" t="s">
        <v>8367</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3"/>
  <sheetViews>
    <sheetView workbookViewId="0">
      <pane xSplit="1" ySplit="1" topLeftCell="B2" activePane="bottomRight" state="frozen"/>
      <selection pane="topRight"/>
      <selection pane="bottomLeft"/>
      <selection pane="bottomRight"/>
    </sheetView>
  </sheetViews>
  <sheetFormatPr defaultRowHeight="14.25" x14ac:dyDescent="0.45"/>
  <cols>
    <col min="1" max="1" width="16" customWidth="1"/>
    <col min="2" max="2" width="65" customWidth="1"/>
  </cols>
  <sheetData>
    <row r="1" spans="1:2" ht="34.049999999999997" customHeight="1" x14ac:dyDescent="0.45">
      <c r="A1" s="1" t="s">
        <v>8368</v>
      </c>
      <c r="B1" s="1" t="s">
        <v>1672</v>
      </c>
    </row>
    <row r="2" spans="1:2" x14ac:dyDescent="0.45">
      <c r="A2" t="s">
        <v>7840</v>
      </c>
      <c r="B2" t="s">
        <v>8369</v>
      </c>
    </row>
    <row r="3" spans="1:2" x14ac:dyDescent="0.45">
      <c r="A3" t="s">
        <v>7841</v>
      </c>
      <c r="B3" t="s">
        <v>8370</v>
      </c>
    </row>
    <row r="4" spans="1:2" x14ac:dyDescent="0.45">
      <c r="A4" t="s">
        <v>7842</v>
      </c>
      <c r="B4" t="s">
        <v>8371</v>
      </c>
    </row>
    <row r="5" spans="1:2" x14ac:dyDescent="0.45">
      <c r="A5" t="s">
        <v>7843</v>
      </c>
      <c r="B5" t="s">
        <v>8372</v>
      </c>
    </row>
    <row r="6" spans="1:2" x14ac:dyDescent="0.45">
      <c r="A6" t="s">
        <v>7844</v>
      </c>
      <c r="B6" t="s">
        <v>8373</v>
      </c>
    </row>
    <row r="7" spans="1:2" x14ac:dyDescent="0.45">
      <c r="A7" t="s">
        <v>7845</v>
      </c>
      <c r="B7" t="s">
        <v>8374</v>
      </c>
    </row>
    <row r="8" spans="1:2" x14ac:dyDescent="0.45">
      <c r="A8" t="s">
        <v>7846</v>
      </c>
      <c r="B8" t="s">
        <v>8375</v>
      </c>
    </row>
    <row r="9" spans="1:2" x14ac:dyDescent="0.45">
      <c r="A9" t="s">
        <v>7847</v>
      </c>
      <c r="B9" t="s">
        <v>8376</v>
      </c>
    </row>
    <row r="10" spans="1:2" x14ac:dyDescent="0.45">
      <c r="A10" t="s">
        <v>7848</v>
      </c>
      <c r="B10" t="s">
        <v>8377</v>
      </c>
    </row>
    <row r="11" spans="1:2" x14ac:dyDescent="0.45">
      <c r="A11" t="s">
        <v>7849</v>
      </c>
      <c r="B11" t="s">
        <v>8378</v>
      </c>
    </row>
    <row r="12" spans="1:2" x14ac:dyDescent="0.45">
      <c r="A12" t="s">
        <v>7850</v>
      </c>
      <c r="B12" t="s">
        <v>8379</v>
      </c>
    </row>
    <row r="13" spans="1:2" x14ac:dyDescent="0.45">
      <c r="A13" t="s">
        <v>7851</v>
      </c>
      <c r="B13" t="s">
        <v>8380</v>
      </c>
    </row>
    <row r="14" spans="1:2" x14ac:dyDescent="0.45">
      <c r="A14" t="s">
        <v>7852</v>
      </c>
      <c r="B14" t="s">
        <v>8381</v>
      </c>
    </row>
    <row r="15" spans="1:2" x14ac:dyDescent="0.45">
      <c r="A15" t="s">
        <v>7853</v>
      </c>
      <c r="B15" t="s">
        <v>8382</v>
      </c>
    </row>
    <row r="16" spans="1:2" x14ac:dyDescent="0.45">
      <c r="A16" t="s">
        <v>7854</v>
      </c>
      <c r="B16" t="s">
        <v>8383</v>
      </c>
    </row>
    <row r="17" spans="1:2" x14ac:dyDescent="0.45">
      <c r="A17" t="s">
        <v>7855</v>
      </c>
      <c r="B17" t="s">
        <v>8384</v>
      </c>
    </row>
    <row r="18" spans="1:2" x14ac:dyDescent="0.45">
      <c r="A18" t="s">
        <v>7856</v>
      </c>
      <c r="B18" t="s">
        <v>8385</v>
      </c>
    </row>
    <row r="19" spans="1:2" x14ac:dyDescent="0.45">
      <c r="A19" t="s">
        <v>7857</v>
      </c>
      <c r="B19" t="s">
        <v>8386</v>
      </c>
    </row>
    <row r="20" spans="1:2" x14ac:dyDescent="0.45">
      <c r="A20" t="s">
        <v>7858</v>
      </c>
      <c r="B20" t="s">
        <v>8387</v>
      </c>
    </row>
    <row r="21" spans="1:2" x14ac:dyDescent="0.45">
      <c r="A21" t="s">
        <v>7859</v>
      </c>
      <c r="B21" t="s">
        <v>8388</v>
      </c>
    </row>
    <row r="22" spans="1:2" x14ac:dyDescent="0.45">
      <c r="A22" t="s">
        <v>7860</v>
      </c>
      <c r="B22" t="s">
        <v>8389</v>
      </c>
    </row>
    <row r="23" spans="1:2" x14ac:dyDescent="0.45">
      <c r="A23" t="s">
        <v>7861</v>
      </c>
      <c r="B23" t="s">
        <v>8390</v>
      </c>
    </row>
    <row r="24" spans="1:2" x14ac:dyDescent="0.45">
      <c r="A24" t="s">
        <v>7862</v>
      </c>
      <c r="B24" t="s">
        <v>8391</v>
      </c>
    </row>
    <row r="25" spans="1:2" x14ac:dyDescent="0.45">
      <c r="A25" t="s">
        <v>7863</v>
      </c>
      <c r="B25" t="s">
        <v>8392</v>
      </c>
    </row>
    <row r="26" spans="1:2" x14ac:dyDescent="0.45">
      <c r="A26" t="s">
        <v>7864</v>
      </c>
      <c r="B26" t="s">
        <v>8393</v>
      </c>
    </row>
    <row r="27" spans="1:2" x14ac:dyDescent="0.45">
      <c r="A27" t="s">
        <v>7865</v>
      </c>
      <c r="B27" t="s">
        <v>8394</v>
      </c>
    </row>
    <row r="28" spans="1:2" x14ac:dyDescent="0.45">
      <c r="A28" t="s">
        <v>7866</v>
      </c>
      <c r="B28" t="s">
        <v>8391</v>
      </c>
    </row>
    <row r="29" spans="1:2" x14ac:dyDescent="0.45">
      <c r="A29" t="s">
        <v>7867</v>
      </c>
      <c r="B29" t="s">
        <v>8395</v>
      </c>
    </row>
    <row r="30" spans="1:2" x14ac:dyDescent="0.45">
      <c r="A30" t="s">
        <v>7868</v>
      </c>
      <c r="B30" t="s">
        <v>8396</v>
      </c>
    </row>
    <row r="31" spans="1:2" x14ac:dyDescent="0.45">
      <c r="A31" t="s">
        <v>7869</v>
      </c>
      <c r="B31" t="s">
        <v>8397</v>
      </c>
    </row>
    <row r="32" spans="1:2" x14ac:dyDescent="0.45">
      <c r="A32" t="s">
        <v>7870</v>
      </c>
      <c r="B32" t="s">
        <v>8398</v>
      </c>
    </row>
    <row r="33" spans="1:2" x14ac:dyDescent="0.45">
      <c r="A33" t="s">
        <v>7871</v>
      </c>
      <c r="B33" t="s">
        <v>8399</v>
      </c>
    </row>
    <row r="34" spans="1:2" x14ac:dyDescent="0.45">
      <c r="A34" t="s">
        <v>7872</v>
      </c>
      <c r="B34" t="s">
        <v>8400</v>
      </c>
    </row>
    <row r="35" spans="1:2" x14ac:dyDescent="0.45">
      <c r="A35" t="s">
        <v>7873</v>
      </c>
      <c r="B35" t="s">
        <v>8401</v>
      </c>
    </row>
    <row r="36" spans="1:2" x14ac:dyDescent="0.45">
      <c r="A36" t="s">
        <v>7874</v>
      </c>
      <c r="B36" t="s">
        <v>8402</v>
      </c>
    </row>
    <row r="37" spans="1:2" x14ac:dyDescent="0.45">
      <c r="A37" t="s">
        <v>7875</v>
      </c>
      <c r="B37" t="s">
        <v>8403</v>
      </c>
    </row>
    <row r="38" spans="1:2" x14ac:dyDescent="0.45">
      <c r="A38" t="s">
        <v>7876</v>
      </c>
      <c r="B38" t="s">
        <v>8404</v>
      </c>
    </row>
    <row r="39" spans="1:2" x14ac:dyDescent="0.45">
      <c r="A39" t="s">
        <v>7877</v>
      </c>
      <c r="B39" t="s">
        <v>8405</v>
      </c>
    </row>
    <row r="40" spans="1:2" x14ac:dyDescent="0.45">
      <c r="A40" t="s">
        <v>7878</v>
      </c>
      <c r="B40" t="s">
        <v>8406</v>
      </c>
    </row>
    <row r="41" spans="1:2" x14ac:dyDescent="0.45">
      <c r="A41" t="s">
        <v>7879</v>
      </c>
      <c r="B41" t="s">
        <v>8407</v>
      </c>
    </row>
    <row r="42" spans="1:2" x14ac:dyDescent="0.45">
      <c r="A42" t="s">
        <v>7880</v>
      </c>
      <c r="B42" t="s">
        <v>8408</v>
      </c>
    </row>
    <row r="43" spans="1:2" x14ac:dyDescent="0.45">
      <c r="A43" t="s">
        <v>7881</v>
      </c>
      <c r="B43" t="s">
        <v>8409</v>
      </c>
    </row>
    <row r="44" spans="1:2" x14ac:dyDescent="0.45">
      <c r="A44" t="s">
        <v>7882</v>
      </c>
      <c r="B44" t="s">
        <v>8410</v>
      </c>
    </row>
    <row r="45" spans="1:2" x14ac:dyDescent="0.45">
      <c r="A45" t="s">
        <v>7883</v>
      </c>
      <c r="B45" t="s">
        <v>8411</v>
      </c>
    </row>
    <row r="46" spans="1:2" x14ac:dyDescent="0.45">
      <c r="A46" t="s">
        <v>7884</v>
      </c>
      <c r="B46" t="s">
        <v>8412</v>
      </c>
    </row>
    <row r="47" spans="1:2" x14ac:dyDescent="0.45">
      <c r="A47" t="s">
        <v>7885</v>
      </c>
      <c r="B47" t="s">
        <v>8413</v>
      </c>
    </row>
    <row r="48" spans="1:2" x14ac:dyDescent="0.45">
      <c r="A48" t="s">
        <v>7886</v>
      </c>
      <c r="B48" t="s">
        <v>8414</v>
      </c>
    </row>
    <row r="49" spans="1:2" x14ac:dyDescent="0.45">
      <c r="A49" t="s">
        <v>7887</v>
      </c>
      <c r="B49" t="s">
        <v>8415</v>
      </c>
    </row>
    <row r="50" spans="1:2" x14ac:dyDescent="0.45">
      <c r="A50" t="s">
        <v>7888</v>
      </c>
      <c r="B50" t="s">
        <v>8416</v>
      </c>
    </row>
    <row r="51" spans="1:2" x14ac:dyDescent="0.45">
      <c r="A51" t="s">
        <v>7889</v>
      </c>
      <c r="B51" t="s">
        <v>8417</v>
      </c>
    </row>
    <row r="52" spans="1:2" x14ac:dyDescent="0.45">
      <c r="A52" t="s">
        <v>7890</v>
      </c>
      <c r="B52" t="s">
        <v>8418</v>
      </c>
    </row>
    <row r="53" spans="1:2" x14ac:dyDescent="0.45">
      <c r="A53" t="s">
        <v>7891</v>
      </c>
      <c r="B53" t="s">
        <v>8419</v>
      </c>
    </row>
    <row r="54" spans="1:2" x14ac:dyDescent="0.45">
      <c r="A54" t="s">
        <v>7892</v>
      </c>
      <c r="B54" t="s">
        <v>8420</v>
      </c>
    </row>
    <row r="55" spans="1:2" x14ac:dyDescent="0.45">
      <c r="A55" t="s">
        <v>7893</v>
      </c>
      <c r="B55" t="s">
        <v>8421</v>
      </c>
    </row>
    <row r="56" spans="1:2" x14ac:dyDescent="0.45">
      <c r="A56" t="s">
        <v>7894</v>
      </c>
      <c r="B56" t="s">
        <v>8422</v>
      </c>
    </row>
    <row r="57" spans="1:2" x14ac:dyDescent="0.45">
      <c r="A57" t="s">
        <v>7895</v>
      </c>
      <c r="B57" t="s">
        <v>8423</v>
      </c>
    </row>
    <row r="58" spans="1:2" x14ac:dyDescent="0.45">
      <c r="A58" t="s">
        <v>7896</v>
      </c>
      <c r="B58" t="s">
        <v>8424</v>
      </c>
    </row>
    <row r="59" spans="1:2" x14ac:dyDescent="0.45">
      <c r="A59" t="s">
        <v>7897</v>
      </c>
      <c r="B59" t="s">
        <v>8425</v>
      </c>
    </row>
    <row r="60" spans="1:2" x14ac:dyDescent="0.45">
      <c r="A60" t="s">
        <v>7898</v>
      </c>
      <c r="B60" t="s">
        <v>8426</v>
      </c>
    </row>
    <row r="61" spans="1:2" x14ac:dyDescent="0.45">
      <c r="A61" t="s">
        <v>7899</v>
      </c>
      <c r="B61" t="s">
        <v>8427</v>
      </c>
    </row>
    <row r="62" spans="1:2" x14ac:dyDescent="0.45">
      <c r="A62" t="s">
        <v>7900</v>
      </c>
      <c r="B62" t="s">
        <v>8428</v>
      </c>
    </row>
    <row r="63" spans="1:2" x14ac:dyDescent="0.45">
      <c r="A63" t="s">
        <v>7901</v>
      </c>
      <c r="B63" t="s">
        <v>8429</v>
      </c>
    </row>
    <row r="64" spans="1:2" x14ac:dyDescent="0.45">
      <c r="A64" t="s">
        <v>7902</v>
      </c>
      <c r="B64" t="s">
        <v>8430</v>
      </c>
    </row>
    <row r="65" spans="1:2" x14ac:dyDescent="0.45">
      <c r="A65" t="s">
        <v>7903</v>
      </c>
      <c r="B65" t="s">
        <v>8431</v>
      </c>
    </row>
    <row r="66" spans="1:2" x14ac:dyDescent="0.45">
      <c r="A66" t="s">
        <v>7904</v>
      </c>
      <c r="B66" t="s">
        <v>8432</v>
      </c>
    </row>
    <row r="67" spans="1:2" x14ac:dyDescent="0.45">
      <c r="A67" t="s">
        <v>7905</v>
      </c>
      <c r="B67" t="s">
        <v>8433</v>
      </c>
    </row>
    <row r="68" spans="1:2" x14ac:dyDescent="0.45">
      <c r="A68" t="s">
        <v>7906</v>
      </c>
      <c r="B68" t="s">
        <v>8434</v>
      </c>
    </row>
    <row r="69" spans="1:2" x14ac:dyDescent="0.45">
      <c r="A69" t="s">
        <v>7907</v>
      </c>
      <c r="B69" t="s">
        <v>8435</v>
      </c>
    </row>
    <row r="70" spans="1:2" x14ac:dyDescent="0.45">
      <c r="A70" t="s">
        <v>7908</v>
      </c>
      <c r="B70" t="s">
        <v>8436</v>
      </c>
    </row>
    <row r="71" spans="1:2" x14ac:dyDescent="0.45">
      <c r="A71" t="s">
        <v>7909</v>
      </c>
      <c r="B71" t="s">
        <v>8437</v>
      </c>
    </row>
    <row r="72" spans="1:2" x14ac:dyDescent="0.45">
      <c r="A72" t="s">
        <v>7910</v>
      </c>
      <c r="B72" t="s">
        <v>8438</v>
      </c>
    </row>
    <row r="73" spans="1:2" x14ac:dyDescent="0.45">
      <c r="A73" t="s">
        <v>7911</v>
      </c>
      <c r="B73" t="s">
        <v>8439</v>
      </c>
    </row>
    <row r="74" spans="1:2" x14ac:dyDescent="0.45">
      <c r="A74" t="s">
        <v>7912</v>
      </c>
      <c r="B74" t="s">
        <v>8440</v>
      </c>
    </row>
    <row r="75" spans="1:2" x14ac:dyDescent="0.45">
      <c r="A75" t="s">
        <v>7913</v>
      </c>
      <c r="B75" t="s">
        <v>8441</v>
      </c>
    </row>
    <row r="76" spans="1:2" x14ac:dyDescent="0.45">
      <c r="A76" t="s">
        <v>7914</v>
      </c>
      <c r="B76" t="s">
        <v>8442</v>
      </c>
    </row>
    <row r="77" spans="1:2" x14ac:dyDescent="0.45">
      <c r="A77" t="s">
        <v>7915</v>
      </c>
      <c r="B77" t="s">
        <v>8443</v>
      </c>
    </row>
    <row r="78" spans="1:2" x14ac:dyDescent="0.45">
      <c r="A78" t="s">
        <v>7916</v>
      </c>
      <c r="B78" t="s">
        <v>8444</v>
      </c>
    </row>
    <row r="79" spans="1:2" x14ac:dyDescent="0.45">
      <c r="A79" t="s">
        <v>7917</v>
      </c>
      <c r="B79" t="s">
        <v>8445</v>
      </c>
    </row>
    <row r="80" spans="1:2" x14ac:dyDescent="0.45">
      <c r="A80" t="s">
        <v>7918</v>
      </c>
      <c r="B80" t="s">
        <v>8446</v>
      </c>
    </row>
    <row r="81" spans="1:2" x14ac:dyDescent="0.45">
      <c r="A81" t="s">
        <v>7919</v>
      </c>
      <c r="B81" t="s">
        <v>8447</v>
      </c>
    </row>
    <row r="82" spans="1:2" x14ac:dyDescent="0.45">
      <c r="A82" t="s">
        <v>7920</v>
      </c>
      <c r="B82" t="s">
        <v>8448</v>
      </c>
    </row>
    <row r="83" spans="1:2" x14ac:dyDescent="0.45">
      <c r="A83" t="s">
        <v>7921</v>
      </c>
      <c r="B83" t="s">
        <v>8449</v>
      </c>
    </row>
    <row r="84" spans="1:2" x14ac:dyDescent="0.45">
      <c r="A84" t="s">
        <v>7922</v>
      </c>
      <c r="B84" t="s">
        <v>8450</v>
      </c>
    </row>
    <row r="85" spans="1:2" x14ac:dyDescent="0.45">
      <c r="A85" t="s">
        <v>7923</v>
      </c>
      <c r="B85" t="s">
        <v>8451</v>
      </c>
    </row>
    <row r="86" spans="1:2" x14ac:dyDescent="0.45">
      <c r="A86" t="s">
        <v>7924</v>
      </c>
      <c r="B86" t="s">
        <v>8452</v>
      </c>
    </row>
    <row r="87" spans="1:2" x14ac:dyDescent="0.45">
      <c r="A87" t="s">
        <v>7925</v>
      </c>
      <c r="B87" t="s">
        <v>8453</v>
      </c>
    </row>
    <row r="88" spans="1:2" x14ac:dyDescent="0.45">
      <c r="A88" t="s">
        <v>7926</v>
      </c>
      <c r="B88" t="s">
        <v>8454</v>
      </c>
    </row>
    <row r="89" spans="1:2" x14ac:dyDescent="0.45">
      <c r="A89" t="s">
        <v>7927</v>
      </c>
      <c r="B89" t="s">
        <v>8455</v>
      </c>
    </row>
    <row r="90" spans="1:2" x14ac:dyDescent="0.45">
      <c r="A90" t="s">
        <v>7928</v>
      </c>
      <c r="B90" t="s">
        <v>8456</v>
      </c>
    </row>
    <row r="91" spans="1:2" x14ac:dyDescent="0.45">
      <c r="A91" t="s">
        <v>7929</v>
      </c>
      <c r="B91" t="s">
        <v>8457</v>
      </c>
    </row>
    <row r="92" spans="1:2" x14ac:dyDescent="0.45">
      <c r="A92" t="s">
        <v>7930</v>
      </c>
      <c r="B92" t="s">
        <v>8458</v>
      </c>
    </row>
    <row r="93" spans="1:2" x14ac:dyDescent="0.45">
      <c r="A93" t="s">
        <v>7931</v>
      </c>
      <c r="B93" t="s">
        <v>8459</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Stars</vt:lpstr>
      <vt:lpstr>Planets</vt:lpstr>
      <vt:lpstr>Factions</vt:lpstr>
      <vt:lpstr>Read me</vt:lpstr>
      <vt:lpstr>Review</vt:lpstr>
      <vt:lpstr>Host matches</vt:lpstr>
      <vt:lpstr>Measurements</vt:lpstr>
      <vt:lpstr>NASA fields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Erdenebat, Sanchir</cp:lastModifiedBy>
  <dcterms:created xsi:type="dcterms:W3CDTF">2026-09-14T23:04:24Z</dcterms:created>
  <dcterms:modified xsi:type="dcterms:W3CDTF">2026-09-14T23:44:20Z</dcterms:modified>
</cp:coreProperties>
</file>